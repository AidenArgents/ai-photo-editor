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  <Override PartName="/xl/drawings/charts/chart7.xml" ContentType="application/vnd.openxmlformats-officedocument.drawingml.chart+xml"/>
  <Override PartName="/xl/drawings/charts/chart8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1e070df6bb5418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汇总" sheetId="1" r:id="R62b58fe93b594a93"/>
    <x:sheet xmlns:r="http://schemas.openxmlformats.org/officeDocument/2006/relationships" name="店长明细" sheetId="2" r:id="Rf1292c9a28a947e3"/>
    <x:sheet xmlns:r="http://schemas.openxmlformats.org/officeDocument/2006/relationships" name="站点明细" sheetId="3" r:id="Ra973983fc3a54db6"/>
    <x:sheet xmlns:r="http://schemas.openxmlformats.org/officeDocument/2006/relationships" name="图表" sheetId="4" r:id="Rac227b3500504dba"/>
    <x:sheet xmlns:r="http://schemas.openxmlformats.org/officeDocument/2006/relationships" name="图表数据" sheetId="5" r:id="R11877caa6dde4c8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"/>
    <x:numFmt numFmtId="202" formatCode="#,##0.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1"/>
      <x:color rgb="FF0C4A6E"/>
      <x:name val="Carlito"/>
    </x:font>
    <x:font>
      <x:sz val="11"/>
      <x:color rgb="FF475569"/>
      <x:name val="Carlito"/>
    </x:font>
    <x:font>
      <x:b/>
      <x:sz val="11"/>
      <x:color rgb="FF0F172A"/>
      <x:name val="Carlito"/>
    </x:font>
    <x:font>
      <x:b/>
      <x:sz val="11"/>
      <x:color rgb="FF1E3A8A"/>
      <x:name val="Carlito"/>
    </x:font>
    <x:font>
      <x:b/>
      <x:sz val="11"/>
      <x:color rgb="FF334155"/>
      <x:name val="Carlito"/>
    </x:font>
  </x:fonts>
  <x:fills count="23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1D4ED8"/>
      </x:patternFill>
    </x:fill>
    <x:fill>
      <x:patternFill patternType="solid">
        <x:fgColor rgb="FFE2E8F0"/>
      </x:patternFill>
    </x:fill>
    <x:fill>
      <x:patternFill patternType="solid">
        <x:fgColor rgb="FFE0F2FE"/>
      </x:patternFill>
    </x:fill>
    <x:fill>
      <x:patternFill patternType="solid">
        <x:fgColor rgb="FF0F766E"/>
      </x:patternFill>
    </x:fill>
    <x:fill>
      <x:patternFill patternType="solid">
        <x:fgColor rgb="FF134E4A"/>
      </x:patternFill>
    </x:fill>
    <x:fill>
      <x:patternFill patternType="solid">
        <x:fgColor rgb="FF1D4ED8"/>
      </x:patternFill>
    </x:fill>
    <x:fill>
      <x:patternFill patternType="solid">
        <x:fgColor rgb="FF1E3A8A"/>
      </x:patternFill>
    </x:fill>
    <x:fill>
      <x:patternFill patternType="solid">
        <x:fgColor rgb="FFF1F5F9"/>
      </x:patternFill>
    </x:fill>
    <x:fill>
      <x:patternFill patternType="solid">
        <x:fgColor rgb="FFDBEAFE"/>
      </x:patternFill>
    </x:fill>
    <x:fill>
      <x:patternFill patternType="solid">
        <x:fgColor rgb="FF2563EB"/>
      </x:patternFill>
    </x:fill>
    <x:fill>
      <x:patternFill patternType="solid">
        <x:fgColor rgb="FFD97706"/>
      </x:patternFill>
    </x:fill>
    <x:fill>
      <x:patternFill patternType="solid">
        <x:fgColor rgb="FF9333EA"/>
      </x:patternFill>
    </x:fill>
    <x:fill>
      <x:patternFill patternType="solid">
        <x:fgColor rgb="FFDC2626"/>
      </x:patternFill>
    </x:fill>
    <x:fill>
      <x:patternFill patternType="solid">
        <x:fgColor rgb="FF0891B2"/>
      </x:patternFill>
    </x:fill>
    <x:fill>
      <x:patternFill patternType="solid">
        <x:fgColor rgb="FF65A30D"/>
      </x:patternFill>
    </x:fill>
    <x:fill>
      <x:patternFill patternType="solid">
        <x:fgColor rgb="FFDB2777"/>
      </x:patternFill>
    </x:fill>
    <x:fill>
      <x:patternFill patternType="solid">
        <x:fgColor rgb="FF475569"/>
      </x:patternFill>
    </x:fill>
    <x:fill>
      <x:patternFill patternType="solid">
        <x:fgColor rgb="FFEA580C"/>
      </x:patternFill>
    </x:fill>
  </x:fills>
  <x:borders count="33">
    <x:border/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0F766E"/>
      </x:left>
      <x:top style="thin">
        <x:color rgb="FF0F766E"/>
      </x:top>
      <x:bottom style="thin">
        <x:color rgb="FFE2E8F0"/>
      </x:bottom>
    </x:border>
    <x:border>
      <x:top style="thin">
        <x:color rgb="FF0F766E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  <x:border>
      <x:left style="thin">
        <x:color rgb="FF0F766E"/>
      </x:left>
      <x:top style="thin">
        <x:color rgb="FFE2E8F0"/>
      </x:top>
      <x:bottom style="thin">
        <x:color rgb="FFCBD5E1"/>
      </x:bottom>
    </x:border>
    <x:border>
      <x:top style="thin">
        <x:color rgb="FFE2E8F0"/>
      </x:top>
      <x:bottom style="thin">
        <x:color rgb="FFCBD5E1"/>
      </x:bottom>
    </x:border>
    <x:border>
      <x:left style="thin">
        <x:color rgb="FFBAE6FD"/>
      </x:left>
      <x:top style="thin">
        <x:color rgb="FFBAE6FD"/>
      </x:top>
    </x:border>
    <x:border>
      <x:top style="thin">
        <x:color rgb="FFBAE6FD"/>
      </x:top>
    </x:border>
    <x:border>
      <x:right style="thin">
        <x:color rgb="FFBAE6FD"/>
      </x:right>
      <x:top style="thin">
        <x:color rgb="FFBAE6FD"/>
      </x:top>
    </x:border>
    <x:border>
      <x:left style="thin">
        <x:color rgb="FFBAE6FD"/>
      </x:left>
    </x:border>
    <x:border>
      <x:right style="thin">
        <x:color rgb="FFBAE6FD"/>
      </x:right>
    </x:border>
    <x:border>
      <x:left style="thin">
        <x:color rgb="FFBAE6FD"/>
      </x:left>
      <x:bottom style="thin">
        <x:color rgb="FFBAE6FD"/>
      </x:bottom>
    </x:border>
    <x:border>
      <x:bottom style="thin">
        <x:color rgb="FFBAE6FD"/>
      </x:bottom>
    </x:border>
    <x:border>
      <x:right style="thin">
        <x:color rgb="FFBAE6FD"/>
      </x:right>
      <x:bottom style="thin">
        <x:color rgb="FFBAE6FD"/>
      </x:bottom>
    </x:border>
    <x:border>
      <x:left style="thin">
        <x:color rgb="FF1D4ED8"/>
      </x:left>
      <x:top style="thin">
        <x:color rgb="FF1D4ED8"/>
      </x:top>
      <x:bottom style="thin">
        <x:color rgb="FF1D4ED8"/>
      </x:bottom>
    </x:border>
    <x:border>
      <x:top style="thin">
        <x:color rgb="FF1D4ED8"/>
      </x:top>
      <x:bottom style="thin">
        <x:color rgb="FF1D4ED8"/>
      </x:bottom>
    </x:border>
    <x:border>
      <x:right style="thin">
        <x:color rgb="FF1D4ED8"/>
      </x:right>
      <x:top style="thin">
        <x:color rgb="FF1D4ED8"/>
      </x:top>
      <x:bottom style="thin">
        <x:color rgb="FF1D4ED8"/>
      </x:bottom>
    </x:border>
    <x:border>
      <x:top style="thin">
        <x:color rgb="FF64748B"/>
      </x:top>
    </x:border>
    <x:border>
      <x:left style="thin">
        <x:color rgb="FF1D4ED8"/>
      </x:left>
      <x:top style="thin">
        <x:color rgb="FF1D4ED8"/>
      </x:top>
      <x:bottom style="thin">
        <x:color rgb="FFE2E8F0"/>
      </x:bottom>
    </x:border>
    <x:border>
      <x:top style="thin">
        <x:color rgb="FF1D4ED8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E2E8F0"/>
      </x:bottom>
    </x:border>
    <x:border>
      <x:left style="thin">
        <x:color rgb="FF1D4ED8"/>
      </x:left>
      <x:top style="thin">
        <x:color rgb="FFE2E8F0"/>
      </x:top>
      <x:bottom style="thin">
        <x:color rgb="FFCBD5E1"/>
      </x:bottom>
    </x:border>
    <x:border>
      <x:left style="thin">
        <x:color rgb="FF134E4A"/>
      </x:left>
      <x:top style="thin">
        <x:color rgb="FF134E4A"/>
      </x:top>
      <x:bottom style="thin">
        <x:color rgb="FF134E4A"/>
      </x:bottom>
    </x:border>
    <x:border>
      <x:top style="thin">
        <x:color rgb="FF134E4A"/>
      </x:top>
      <x:bottom style="thin">
        <x:color rgb="FF134E4A"/>
      </x:bottom>
    </x:border>
    <x:border>
      <x:right style="thin">
        <x:color rgb="FF134E4A"/>
      </x:right>
      <x:top style="thin">
        <x:color rgb="FF134E4A"/>
      </x:top>
      <x:bottom style="thin">
        <x:color rgb="FF134E4A"/>
      </x:bottom>
    </x:border>
    <x:border>
      <x:left style="thin">
        <x:color rgb="FF1E3A8A"/>
      </x:left>
      <x:top style="thin">
        <x:color rgb="FF1E3A8A"/>
      </x:top>
      <x:bottom style="thin">
        <x:color rgb="FF1E3A8A"/>
      </x:bottom>
    </x:border>
    <x:border>
      <x:top style="thin">
        <x:color rgb="FF1E3A8A"/>
      </x:top>
      <x:bottom style="thin">
        <x:color rgb="FF1E3A8A"/>
      </x:bottom>
    </x:border>
    <x:border>
      <x:right style="thin">
        <x:color rgb="FF1E3A8A"/>
      </x:right>
      <x:top style="thin">
        <x:color rgb="FF1E3A8A"/>
      </x:top>
      <x:bottom style="thin">
        <x:color rgb="FF1E3A8A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202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200" fontId="0" fillId="0" borderId="9" xfId="0" applyNumberFormat="1" applyFont="1" applyFill="1" applyBorder="1"/>
    <x:xf numFmtId="201" fontId="0" fillId="0" borderId="9" xfId="0" applyNumberFormat="1" applyFont="1" applyFill="1" applyBorder="1"/>
    <x:xf numFmtId="202" fontId="0" fillId="0" borderId="9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0" xfId="0" applyNumberFormat="1" applyFont="1" applyFill="1" applyBorder="1"/>
    <x:xf numFmtId="200" fontId="0" fillId="0" borderId="11" xfId="0" applyNumberFormat="1" applyFont="1" applyFill="1" applyBorder="1"/>
    <x:xf numFmtId="0" fontId="2" fillId="3" borderId="11" xfId="0" applyNumberFormat="1" applyFont="1" applyFill="1" applyBorder="1"/>
    <x:xf numFmtId="200" fontId="0" fillId="0" borderId="12" xfId="0" applyNumberFormat="1" applyFont="1" applyFill="1" applyBorder="1"/>
    <x:xf numFmtId="0" fontId="2" fillId="3" borderId="13" xfId="0" applyNumberFormat="1" applyFont="1" applyFill="1" applyBorder="1"/>
    <x:xf numFmtId="0" fontId="0" fillId="0" borderId="0" xfId="0" applyNumberFormat="1" applyFont="1" applyFill="1" applyBorder="1"/>
    <x:xf numFmtId="0" fontId="0" fillId="0" borderId="14" xfId="0" applyNumberFormat="1" applyFont="1" applyFill="1" applyBorder="1"/>
    <x:xf numFmtId="0" fontId="2" fillId="3" borderId="15" xfId="0" applyNumberFormat="1" applyFont="1" applyFill="1" applyBorder="1"/>
    <x:xf numFmtId="0" fontId="0" fillId="0" borderId="16" xfId="0" applyNumberFormat="1" applyFont="1" applyFill="1" applyBorder="1"/>
    <x:xf numFmtId="0" fontId="2" fillId="3" borderId="16" xfId="0" applyNumberFormat="1" applyFont="1" applyFill="1" applyBorder="1"/>
    <x:xf numFmtId="20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5" borderId="18" xfId="0" applyNumberFormat="1" applyFont="1" applyFill="1" applyBorder="1" applyAlignment="1">
      <x:alignment horizontal="center" vertical="center" wrapText="1"/>
    </x:xf>
    <x:xf numFmtId="0" fontId="1" fillId="5" borderId="19" xfId="0" applyNumberFormat="1" applyFont="1" applyFill="1" applyBorder="1" applyAlignment="1">
      <x:alignment horizontal="center" vertical="center" wrapText="1"/>
    </x:xf>
    <x:xf numFmtId="0" fontId="1" fillId="5" borderId="20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21" xfId="0" applyNumberFormat="1" applyFont="1" applyFill="1" applyBorder="1"/>
    <x:xf numFmtId="201" fontId="4" fillId="6" borderId="21" xfId="0" applyNumberFormat="1" applyFont="1" applyFill="1" applyBorder="1"/>
    <x:xf numFmtId="202" fontId="4" fillId="6" borderId="21" xfId="0" applyNumberFormat="1" applyFont="1" applyFill="1" applyBorder="1"/>
    <x:xf numFmtId="0" fontId="1" fillId="5" borderId="22" xfId="0" applyNumberFormat="1" applyFont="1" applyFill="1" applyBorder="1" applyAlignment="1">
      <x:alignment horizontal="center" vertical="center" wrapText="1"/>
    </x:xf>
    <x:xf numFmtId="0" fontId="1" fillId="5" borderId="23" xfId="0" applyNumberFormat="1" applyFont="1" applyFill="1" applyBorder="1" applyAlignment="1">
      <x:alignment horizontal="center" vertical="center" wrapText="1"/>
    </x:xf>
    <x:xf numFmtId="0" fontId="0" fillId="0" borderId="24" xfId="0" applyNumberFormat="1" applyFont="1" applyFill="1" applyBorder="1"/>
    <x:xf numFmtId="0" fontId="4" fillId="6" borderId="24" xfId="0" applyNumberFormat="1" applyFont="1" applyFill="1" applyBorder="1"/>
    <x:xf numFmtId="201" fontId="4" fillId="6" borderId="7" xfId="0" applyNumberFormat="1" applyFont="1" applyFill="1" applyBorder="1"/>
    <x:xf numFmtId="202" fontId="4" fillId="6" borderId="7" xfId="0" applyNumberFormat="1" applyFont="1" applyFill="1" applyBorder="1"/>
    <x:xf numFmtId="0" fontId="1" fillId="5" borderId="24" xfId="0" applyNumberFormat="1" applyFont="1" applyFill="1" applyBorder="1" applyAlignment="1">
      <x:alignment horizontal="center" vertical="center" wrapText="1"/>
    </x:xf>
    <x:xf numFmtId="0" fontId="1" fillId="5" borderId="7" xfId="0" applyNumberFormat="1" applyFont="1" applyFill="1" applyBorder="1" applyAlignment="1">
      <x:alignment horizontal="center" vertical="center" wrapText="1"/>
    </x:xf>
    <x:xf numFmtId="0" fontId="4" fillId="6" borderId="25" xfId="0" applyNumberFormat="1" applyFont="1" applyFill="1" applyBorder="1"/>
    <x:xf numFmtId="201" fontId="4" fillId="6" borderId="9" xfId="0" applyNumberFormat="1" applyFont="1" applyFill="1" applyBorder="1"/>
    <x:xf numFmtId="202" fontId="4" fillId="6" borderId="9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 applyAlignment="1">
      <x:alignment horizontal="left"/>
    </x:xf>
    <x:xf numFmtId="0" fontId="1" fillId="8" borderId="0" xfId="0" applyNumberFormat="1" applyFont="1" applyFill="1" applyBorder="1" applyAlignment="1">
      <x:alignment horizontal="left" vertical="center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 applyAlignment="1">
      <x:alignment horizontal="center" wrapText="1"/>
    </x:xf>
    <x:xf numFmtId="0" fontId="1" fillId="9" borderId="0" xfId="0" applyNumberFormat="1" applyFont="1" applyFill="1" applyBorder="1" applyAlignment="1">
      <x:alignment horizontal="center" vertical="center" wrapText="1"/>
    </x:xf>
    <x:xf numFmtId="0" fontId="1" fillId="9" borderId="26" xfId="0" applyNumberFormat="1" applyFont="1" applyFill="1" applyBorder="1" applyAlignment="1">
      <x:alignment horizontal="center" vertical="center" wrapText="1"/>
    </x:xf>
    <x:xf numFmtId="0" fontId="1" fillId="9" borderId="27" xfId="0" applyNumberFormat="1" applyFont="1" applyFill="1" applyBorder="1" applyAlignment="1">
      <x:alignment horizontal="center" vertical="center" wrapText="1"/>
    </x:xf>
    <x:xf numFmtId="0" fontId="1" fillId="9" borderId="28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horizontal="left"/>
    </x:xf>
    <x:xf numFmtId="0" fontId="1" fillId="10" borderId="0" xfId="0" applyNumberFormat="1" applyFont="1" applyFill="1" applyBorder="1" applyAlignment="1">
      <x:alignment horizontal="left" vertical="center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horizontal="center" wrapText="1"/>
    </x:xf>
    <x:xf numFmtId="0" fontId="1" fillId="11" borderId="0" xfId="0" applyNumberFormat="1" applyFont="1" applyFill="1" applyBorder="1" applyAlignment="1">
      <x:alignment horizontal="center" vertical="center" wrapText="1"/>
    </x:xf>
    <x:xf numFmtId="0" fontId="1" fillId="11" borderId="29" xfId="0" applyNumberFormat="1" applyFont="1" applyFill="1" applyBorder="1" applyAlignment="1">
      <x:alignment horizontal="center" vertical="center" wrapText="1"/>
    </x:xf>
    <x:xf numFmtId="0" fontId="1" fillId="11" borderId="30" xfId="0" applyNumberFormat="1" applyFont="1" applyFill="1" applyBorder="1" applyAlignment="1">
      <x:alignment horizontal="center" vertical="center" wrapText="1"/>
    </x:xf>
    <x:xf numFmtId="0" fontId="1" fillId="11" borderId="31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3" fillId="12" borderId="0" xfId="0" applyNumberFormat="1" applyFont="1" applyFill="1" applyBorder="1"/>
    <x:xf numFmtId="0" fontId="3" fillId="12" borderId="0" xfId="0" applyNumberFormat="1" applyFont="1" applyFill="1" applyBorder="1" applyAlignment="1">
      <x:alignment wrapText="1"/>
    </x:xf>
    <x:xf numFmtId="0" fontId="3" fillId="12" borderId="0" xfId="0" applyNumberFormat="1" applyFont="1" applyFill="1" applyBorder="1" applyAlignment="1">
      <x:alignment horizontal="center" wrapText="1"/>
    </x:xf>
    <x:xf numFmtId="0" fontId="0" fillId="13" borderId="0" xfId="0" applyNumberFormat="1" applyFont="1" applyFill="1" applyBorder="1"/>
    <x:xf numFmtId="0" fontId="5" fillId="13" borderId="0" xfId="0" applyNumberFormat="1" applyFont="1" applyFill="1" applyBorder="1"/>
    <x:xf numFmtId="0" fontId="0" fillId="8" borderId="32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left"/>
    </x:xf>
    <x:xf numFmtId="0" fontId="0" fillId="14" borderId="0" xfId="0" applyNumberFormat="1" applyFont="1" applyFill="1" applyBorder="1"/>
    <x:xf numFmtId="0" fontId="0" fillId="14" borderId="32" xfId="0" applyNumberFormat="1" applyFont="1" applyFill="1" applyBorder="1"/>
    <x:xf numFmtId="0" fontId="0" fillId="15" borderId="0" xfId="0" applyNumberFormat="1" applyFont="1" applyFill="1" applyBorder="1"/>
    <x:xf numFmtId="0" fontId="0" fillId="15" borderId="32" xfId="0" applyNumberFormat="1" applyFont="1" applyFill="1" applyBorder="1"/>
    <x:xf numFmtId="0" fontId="0" fillId="16" borderId="0" xfId="0" applyNumberFormat="1" applyFont="1" applyFill="1" applyBorder="1"/>
    <x:xf numFmtId="0" fontId="0" fillId="16" borderId="32" xfId="0" applyNumberFormat="1" applyFont="1" applyFill="1" applyBorder="1"/>
    <x:xf numFmtId="0" fontId="0" fillId="17" borderId="0" xfId="0" applyNumberFormat="1" applyFont="1" applyFill="1" applyBorder="1"/>
    <x:xf numFmtId="0" fontId="0" fillId="17" borderId="32" xfId="0" applyNumberFormat="1" applyFont="1" applyFill="1" applyBorder="1"/>
    <x:xf numFmtId="0" fontId="0" fillId="18" borderId="0" xfId="0" applyNumberFormat="1" applyFont="1" applyFill="1" applyBorder="1"/>
    <x:xf numFmtId="0" fontId="0" fillId="18" borderId="32" xfId="0" applyNumberFormat="1" applyFont="1" applyFill="1" applyBorder="1"/>
    <x:xf numFmtId="0" fontId="0" fillId="19" borderId="0" xfId="0" applyNumberFormat="1" applyFont="1" applyFill="1" applyBorder="1"/>
    <x:xf numFmtId="0" fontId="0" fillId="19" borderId="32" xfId="0" applyNumberFormat="1" applyFont="1" applyFill="1" applyBorder="1"/>
    <x:xf numFmtId="0" fontId="0" fillId="20" borderId="0" xfId="0" applyNumberFormat="1" applyFont="1" applyFill="1" applyBorder="1"/>
    <x:xf numFmtId="0" fontId="0" fillId="20" borderId="32" xfId="0" applyNumberFormat="1" applyFont="1" applyFill="1" applyBorder="1"/>
    <x:xf numFmtId="0" fontId="0" fillId="21" borderId="0" xfId="0" applyNumberFormat="1" applyFont="1" applyFill="1" applyBorder="1"/>
    <x:xf numFmtId="0" fontId="0" fillId="21" borderId="32" xfId="0" applyNumberFormat="1" applyFont="1" applyFill="1" applyBorder="1"/>
    <x:xf numFmtId="0" fontId="0" fillId="22" borderId="0" xfId="0" applyNumberFormat="1" applyFont="1" applyFill="1" applyBorder="1"/>
    <x:xf numFmtId="0" fontId="0" fillId="22" borderId="3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b36bb314544e47" /><Relationship Type="http://schemas.openxmlformats.org/officeDocument/2006/relationships/theme" Target="/xl/theme/theme1.xml" Id="R9a8dc0396aba4a6d" /><Relationship Type="http://schemas.openxmlformats.org/officeDocument/2006/relationships/sharedStrings" Target="/xl/sharedStrings.xml" Id="Rb38f1553ebc74dc7" /><Relationship Type="http://schemas.openxmlformats.org/officeDocument/2006/relationships/worksheet" Target="/xl/worksheets/sheet1.xml" Id="R62b58fe93b594a93" /><Relationship Type="http://schemas.openxmlformats.org/officeDocument/2006/relationships/worksheet" Target="/xl/worksheets/sheet2.xml" Id="Rf1292c9a28a947e3" /><Relationship Type="http://schemas.openxmlformats.org/officeDocument/2006/relationships/worksheet" Target="/xl/worksheets/sheet3.xml" Id="Ra973983fc3a54db6" /><Relationship Type="http://schemas.openxmlformats.org/officeDocument/2006/relationships/worksheet" Target="/xl/worksheets/sheet4.xml" Id="Rac227b3500504dba" /><Relationship Type="http://schemas.openxmlformats.org/officeDocument/2006/relationships/worksheet" Target="/xl/worksheets/sheet5.xml" Id="R11877caa6dde4c8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682bdb1da274377" /><Relationship Type="http://schemas.openxmlformats.org/officeDocument/2006/relationships/chart" Target="/xl/drawings/charts/chart2.xml" Id="Rd8e6c6f839904259" /><Relationship Type="http://schemas.openxmlformats.org/officeDocument/2006/relationships/chart" Target="/xl/drawings/charts/chart3.xml" Id="R3871a6e5437f432a" /><Relationship Type="http://schemas.openxmlformats.org/officeDocument/2006/relationships/chart" Target="/xl/drawings/charts/chart4.xml" Id="R657796008ba2432a" /><Relationship Type="http://schemas.openxmlformats.org/officeDocument/2006/relationships/chart" Target="/xl/drawings/charts/chart5.xml" Id="R05bee42b426e44f2" /><Relationship Type="http://schemas.openxmlformats.org/officeDocument/2006/relationships/chart" Target="/xl/drawings/charts/chart6.xml" Id="R80f33042fbe74089" /><Relationship Type="http://schemas.openxmlformats.org/officeDocument/2006/relationships/chart" Target="/xl/drawings/charts/chart7.xml" Id="R63d8ec87cd6e4eae" /><Relationship Type="http://schemas.openxmlformats.org/officeDocument/2006/relationships/chart" Target="/xl/drawings/charts/chart8.xml" Id="R666c77d8835b45a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王云 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'图表数据'!$C$5:$C$236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王云 订单</c:v>
          </c:tx>
          <c:spPr>
            <a:solidFill xmlns:a="http://schemas.openxmlformats.org/drawingml/2006/main">
              <a:srgbClr val="7DD3C7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'图表数据'!$D$5:$D$236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樊永鹏 销量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'图表数据'!$E$5:$E$236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樊永鹏 订单</c:v>
          </c:tx>
          <c:spPr>
            <a:solidFill xmlns:a="http://schemas.openxmlformats.org/drawingml/2006/main">
              <a:srgbClr val="93C5FD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'图表数据'!$F$5:$F$236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侯兴华 销量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'图表数据'!$G$5:$G$236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侯兴华 订单</c:v>
          </c:tx>
          <c:spPr>
            <a:solidFill xmlns:a="http://schemas.openxmlformats.org/drawingml/2006/main">
              <a:srgbClr val="FCD34D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'图表数据'!$H$5:$H$236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张垒 销量</c:v>
          </c:tx>
          <c:spPr>
            <a:solidFill xmlns:a="http://schemas.openxmlformats.org/drawingml/2006/main">
              <a:srgbClr val="9333EA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'图表数据'!$I$5:$I$236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张垒 订单</c:v>
          </c:tx>
          <c:spPr>
            <a:solidFill xmlns:a="http://schemas.openxmlformats.org/drawingml/2006/main">
              <a:srgbClr val="D8B4FE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'图表数据'!$J$5:$J$236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8"/>
          <c:order val="8"/>
          <c:tx>
            <c:v>李雪雪 销量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'图表数据'!$K$5:$K$236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9"/>
          <c:order val="9"/>
          <c:tx>
            <c:v>李雪雪 订单</c:v>
          </c:tx>
          <c:spPr>
            <a:solidFill xmlns:a="http://schemas.openxmlformats.org/drawingml/2006/main">
              <a:srgbClr val="FCA5A5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'图表数据'!$L$5:$L$236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朱春雨 销量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'图表数据'!$M$5:$M$236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朱春雨 订单</c:v>
          </c:tx>
          <c:spPr>
            <a:solidFill xmlns:a="http://schemas.openxmlformats.org/drawingml/2006/main">
              <a:srgbClr val="67E8F9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'图表数据'!$N$5:$N$236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吴承龙 销量</c:v>
          </c:tx>
          <c:spPr>
            <a:solidFill xmlns:a="http://schemas.openxmlformats.org/drawingml/2006/main">
              <a:srgbClr val="65A30D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'图表数据'!$O$5:$O$236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吴承龙 订单</c:v>
          </c:tx>
          <c:spPr>
            <a:solidFill xmlns:a="http://schemas.openxmlformats.org/drawingml/2006/main">
              <a:srgbClr val="BEF264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'图表数据'!$P$5:$P$236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叶娜 销量</c:v>
          </c:tx>
          <c:spPr>
            <a:solidFill xmlns:a="http://schemas.openxmlformats.org/drawingml/2006/main">
              <a:srgbClr val="DB2777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'图表数据'!$Q$5:$Q$236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叶娜 订单</c:v>
          </c:tx>
          <c:spPr>
            <a:solidFill xmlns:a="http://schemas.openxmlformats.org/drawingml/2006/main">
              <a:srgbClr val="F9A8D4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'图表数据'!$R$5:$R$236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6"/>
          <c:order val="16"/>
          <c:tx>
            <c:v>徐跃男 销量</c:v>
          </c:tx>
          <c:spPr>
            <a:solidFill xmlns:a="http://schemas.openxmlformats.org/drawingml/2006/main">
              <a:srgbClr val="475569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'图表数据'!$S$5:$S$236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7"/>
          <c:order val="17"/>
          <c:tx>
            <c:v>徐跃男 订单</c:v>
          </c:tx>
          <c:spPr>
            <a:solidFill xmlns:a="http://schemas.openxmlformats.org/drawingml/2006/main">
              <a:srgbClr val="CBD5E1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'图表数据'!$T$5:$T$236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8"/>
          <c:order val="18"/>
          <c:tx>
            <c:v>许炎 销量</c:v>
          </c:tx>
          <c:spPr>
            <a:solidFill xmlns:a="http://schemas.openxmlformats.org/drawingml/2006/main">
              <a:srgbClr val="EA580C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'图表数据'!$U$5:$U$236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9"/>
          <c:order val="19"/>
          <c:tx>
            <c:v>许炎 订单</c:v>
          </c:tx>
          <c:spPr>
            <a:solidFill xmlns:a="http://schemas.openxmlformats.org/drawingml/2006/main">
              <a:srgbClr val="FDBA74"/>
            </a:solidFill>
          </c:spPr>
          <c:marker>
            <c:symbol val="none"/>
          </c:marke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'图表数据'!$V$5:$V$236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王云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'图表数据'!$W$5:$W$236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樊永鹏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'图表数据'!$X$5:$X$236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侯兴华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'图表数据'!$Y$5:$Y$236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张垒</c:v>
          </c:tx>
          <c:spPr>
            <a:solidFill xmlns:a="http://schemas.openxmlformats.org/drawingml/2006/main">
              <a:srgbClr val="9333EA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'图表数据'!$Z$5:$Z$236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李雪雪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'图表数据'!$AA$5:$AA$236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朱春雨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'图表数据'!$AB$5:$AB$236</c:f>
              <c:numCache>
                <c:formatCode>#,##0.00</c:formatCode>
                <c:ptCount val="0"/>
              </c:numCache>
            </c:numRef>
          </c:val>
        </c:ser>
        <c:ser>
          <c:idx val="6"/>
          <c:order val="6"/>
          <c:tx>
            <c:v>吴承龙</c:v>
          </c:tx>
          <c:spPr>
            <a:solidFill xmlns:a="http://schemas.openxmlformats.org/drawingml/2006/main">
              <a:srgbClr val="65A30D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'图表数据'!$AC$5:$AC$236</c:f>
              <c:numCache>
                <c:formatCode>#,##0.00</c:formatCode>
                <c:ptCount val="0"/>
              </c:numCache>
            </c:numRef>
          </c:val>
        </c:ser>
        <c:ser>
          <c:idx val="7"/>
          <c:order val="7"/>
          <c:tx>
            <c:v>叶娜</c:v>
          </c:tx>
          <c:spPr>
            <a:solidFill xmlns:a="http://schemas.openxmlformats.org/drawingml/2006/main">
              <a:srgbClr val="DB2777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'图表数据'!$AD$5:$AD$236</c:f>
              <c:numCache>
                <c:formatCode>#,##0.00</c:formatCode>
                <c:ptCount val="0"/>
              </c:numCache>
            </c:numRef>
          </c:val>
        </c:ser>
        <c:ser>
          <c:idx val="8"/>
          <c:order val="8"/>
          <c:tx>
            <c:v>徐跃男</c:v>
          </c:tx>
          <c:spPr>
            <a:solidFill xmlns:a="http://schemas.openxmlformats.org/drawingml/2006/main">
              <a:srgbClr val="475569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'图表数据'!$AE$5:$AE$236</c:f>
              <c:numCache>
                <c:formatCode>#,##0.00</c:formatCode>
                <c:ptCount val="0"/>
              </c:numCache>
            </c:numRef>
          </c:val>
        </c:ser>
        <c:ser>
          <c:idx val="9"/>
          <c:order val="9"/>
          <c:tx>
            <c:v>许炎</c:v>
          </c:tx>
          <c:spPr>
            <a:solidFill xmlns:a="http://schemas.openxmlformats.org/drawingml/2006/main">
              <a:srgbClr val="EA580C"/>
            </a:solidFill>
          </c:spPr>
          <c:cat>
            <c:strRef>
              <c:f>'图表数据'!$A$5:$A$236</c:f>
              <c:strCache>
                <c:ptCount val="0"/>
              </c:strCache>
            </c:strRef>
          </c:cat>
          <c:val>
            <c:numRef>
              <c:f>'图表数据'!$AF$5:$AF$236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王云 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'图表数据'!$C$242:$C$249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王云 订单</c:v>
          </c:tx>
          <c:spPr>
            <a:solidFill xmlns:a="http://schemas.openxmlformats.org/drawingml/2006/main">
              <a:srgbClr val="7DD3C7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'图表数据'!$D$242:$D$249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樊永鹏 销量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'图表数据'!$E$242:$E$249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樊永鹏 订单</c:v>
          </c:tx>
          <c:spPr>
            <a:solidFill xmlns:a="http://schemas.openxmlformats.org/drawingml/2006/main">
              <a:srgbClr val="93C5FD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'图表数据'!$F$242:$F$249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侯兴华 销量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'图表数据'!$G$242:$G$249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侯兴华 订单</c:v>
          </c:tx>
          <c:spPr>
            <a:solidFill xmlns:a="http://schemas.openxmlformats.org/drawingml/2006/main">
              <a:srgbClr val="FCD34D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'图表数据'!$H$242:$H$249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张垒 销量</c:v>
          </c:tx>
          <c:spPr>
            <a:solidFill xmlns:a="http://schemas.openxmlformats.org/drawingml/2006/main">
              <a:srgbClr val="9333EA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'图表数据'!$I$242:$I$249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张垒 订单</c:v>
          </c:tx>
          <c:spPr>
            <a:solidFill xmlns:a="http://schemas.openxmlformats.org/drawingml/2006/main">
              <a:srgbClr val="D8B4FE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'图表数据'!$J$242:$J$249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8"/>
          <c:order val="8"/>
          <c:tx>
            <c:v>李雪雪 销量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'图表数据'!$K$242:$K$249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9"/>
          <c:order val="9"/>
          <c:tx>
            <c:v>李雪雪 订单</c:v>
          </c:tx>
          <c:spPr>
            <a:solidFill xmlns:a="http://schemas.openxmlformats.org/drawingml/2006/main">
              <a:srgbClr val="FCA5A5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'图表数据'!$L$242:$L$249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朱春雨 销量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'图表数据'!$M$242:$M$249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朱春雨 订单</c:v>
          </c:tx>
          <c:spPr>
            <a:solidFill xmlns:a="http://schemas.openxmlformats.org/drawingml/2006/main">
              <a:srgbClr val="67E8F9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'图表数据'!$N$242:$N$249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吴承龙 销量</c:v>
          </c:tx>
          <c:spPr>
            <a:solidFill xmlns:a="http://schemas.openxmlformats.org/drawingml/2006/main">
              <a:srgbClr val="65A30D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'图表数据'!$O$242:$O$249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吴承龙 订单</c:v>
          </c:tx>
          <c:spPr>
            <a:solidFill xmlns:a="http://schemas.openxmlformats.org/drawingml/2006/main">
              <a:srgbClr val="BEF264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'图表数据'!$P$242:$P$249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4"/>
          <c:order val="14"/>
          <c:tx>
            <c:v>叶娜 销量</c:v>
          </c:tx>
          <c:spPr>
            <a:solidFill xmlns:a="http://schemas.openxmlformats.org/drawingml/2006/main">
              <a:srgbClr val="DB2777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'图表数据'!$Q$242:$Q$249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5"/>
          <c:order val="15"/>
          <c:tx>
            <c:v>叶娜 订单</c:v>
          </c:tx>
          <c:spPr>
            <a:solidFill xmlns:a="http://schemas.openxmlformats.org/drawingml/2006/main">
              <a:srgbClr val="F9A8D4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'图表数据'!$R$242:$R$249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6"/>
          <c:order val="16"/>
          <c:tx>
            <c:v>徐跃男 销量</c:v>
          </c:tx>
          <c:spPr>
            <a:solidFill xmlns:a="http://schemas.openxmlformats.org/drawingml/2006/main">
              <a:srgbClr val="475569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'图表数据'!$S$242:$S$249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7"/>
          <c:order val="17"/>
          <c:tx>
            <c:v>徐跃男 订单</c:v>
          </c:tx>
          <c:spPr>
            <a:solidFill xmlns:a="http://schemas.openxmlformats.org/drawingml/2006/main">
              <a:srgbClr val="CBD5E1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'图表数据'!$T$242:$T$249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8"/>
          <c:order val="18"/>
          <c:tx>
            <c:v>许炎 销量</c:v>
          </c:tx>
          <c:spPr>
            <a:solidFill xmlns:a="http://schemas.openxmlformats.org/drawingml/2006/main">
              <a:srgbClr val="EA580C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'图表数据'!$U$242:$U$249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9"/>
          <c:order val="19"/>
          <c:tx>
            <c:v>许炎 订单</c:v>
          </c:tx>
          <c:spPr>
            <a:solidFill xmlns:a="http://schemas.openxmlformats.org/drawingml/2006/main">
              <a:srgbClr val="FDBA74"/>
            </a:solidFill>
          </c:spPr>
          <c:marker>
            <c:symbol val="none"/>
          </c:marke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'图表数据'!$V$242:$V$249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王云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'图表数据'!$W$242:$W$249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樊永鹏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'图表数据'!$X$242:$X$249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侯兴华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'图表数据'!$Y$242:$Y$249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张垒</c:v>
          </c:tx>
          <c:spPr>
            <a:solidFill xmlns:a="http://schemas.openxmlformats.org/drawingml/2006/main">
              <a:srgbClr val="9333EA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'图表数据'!$Z$242:$Z$249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李雪雪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'图表数据'!$AA$242:$AA$249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朱春雨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'图表数据'!$AB$242:$AB$249</c:f>
              <c:numCache>
                <c:formatCode>#,##0.00</c:formatCode>
                <c:ptCount val="0"/>
              </c:numCache>
            </c:numRef>
          </c:val>
        </c:ser>
        <c:ser>
          <c:idx val="6"/>
          <c:order val="6"/>
          <c:tx>
            <c:v>吴承龙</c:v>
          </c:tx>
          <c:spPr>
            <a:solidFill xmlns:a="http://schemas.openxmlformats.org/drawingml/2006/main">
              <a:srgbClr val="65A30D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'图表数据'!$AC$242:$AC$249</c:f>
              <c:numCache>
                <c:formatCode>#,##0.00</c:formatCode>
                <c:ptCount val="0"/>
              </c:numCache>
            </c:numRef>
          </c:val>
        </c:ser>
        <c:ser>
          <c:idx val="7"/>
          <c:order val="7"/>
          <c:tx>
            <c:v>叶娜</c:v>
          </c:tx>
          <c:spPr>
            <a:solidFill xmlns:a="http://schemas.openxmlformats.org/drawingml/2006/main">
              <a:srgbClr val="DB2777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'图表数据'!$AD$242:$AD$249</c:f>
              <c:numCache>
                <c:formatCode>#,##0.00</c:formatCode>
                <c:ptCount val="0"/>
              </c:numCache>
            </c:numRef>
          </c:val>
        </c:ser>
        <c:ser>
          <c:idx val="8"/>
          <c:order val="8"/>
          <c:tx>
            <c:v>徐跃男</c:v>
          </c:tx>
          <c:spPr>
            <a:solidFill xmlns:a="http://schemas.openxmlformats.org/drawingml/2006/main">
              <a:srgbClr val="475569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'图表数据'!$AE$242:$AE$249</c:f>
              <c:numCache>
                <c:formatCode>#,##0.00</c:formatCode>
                <c:ptCount val="0"/>
              </c:numCache>
            </c:numRef>
          </c:val>
        </c:ser>
        <c:ser>
          <c:idx val="9"/>
          <c:order val="9"/>
          <c:tx>
            <c:v>许炎</c:v>
          </c:tx>
          <c:spPr>
            <a:solidFill xmlns:a="http://schemas.openxmlformats.org/drawingml/2006/main">
              <a:srgbClr val="EA580C"/>
            </a:solidFill>
          </c:spPr>
          <c:cat>
            <c:strRef>
              <c:f>'图表数据'!$A$242:$A$249</c:f>
              <c:strCache>
                <c:ptCount val="0"/>
              </c:strCache>
            </c:strRef>
          </c:cat>
          <c:val>
            <c:numRef>
              <c:f>'图表数据'!$AF$242:$AF$249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印度尼西亚 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'图表数据'!$C$255:$C$486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印度尼西亚 订单</c:v>
          </c:tx>
          <c:spPr>
            <a:solidFill xmlns:a="http://schemas.openxmlformats.org/drawingml/2006/main">
              <a:srgbClr val="7DD3C7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'图表数据'!$D$255:$D$486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菲律宾 销量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'图表数据'!$E$255:$E$486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菲律宾 订单</c:v>
          </c:tx>
          <c:spPr>
            <a:solidFill xmlns:a="http://schemas.openxmlformats.org/drawingml/2006/main">
              <a:srgbClr val="93C5FD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'图表数据'!$F$255:$F$486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越南 销量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'图表数据'!$G$255:$G$486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越南 订单</c:v>
          </c:tx>
          <c:spPr>
            <a:solidFill xmlns:a="http://schemas.openxmlformats.org/drawingml/2006/main">
              <a:srgbClr val="FCD34D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'图表数据'!$H$255:$H$486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马来西亚 销量</c:v>
          </c:tx>
          <c:spPr>
            <a:solidFill xmlns:a="http://schemas.openxmlformats.org/drawingml/2006/main">
              <a:srgbClr val="9333EA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'图表数据'!$I$255:$I$486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马来西亚 订单</c:v>
          </c:tx>
          <c:spPr>
            <a:solidFill xmlns:a="http://schemas.openxmlformats.org/drawingml/2006/main">
              <a:srgbClr val="D8B4FE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'图表数据'!$J$255:$J$486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8"/>
          <c:order val="8"/>
          <c:tx>
            <c:v>泰国 销量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'图表数据'!$K$255:$K$486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9"/>
          <c:order val="9"/>
          <c:tx>
            <c:v>泰国 订单</c:v>
          </c:tx>
          <c:spPr>
            <a:solidFill xmlns:a="http://schemas.openxmlformats.org/drawingml/2006/main">
              <a:srgbClr val="FCA5A5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'图表数据'!$L$255:$L$486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墨西哥 销量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'图表数据'!$M$255:$M$486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墨西哥 订单</c:v>
          </c:tx>
          <c:spPr>
            <a:solidFill xmlns:a="http://schemas.openxmlformats.org/drawingml/2006/main">
              <a:srgbClr val="67E8F9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'图表数据'!$N$255:$N$486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巴西 销量</c:v>
          </c:tx>
          <c:spPr>
            <a:solidFill xmlns:a="http://schemas.openxmlformats.org/drawingml/2006/main">
              <a:srgbClr val="65A30D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'图表数据'!$O$255:$O$486</c:f>
              <c:numCache>
                <c:formatCode>#,##0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巴西 订单</c:v>
          </c:tx>
          <c:spPr>
            <a:solidFill xmlns:a="http://schemas.openxmlformats.org/drawingml/2006/main">
              <a:srgbClr val="BEF264"/>
            </a:solidFill>
          </c:spPr>
          <c:marker>
            <c:symbol val="none"/>
          </c:marke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'图表数据'!$P$255:$P$486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6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印度尼西亚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'图表数据'!$Q$255:$Q$486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菲律宾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'图表数据'!$R$255:$R$486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越南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'图表数据'!$S$255:$S$486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马来西亚</c:v>
          </c:tx>
          <c:spPr>
            <a:solidFill xmlns:a="http://schemas.openxmlformats.org/drawingml/2006/main">
              <a:srgbClr val="9333EA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'图表数据'!$T$255:$T$486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泰国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'图表数据'!$U$255:$U$486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墨西哥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'图表数据'!$V$255:$V$486</c:f>
              <c:numCache>
                <c:formatCode>#,##0.00</c:formatCode>
                <c:ptCount val="0"/>
              </c:numCache>
            </c:numRef>
          </c:val>
        </c:ser>
        <c:ser>
          <c:idx val="6"/>
          <c:order val="6"/>
          <c:tx>
            <c:v>巴西</c:v>
          </c:tx>
          <c:spPr>
            <a:solidFill xmlns:a="http://schemas.openxmlformats.org/drawingml/2006/main">
              <a:srgbClr val="65A30D"/>
            </a:solidFill>
          </c:spPr>
          <c:cat>
            <c:strRef>
              <c:f>'图表数据'!$A$255:$A$486</c:f>
              <c:strCache>
                <c:ptCount val="0"/>
              </c:strCache>
            </c:strRef>
          </c:cat>
          <c:val>
            <c:numRef>
              <c:f>'图表数据'!$W$255:$W$486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7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lineChart>
        <c:grouping val="standard"/>
        <c:varyColors val="0"/>
        <c:ser>
          <c:idx val="0"/>
          <c:order val="0"/>
          <c:tx>
            <c:v>印度尼西亚 销量</c:v>
          </c:tx>
          <c:spPr>
            <a:solidFill xmlns:a="http://schemas.openxmlformats.org/drawingml/2006/main">
              <a:srgbClr val="0F766E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'图表数据'!$C$492:$C$499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印度尼西亚 订单</c:v>
          </c:tx>
          <c:spPr>
            <a:solidFill xmlns:a="http://schemas.openxmlformats.org/drawingml/2006/main">
              <a:srgbClr val="7DD3C7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'图表数据'!$D$492:$D$499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菲律宾 销量</c:v>
          </c:tx>
          <c:spPr>
            <a:solidFill xmlns:a="http://schemas.openxmlformats.org/drawingml/2006/main">
              <a:srgbClr val="2563EB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'图表数据'!$E$492:$E$499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3"/>
          <c:order val="3"/>
          <c:tx>
            <c:v>菲律宾 订单</c:v>
          </c:tx>
          <c:spPr>
            <a:solidFill xmlns:a="http://schemas.openxmlformats.org/drawingml/2006/main">
              <a:srgbClr val="93C5FD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'图表数据'!$F$492:$F$499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4"/>
          <c:order val="4"/>
          <c:tx>
            <c:v>越南 销量</c:v>
          </c:tx>
          <c:spPr>
            <a:solidFill xmlns:a="http://schemas.openxmlformats.org/drawingml/2006/main">
              <a:srgbClr val="D97706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'图表数据'!$G$492:$G$499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5"/>
          <c:order val="5"/>
          <c:tx>
            <c:v>越南 订单</c:v>
          </c:tx>
          <c:spPr>
            <a:solidFill xmlns:a="http://schemas.openxmlformats.org/drawingml/2006/main">
              <a:srgbClr val="FCD34D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'图表数据'!$H$492:$H$499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6"/>
          <c:order val="6"/>
          <c:tx>
            <c:v>马来西亚 销量</c:v>
          </c:tx>
          <c:spPr>
            <a:solidFill xmlns:a="http://schemas.openxmlformats.org/drawingml/2006/main">
              <a:srgbClr val="9333EA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'图表数据'!$I$492:$I$499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7"/>
          <c:order val="7"/>
          <c:tx>
            <c:v>马来西亚 订单</c:v>
          </c:tx>
          <c:spPr>
            <a:solidFill xmlns:a="http://schemas.openxmlformats.org/drawingml/2006/main">
              <a:srgbClr val="D8B4FE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'图表数据'!$J$492:$J$499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8"/>
          <c:order val="8"/>
          <c:tx>
            <c:v>泰国 销量</c:v>
          </c:tx>
          <c:spPr>
            <a:solidFill xmlns:a="http://schemas.openxmlformats.org/drawingml/2006/main">
              <a:srgbClr val="DC2626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'图表数据'!$K$492:$K$499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9"/>
          <c:order val="9"/>
          <c:tx>
            <c:v>泰国 订单</c:v>
          </c:tx>
          <c:spPr>
            <a:solidFill xmlns:a="http://schemas.openxmlformats.org/drawingml/2006/main">
              <a:srgbClr val="FCA5A5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'图表数据'!$L$492:$L$499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0"/>
          <c:order val="10"/>
          <c:tx>
            <c:v>墨西哥 销量</c:v>
          </c:tx>
          <c:spPr>
            <a:solidFill xmlns:a="http://schemas.openxmlformats.org/drawingml/2006/main">
              <a:srgbClr val="0891B2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'图表数据'!$M$492:$M$499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1"/>
          <c:order val="11"/>
          <c:tx>
            <c:v>墨西哥 订单</c:v>
          </c:tx>
          <c:spPr>
            <a:solidFill xmlns:a="http://schemas.openxmlformats.org/drawingml/2006/main">
              <a:srgbClr val="67E8F9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'图表数据'!$N$492:$N$499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2"/>
          <c:order val="12"/>
          <c:tx>
            <c:v>巴西 销量</c:v>
          </c:tx>
          <c:spPr>
            <a:solidFill xmlns:a="http://schemas.openxmlformats.org/drawingml/2006/main">
              <a:srgbClr val="65A30D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'图表数据'!$O$492:$O$499</c:f>
              <c:numCache>
                <c:formatCode>#,##0</c:formatCode>
                <c:ptCount val="0"/>
              </c:numCache>
            </c:numRef>
          </c:val>
          <c:smooth val="0"/>
        </c:ser>
        <c:ser>
          <c:idx val="13"/>
          <c:order val="13"/>
          <c:tx>
            <c:v>巴西 订单</c:v>
          </c:tx>
          <c:spPr>
            <a:solidFill xmlns:a="http://schemas.openxmlformats.org/drawingml/2006/main">
              <a:srgbClr val="BEF264"/>
            </a:solidFill>
          </c:spPr>
          <c:marker>
            <c:symbol val="none"/>
          </c:marke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'图表数据'!$P$492:$P$499</c:f>
              <c:numCache>
                <c:formatCode>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8.xml><?xml version="1.0" encoding="utf-8"?>
<c:chartSpace xmlns:c="http://schemas.openxmlformats.org/drawingml/2006/chart">
  <c:lang val="en-US"/>
  <c:roundedCorners val="0"/>
  <c:chart>
    <c:title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/>
          </a:pPr>
        </a:p>
      </c:txPr>
    </c:title>
    <c:plotArea>
      <c:barChart>
        <c:barDir val="col"/>
        <c:varyColors val="0"/>
        <c:ser>
          <c:idx val="0"/>
          <c:order val="0"/>
          <c:tx>
            <c:v>印度尼西亚</c:v>
          </c:tx>
          <c:spPr>
            <a:solidFill xmlns:a="http://schemas.openxmlformats.org/drawingml/2006/main">
              <a:srgbClr val="0F766E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'图表数据'!$Q$492:$Q$499</c:f>
              <c:numCache>
                <c:formatCode>#,##0.00</c:formatCode>
                <c:ptCount val="0"/>
              </c:numCache>
            </c:numRef>
          </c:val>
        </c:ser>
        <c:ser>
          <c:idx val="1"/>
          <c:order val="1"/>
          <c:tx>
            <c:v>菲律宾</c:v>
          </c:tx>
          <c:spPr>
            <a:solidFill xmlns:a="http://schemas.openxmlformats.org/drawingml/2006/main">
              <a:srgbClr val="2563EB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'图表数据'!$R$492:$R$499</c:f>
              <c:numCache>
                <c:formatCode>#,##0.00</c:formatCode>
                <c:ptCount val="0"/>
              </c:numCache>
            </c:numRef>
          </c:val>
        </c:ser>
        <c:ser>
          <c:idx val="2"/>
          <c:order val="2"/>
          <c:tx>
            <c:v>越南</c:v>
          </c:tx>
          <c:spPr>
            <a:solidFill xmlns:a="http://schemas.openxmlformats.org/drawingml/2006/main">
              <a:srgbClr val="D97706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'图表数据'!$S$492:$S$499</c:f>
              <c:numCache>
                <c:formatCode>#,##0.00</c:formatCode>
                <c:ptCount val="0"/>
              </c:numCache>
            </c:numRef>
          </c:val>
        </c:ser>
        <c:ser>
          <c:idx val="3"/>
          <c:order val="3"/>
          <c:tx>
            <c:v>马来西亚</c:v>
          </c:tx>
          <c:spPr>
            <a:solidFill xmlns:a="http://schemas.openxmlformats.org/drawingml/2006/main">
              <a:srgbClr val="9333EA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'图表数据'!$T$492:$T$499</c:f>
              <c:numCache>
                <c:formatCode>#,##0.00</c:formatCode>
                <c:ptCount val="0"/>
              </c:numCache>
            </c:numRef>
          </c:val>
        </c:ser>
        <c:ser>
          <c:idx val="4"/>
          <c:order val="4"/>
          <c:tx>
            <c:v>泰国</c:v>
          </c:tx>
          <c:spPr>
            <a:solidFill xmlns:a="http://schemas.openxmlformats.org/drawingml/2006/main">
              <a:srgbClr val="DC2626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'图表数据'!$U$492:$U$499</c:f>
              <c:numCache>
                <c:formatCode>#,##0.00</c:formatCode>
                <c:ptCount val="0"/>
              </c:numCache>
            </c:numRef>
          </c:val>
        </c:ser>
        <c:ser>
          <c:idx val="5"/>
          <c:order val="5"/>
          <c:tx>
            <c:v>墨西哥</c:v>
          </c:tx>
          <c:spPr>
            <a:solidFill xmlns:a="http://schemas.openxmlformats.org/drawingml/2006/main">
              <a:srgbClr val="0891B2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'图表数据'!$V$492:$V$499</c:f>
              <c:numCache>
                <c:formatCode>#,##0.00</c:formatCode>
                <c:ptCount val="0"/>
              </c:numCache>
            </c:numRef>
          </c:val>
        </c:ser>
        <c:ser>
          <c:idx val="6"/>
          <c:order val="6"/>
          <c:tx>
            <c:v>巴西</c:v>
          </c:tx>
          <c:spPr>
            <a:solidFill xmlns:a="http://schemas.openxmlformats.org/drawingml/2006/main">
              <a:srgbClr val="65A30D"/>
            </a:solidFill>
          </c:spPr>
          <c:cat>
            <c:strRef>
              <c:f>'图表数据'!$A$492:$A$499</c:f>
              <c:strCache>
                <c:ptCount val="0"/>
              </c:strCache>
            </c:strRef>
          </c:cat>
          <c:val>
            <c:numRef>
              <c:f>'图表数据'!$W$492:$W$499</c:f>
              <c:numCache>
                <c:formatCode>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525"/>
            </a:pPr>
          </a:p>
        </c:txPr>
        <c:crossAx val="48672768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.0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5</xdr:row>
      <xdr:rowOff>0</xdr:rowOff>
    </xdr:from>
    <xdr:to>
      <xdr:col>17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682bdb1da274377"/>
        </a:graphicData>
      </a:graphic>
    </xdr:graphicFrame>
    <xdr:clientData/>
  </xdr:twoCellAnchor>
  <xdr:twoCellAnchor>
    <xdr:from>
      <xdr:col>18</xdr:col>
      <xdr:colOff>0</xdr:colOff>
      <xdr:row>5</xdr:row>
      <xdr:rowOff>0</xdr:rowOff>
    </xdr:from>
    <xdr:to>
      <xdr:col>33</xdr:col>
      <xdr:colOff>0</xdr:colOff>
      <xdr:row>22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8e6c6f839904259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17</xdr:col>
      <xdr:colOff>0</xdr:colOff>
      <xdr:row>43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871a6e5437f432a"/>
        </a:graphicData>
      </a:graphic>
    </xdr:graphicFrame>
    <xdr:clientData/>
  </xdr:twoCellAnchor>
  <xdr:twoCellAnchor>
    <xdr:from>
      <xdr:col>18</xdr:col>
      <xdr:colOff>0</xdr:colOff>
      <xdr:row>26</xdr:row>
      <xdr:rowOff>0</xdr:rowOff>
    </xdr:from>
    <xdr:to>
      <xdr:col>33</xdr:col>
      <xdr:colOff>0</xdr:colOff>
      <xdr:row>43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57796008ba2432a"/>
        </a:graphicData>
      </a:graphic>
    </xdr:graphicFrame>
    <xdr:clientData/>
  </xdr:twoCellAnchor>
  <xdr:twoCellAnchor>
    <xdr:from>
      <xdr:col>0</xdr:col>
      <xdr:colOff>0</xdr:colOff>
      <xdr:row>47</xdr:row>
      <xdr:rowOff>0</xdr:rowOff>
    </xdr:from>
    <xdr:to>
      <xdr:col>17</xdr:col>
      <xdr:colOff>0</xdr:colOff>
      <xdr:row>64</xdr:row>
      <xdr:rowOff>0</xdr:rowOff>
    </xdr:to>
    <xdr:graphicFrame macro="">
      <xdr:nvGraphicFramePr>
        <xdr:cNvPr id="5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5bee42b426e44f2"/>
        </a:graphicData>
      </a:graphic>
    </xdr:graphicFrame>
    <xdr:clientData/>
  </xdr:twoCellAnchor>
  <xdr:twoCellAnchor>
    <xdr:from>
      <xdr:col>18</xdr:col>
      <xdr:colOff>0</xdr:colOff>
      <xdr:row>47</xdr:row>
      <xdr:rowOff>0</xdr:rowOff>
    </xdr:from>
    <xdr:to>
      <xdr:col>33</xdr:col>
      <xdr:colOff>0</xdr:colOff>
      <xdr:row>64</xdr:row>
      <xdr:rowOff>0</xdr:rowOff>
    </xdr:to>
    <xdr:graphicFrame macro="">
      <xdr:nvGraphicFramePr>
        <xdr:cNvPr id="6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0f33042fbe74089"/>
        </a:graphicData>
      </a:graphic>
    </xdr:graphicFrame>
    <xdr:clientData/>
  </xdr:twoCellAnchor>
  <xdr:twoCellAnchor>
    <xdr:from>
      <xdr:col>0</xdr:col>
      <xdr:colOff>0</xdr:colOff>
      <xdr:row>68</xdr:row>
      <xdr:rowOff>0</xdr:rowOff>
    </xdr:from>
    <xdr:to>
      <xdr:col>17</xdr:col>
      <xdr:colOff>0</xdr:colOff>
      <xdr:row>85</xdr:row>
      <xdr:rowOff>0</xdr:rowOff>
    </xdr:to>
    <xdr:graphicFrame macro="">
      <xdr:nvGraphicFramePr>
        <xdr:cNvPr id="7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3d8ec87cd6e4eae"/>
        </a:graphicData>
      </a:graphic>
    </xdr:graphicFrame>
    <xdr:clientData/>
  </xdr:twoCellAnchor>
  <xdr:twoCellAnchor>
    <xdr:from>
      <xdr:col>18</xdr:col>
      <xdr:colOff>0</xdr:colOff>
      <xdr:row>68</xdr:row>
      <xdr:rowOff>0</xdr:rowOff>
    </xdr:from>
    <xdr:to>
      <xdr:col>33</xdr:col>
      <xdr:colOff>0</xdr:colOff>
      <xdr:row>85</xdr:row>
      <xdr:rowOff>0</xdr:rowOff>
    </xdr:to>
    <xdr:graphicFrame macro="">
      <xdr:nvGraphicFramePr>
        <xdr:cNvPr id="8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66c77d8835b45ac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nagerDaily" displayName="ManagerDaily" ref="A1:F2321" headerRowCount="1" totalsRowCount="0" totalsRowShown="0">
  <x:autoFilter ref="A1:F2321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iteDaily" displayName="SiteDaily" ref="A1:F1625" headerRowCount="1" totalsRowCount="0" totalsRowShown="0">
  <x:autoFilter ref="A1:F1625"/>
  <x:tableColumns count="6">
    <x:tableColumn id="1" name="维度"/>
    <x:tableColumn id="2" name="名称"/>
    <x:tableColumn id="3" name="日期"/>
    <x:tableColumn id="4" name="订单数量"/>
    <x:tableColumn id="5" name="销售数量"/>
    <x:tableColumn id="6" name="发货金额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681dbd1a654403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863de50f55d4c9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a7f64291aa54bb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8" hidden="0" customWidth="1"/>
  </x:cols>
  <x:sheetData>
    <x:row r="1" ht="32" customHeight="1">
      <x:c r="A1" s="25" t="str">
        <x:v>2026年每日销售统计｜店长与站点</x:v>
      </x:c>
      <x:c r="B1" s="25"/>
      <x:c r="C1" s="25"/>
      <x:c r="D1" s="25"/>
      <x:c r="E1" s="25"/>
      <x:c r="F1" s="25"/>
      <x:c r="G1" s="25"/>
    </x:row>
    <x:row r="3" ht="22" customHeight="1">
      <x:c r="A3" s="28" t="str">
        <x:v>数据范围</x:v>
      </x:c>
      <x:c r="B3" s="29" t="n">
        <x:v>46023</x:v>
      </x:c>
      <x:c r="C3" s="30" t="str">
        <x:v>至</x:v>
      </x:c>
      <x:c r="D3" s="31" t="n">
        <x:v>46254</x:v>
      </x:c>
      <x:c r="F3" s="42" t="str">
        <x:v>明细页按日期逐行记录，可筛选店长/站点；汇总值由明细页公式计算。</x:v>
      </x:c>
      <x:c r="G3" s="42"/>
    </x:row>
    <x:row r="4" ht="22" customHeight="1">
      <x:c r="A4" s="32" t="str">
        <x:v>统计口径</x:v>
      </x:c>
      <x:c r="B4" s="33" t="str">
        <x:v>销售 &gt; 发货时间业绩</x:v>
      </x:c>
      <x:c r="C4" s="27" t="str">
        <x:v>指标</x:v>
      </x:c>
      <x:c r="D4" s="34" t="str">
        <x:v>订单数量 / 销售数量 / 发货金额</x:v>
      </x:c>
      <x:c r="F4" s="42"/>
      <x:c r="G4" s="42"/>
    </x:row>
    <x:row r="5" ht="22" customHeight="1">
      <x:c r="A5" s="35" t="str">
        <x:v>说明</x:v>
      </x:c>
      <x:c r="B5" s="36" t="str">
        <x:v>金额单位沿用系统展示口径</x:v>
      </x:c>
      <x:c r="C5" s="37" t="str">
        <x:v>末日</x:v>
      </x:c>
      <x:c r="D5" s="38" t="n">
        <x:v>46254</x:v>
      </x:c>
      <x:c r="F5" s="42"/>
      <x:c r="G5" s="42"/>
    </x:row>
    <x:row r="6" ht="22" customHeight="1">
      <x:c r="A6" s="70" t="str">
        <x:v>站点口径：总监 = 王云、许炎；发货时间业绩。</x:v>
      </x:c>
      <x:c r="B6" s="70"/>
      <x:c r="C6" s="70"/>
      <x:c r="D6" s="70"/>
      <x:c r="E6" s="70"/>
      <x:c r="F6" s="70"/>
      <x:c r="G6" s="70"/>
    </x:row>
    <x:row r="8" ht="30" customHeight="1">
      <x:c r="A8" s="56" t="str">
        <x:v>店长</x:v>
      </x:c>
      <x:c r="B8" s="57" t="str">
        <x:v>年初至今订单数量</x:v>
      </x:c>
      <x:c r="C8" s="57" t="str">
        <x:v>年初至今销售数量</x:v>
      </x:c>
      <x:c r="D8" s="57" t="str">
        <x:v>年初至今发货金额</x:v>
      </x:c>
      <x:c r="E8" s="57" t="str">
        <x:v>2026-08-20订单数量</x:v>
      </x:c>
      <x:c r="F8" s="57" t="str">
        <x:v>2026-08-20销售数量</x:v>
      </x:c>
      <x:c r="G8" s="57" t="str">
        <x:v>2026-08-20发货金额</x:v>
      </x:c>
    </x:row>
    <x:row r="9">
      <x:c r="A9" s="58" t="str">
        <x:v>王云</x:v>
      </x:c>
      <x:c r="B9" s="17" t="n">
        <x:f>SUMIFS('店长明细'!$D$2:$D$2321,'店长明细'!$B$2:$B$2321,$A9)</x:f>
        <x:v>65284</x:v>
      </x:c>
      <x:c r="C9" s="17" t="n">
        <x:f>SUMIFS('店长明细'!$E$2:$E$2321,'店长明细'!$B$2:$B$2321,$A9)</x:f>
        <x:v>86046</x:v>
      </x:c>
      <x:c r="D9" s="18" t="n">
        <x:f>SUMIFS('店长明细'!$F$2:$F$2321,'店长明细'!$B$2:$B$2321,$A9)</x:f>
        <x:v>726795.4100000001</x:v>
      </x:c>
      <x:c r="E9" s="17" t="n">
        <x:f>SUMIFS('店长明细'!$D$2:$D$2321,'店长明细'!$B$2:$B$2321,$A9,'店长明细'!$C$2:$C$2321,$D$5)</x:f>
        <x:v>83</x:v>
      </x:c>
      <x:c r="F9" s="17" t="n">
        <x:f>SUMIFS('店长明细'!$E$2:$E$2321,'店长明细'!$B$2:$B$2321,$A9,'店长明细'!$C$2:$C$2321,$D$5)</x:f>
        <x:v>128</x:v>
      </x:c>
      <x:c r="G9" s="18" t="n">
        <x:f>SUMIFS('店长明细'!$F$2:$F$2321,'店长明细'!$B$2:$B$2321,$A9,'店长明细'!$C$2:$C$2321,$D$5)</x:f>
        <x:v>1205.19</x:v>
      </x:c>
    </x:row>
    <x:row r="10">
      <x:c r="A10" s="58" t="str">
        <x:v>樊永鹏</x:v>
      </x:c>
      <x:c r="B10" s="17" t="n">
        <x:f>SUMIFS('店长明细'!$D$2:$D$2321,'店长明细'!$B$2:$B$2321,$A10)</x:f>
        <x:v>233170</x:v>
      </x:c>
      <x:c r="C10" s="17" t="n">
        <x:f>SUMIFS('店长明细'!$E$2:$E$2321,'店长明细'!$B$2:$B$2321,$A10)</x:f>
        <x:v>374372</x:v>
      </x:c>
      <x:c r="D10" s="18" t="n">
        <x:f>SUMIFS('店长明细'!$F$2:$F$2321,'店长明细'!$B$2:$B$2321,$A10)</x:f>
        <x:v>3311478.029999999</x:v>
      </x:c>
      <x:c r="E10" s="17" t="n">
        <x:f>SUMIFS('店长明细'!$D$2:$D$2321,'店长明细'!$B$2:$B$2321,$A10,'店长明细'!$C$2:$C$2321,$D$5)</x:f>
        <x:v>555</x:v>
      </x:c>
      <x:c r="F10" s="17" t="n">
        <x:f>SUMIFS('店长明细'!$E$2:$E$2321,'店长明细'!$B$2:$B$2321,$A10,'店长明细'!$C$2:$C$2321,$D$5)</x:f>
        <x:v>962</x:v>
      </x:c>
      <x:c r="G10" s="18" t="n">
        <x:f>SUMIFS('店长明细'!$F$2:$F$2321,'店长明细'!$B$2:$B$2321,$A10,'店长明细'!$C$2:$C$2321,$D$5)</x:f>
        <x:v>8428.89</x:v>
      </x:c>
    </x:row>
    <x:row r="11">
      <x:c r="A11" s="58" t="str">
        <x:v>侯兴华</x:v>
      </x:c>
      <x:c r="B11" s="17" t="n">
        <x:f>SUMIFS('店长明细'!$D$2:$D$2321,'店长明细'!$B$2:$B$2321,$A11)</x:f>
        <x:v>222499</x:v>
      </x:c>
      <x:c r="C11" s="17" t="n">
        <x:f>SUMIFS('店长明细'!$E$2:$E$2321,'店长明细'!$B$2:$B$2321,$A11)</x:f>
        <x:v>456648</x:v>
      </x:c>
      <x:c r="D11" s="18" t="n">
        <x:f>SUMIFS('店长明细'!$F$2:$F$2321,'店长明细'!$B$2:$B$2321,$A11)</x:f>
        <x:v>2952089.1999999983</x:v>
      </x:c>
      <x:c r="E11" s="17" t="n">
        <x:f>SUMIFS('店长明细'!$D$2:$D$2321,'店长明细'!$B$2:$B$2321,$A11,'店长明细'!$C$2:$C$2321,$D$5)</x:f>
        <x:v>407</x:v>
      </x:c>
      <x:c r="F11" s="17" t="n">
        <x:f>SUMIFS('店长明细'!$E$2:$E$2321,'店长明细'!$B$2:$B$2321,$A11,'店长明细'!$C$2:$C$2321,$D$5)</x:f>
        <x:v>1018</x:v>
      </x:c>
      <x:c r="G11" s="18" t="n">
        <x:f>SUMIFS('店长明细'!$F$2:$F$2321,'店长明细'!$B$2:$B$2321,$A11,'店长明细'!$C$2:$C$2321,$D$5)</x:f>
        <x:v>5974.28</x:v>
      </x:c>
    </x:row>
    <x:row r="12">
      <x:c r="A12" s="58" t="str">
        <x:v>张垒</x:v>
      </x:c>
      <x:c r="B12" s="17" t="n">
        <x:f>SUMIFS('店长明细'!$D$2:$D$2321,'店长明细'!$B$2:$B$2321,$A12)</x:f>
        <x:v>117301</x:v>
      </x:c>
      <x:c r="C12" s="17" t="n">
        <x:f>SUMIFS('店长明细'!$E$2:$E$2321,'店长明细'!$B$2:$B$2321,$A12)</x:f>
        <x:v>220345</x:v>
      </x:c>
      <x:c r="D12" s="18" t="n">
        <x:f>SUMIFS('店长明细'!$F$2:$F$2321,'店长明细'!$B$2:$B$2321,$A12)</x:f>
        <x:v>1931969.6300000006</x:v>
      </x:c>
      <x:c r="E12" s="17" t="n">
        <x:f>SUMIFS('店长明细'!$D$2:$D$2321,'店长明细'!$B$2:$B$2321,$A12,'店长明细'!$C$2:$C$2321,$D$5)</x:f>
        <x:v>202</x:v>
      </x:c>
      <x:c r="F12" s="17" t="n">
        <x:f>SUMIFS('店长明细'!$E$2:$E$2321,'店长明细'!$B$2:$B$2321,$A12,'店长明细'!$C$2:$C$2321,$D$5)</x:f>
        <x:v>371</x:v>
      </x:c>
      <x:c r="G12" s="18" t="n">
        <x:f>SUMIFS('店长明细'!$F$2:$F$2321,'店长明细'!$B$2:$B$2321,$A12,'店长明细'!$C$2:$C$2321,$D$5)</x:f>
        <x:v>3420.09</x:v>
      </x:c>
    </x:row>
    <x:row r="13">
      <x:c r="A13" s="58" t="str">
        <x:v>李雪雪</x:v>
      </x:c>
      <x:c r="B13" s="17" t="n">
        <x:f>SUMIFS('店长明细'!$D$2:$D$2321,'店长明细'!$B$2:$B$2321,$A13)</x:f>
        <x:v>594</x:v>
      </x:c>
      <x:c r="C13" s="17" t="n">
        <x:f>SUMIFS('店长明细'!$E$2:$E$2321,'店长明细'!$B$2:$B$2321,$A13)</x:f>
        <x:v>828</x:v>
      </x:c>
      <x:c r="D13" s="18" t="n">
        <x:f>SUMIFS('店长明细'!$F$2:$F$2321,'店长明细'!$B$2:$B$2321,$A13)</x:f>
        <x:v>6810.890000000001</x:v>
      </x:c>
      <x:c r="E13" s="17" t="n">
        <x:f>SUMIFS('店长明细'!$D$2:$D$2321,'店长明细'!$B$2:$B$2321,$A13,'店长明细'!$C$2:$C$2321,$D$5)</x:f>
        <x:v>0</x:v>
      </x:c>
      <x:c r="F13" s="17" t="n">
        <x:f>SUMIFS('店长明细'!$E$2:$E$2321,'店长明细'!$B$2:$B$2321,$A13,'店长明细'!$C$2:$C$2321,$D$5)</x:f>
        <x:v>0</x:v>
      </x:c>
      <x:c r="G13" s="18" t="n">
        <x:f>SUMIFS('店长明细'!$F$2:$F$2321,'店长明细'!$B$2:$B$2321,$A13,'店长明细'!$C$2:$C$2321,$D$5)</x:f>
        <x:v>0</x:v>
      </x:c>
    </x:row>
    <x:row r="14">
      <x:c r="A14" s="58" t="str">
        <x:v>朱春雨</x:v>
      </x:c>
      <x:c r="B14" s="17" t="n">
        <x:f>SUMIFS('店长明细'!$D$2:$D$2321,'店长明细'!$B$2:$B$2321,$A14)</x:f>
        <x:v>47299</x:v>
      </x:c>
      <x:c r="C14" s="17" t="n">
        <x:f>SUMIFS('店长明细'!$E$2:$E$2321,'店长明细'!$B$2:$B$2321,$A14)</x:f>
        <x:v>71644</x:v>
      </x:c>
      <x:c r="D14" s="18" t="n">
        <x:f>SUMIFS('店长明细'!$F$2:$F$2321,'店长明细'!$B$2:$B$2321,$A14)</x:f>
        <x:v>738489.8200000003</x:v>
      </x:c>
      <x:c r="E14" s="17" t="n">
        <x:f>SUMIFS('店长明细'!$D$2:$D$2321,'店长明细'!$B$2:$B$2321,$A14,'店长明细'!$C$2:$C$2321,$D$5)</x:f>
        <x:v>477</x:v>
      </x:c>
      <x:c r="F14" s="17" t="n">
        <x:f>SUMIFS('店长明细'!$E$2:$E$2321,'店长明细'!$B$2:$B$2321,$A14,'店长明细'!$C$2:$C$2321,$D$5)</x:f>
        <x:v>684</x:v>
      </x:c>
      <x:c r="G14" s="18" t="n">
        <x:f>SUMIFS('店长明细'!$F$2:$F$2321,'店长明细'!$B$2:$B$2321,$A14,'店长明细'!$C$2:$C$2321,$D$5)</x:f>
        <x:v>6720.66</x:v>
      </x:c>
    </x:row>
    <x:row r="15">
      <x:c r="A15" s="58" t="str">
        <x:v>吴承龙</x:v>
      </x:c>
      <x:c r="B15" s="17" t="n">
        <x:f>SUMIFS('店长明细'!$D$2:$D$2321,'店长明细'!$B$2:$B$2321,$A15)</x:f>
        <x:v>139144</x:v>
      </x:c>
      <x:c r="C15" s="17" t="n">
        <x:f>SUMIFS('店长明细'!$E$2:$E$2321,'店长明细'!$B$2:$B$2321,$A15)</x:f>
        <x:v>199913</x:v>
      </x:c>
      <x:c r="D15" s="18" t="n">
        <x:f>SUMIFS('店长明细'!$F$2:$F$2321,'店长明细'!$B$2:$B$2321,$A15)</x:f>
        <x:v>1989793.9899999998</x:v>
      </x:c>
      <x:c r="E15" s="17" t="n">
        <x:f>SUMIFS('店长明细'!$D$2:$D$2321,'店长明细'!$B$2:$B$2321,$A15,'店长明细'!$C$2:$C$2321,$D$5)</x:f>
        <x:v>411</x:v>
      </x:c>
      <x:c r="F15" s="17" t="n">
        <x:f>SUMIFS('店长明细'!$E$2:$E$2321,'店长明细'!$B$2:$B$2321,$A15,'店长明细'!$C$2:$C$2321,$D$5)</x:f>
        <x:v>606</x:v>
      </x:c>
      <x:c r="G15" s="18" t="n">
        <x:f>SUMIFS('店长明细'!$F$2:$F$2321,'店长明细'!$B$2:$B$2321,$A15,'店长明细'!$C$2:$C$2321,$D$5)</x:f>
        <x:v>5362.63</x:v>
      </x:c>
    </x:row>
    <x:row r="16">
      <x:c r="A16" s="58" t="str">
        <x:v>叶娜</x:v>
      </x:c>
      <x:c r="B16" s="17" t="n">
        <x:f>SUMIFS('店长明细'!$D$2:$D$2321,'店长明细'!$B$2:$B$2321,$A16)</x:f>
        <x:v>8529</x:v>
      </x:c>
      <x:c r="C16" s="17" t="n">
        <x:f>SUMIFS('店长明细'!$E$2:$E$2321,'店长明细'!$B$2:$B$2321,$A16)</x:f>
        <x:v>11846</x:v>
      </x:c>
      <x:c r="D16" s="18" t="n">
        <x:f>SUMIFS('店长明细'!$F$2:$F$2321,'店长明细'!$B$2:$B$2321,$A16)</x:f>
        <x:v>384586.0900000001</x:v>
      </x:c>
      <x:c r="E16" s="17" t="n">
        <x:f>SUMIFS('店长明细'!$D$2:$D$2321,'店长明细'!$B$2:$B$2321,$A16,'店长明细'!$C$2:$C$2321,$D$5)</x:f>
        <x:v>30</x:v>
      </x:c>
      <x:c r="F16" s="17" t="n">
        <x:f>SUMIFS('店长明细'!$E$2:$E$2321,'店长明细'!$B$2:$B$2321,$A16,'店长明细'!$C$2:$C$2321,$D$5)</x:f>
        <x:v>43</x:v>
      </x:c>
      <x:c r="G16" s="18" t="n">
        <x:f>SUMIFS('店长明细'!$F$2:$F$2321,'店长明细'!$B$2:$B$2321,$A16,'店长明细'!$C$2:$C$2321,$D$5)</x:f>
        <x:v>1471.01</x:v>
      </x:c>
    </x:row>
    <x:row r="17">
      <x:c r="A17" s="58" t="str">
        <x:v>徐跃男</x:v>
      </x:c>
      <x:c r="B17" s="17" t="n">
        <x:f>SUMIFS('店长明细'!$D$2:$D$2321,'店长明细'!$B$2:$B$2321,$A17)</x:f>
        <x:v>4062</x:v>
      </x:c>
      <x:c r="C17" s="17" t="n">
        <x:f>SUMIFS('店长明细'!$E$2:$E$2321,'店长明细'!$B$2:$B$2321,$A17)</x:f>
        <x:v>5188</x:v>
      </x:c>
      <x:c r="D17" s="18" t="n">
        <x:f>SUMIFS('店长明细'!$F$2:$F$2321,'店长明细'!$B$2:$B$2321,$A17)</x:f>
        <x:v>216479.08999999997</x:v>
      </x:c>
      <x:c r="E17" s="17" t="n">
        <x:f>SUMIFS('店长明细'!$D$2:$D$2321,'店长明细'!$B$2:$B$2321,$A17,'店长明细'!$C$2:$C$2321,$D$5)</x:f>
        <x:v>14</x:v>
      </x:c>
      <x:c r="F17" s="17" t="n">
        <x:f>SUMIFS('店长明细'!$E$2:$E$2321,'店长明细'!$B$2:$B$2321,$A17,'店长明细'!$C$2:$C$2321,$D$5)</x:f>
        <x:v>16</x:v>
      </x:c>
      <x:c r="G17" s="18" t="n">
        <x:f>SUMIFS('店长明细'!$F$2:$F$2321,'店长明细'!$B$2:$B$2321,$A17,'店长明细'!$C$2:$C$2321,$D$5)</x:f>
        <x:v>618.43</x:v>
      </x:c>
    </x:row>
    <x:row r="18">
      <x:c r="A18" s="58" t="str">
        <x:v>许炎</x:v>
      </x:c>
      <x:c r="B18" s="17" t="n">
        <x:f>SUMIFS('店长明细'!$D$2:$D$2321,'店长明细'!$B$2:$B$2321,$A18)</x:f>
        <x:v>25290</x:v>
      </x:c>
      <x:c r="C18" s="17" t="n">
        <x:f>SUMIFS('店长明细'!$E$2:$E$2321,'店长明细'!$B$2:$B$2321,$A18)</x:f>
        <x:v>48091</x:v>
      </x:c>
      <x:c r="D18" s="18" t="n">
        <x:f>SUMIFS('店长明细'!$F$2:$F$2321,'店长明细'!$B$2:$B$2321,$A18)</x:f>
        <x:v>495656.48999999993</x:v>
      </x:c>
      <x:c r="E18" s="17" t="n">
        <x:f>SUMIFS('店长明细'!$D$2:$D$2321,'店长明细'!$B$2:$B$2321,$A18,'店长明细'!$C$2:$C$2321,$D$5)</x:f>
        <x:v>30</x:v>
      </x:c>
      <x:c r="F18" s="17" t="n">
        <x:f>SUMIFS('店长明细'!$E$2:$E$2321,'店长明细'!$B$2:$B$2321,$A18,'店长明细'!$C$2:$C$2321,$D$5)</x:f>
        <x:v>42</x:v>
      </x:c>
      <x:c r="G18" s="18" t="n">
        <x:f>SUMIFS('店长明细'!$F$2:$F$2321,'店长明细'!$B$2:$B$2321,$A18,'店长明细'!$C$2:$C$2321,$D$5)</x:f>
        <x:v>494.14</x:v>
      </x:c>
    </x:row>
    <x:row r="19">
      <x:c r="A19" s="59" t="str">
        <x:v>店长合计</x:v>
      </x:c>
      <x:c r="B19" s="60" t="n">
        <x:f>SUM(B9:B18)</x:f>
        <x:v>863172</x:v>
      </x:c>
      <x:c r="C19" s="60" t="n">
        <x:f>SUM(C9:C18)</x:f>
        <x:v>1474921</x:v>
      </x:c>
      <x:c r="D19" s="61" t="n">
        <x:f>SUM(D9:D18)</x:f>
        <x:v>12754148.639999999</x:v>
      </x:c>
      <x:c r="E19" s="60" t="n">
        <x:f>SUM(E9:E18)</x:f>
        <x:v>2209</x:v>
      </x:c>
      <x:c r="F19" s="60" t="n">
        <x:f>SUM(F9:F18)</x:f>
        <x:v>3870</x:v>
      </x:c>
      <x:c r="G19" s="61" t="n">
        <x:f>SUM(G9:G18)</x:f>
        <x:v>33695.32</x:v>
      </x:c>
    </x:row>
    <x:row r="20">
      <x:c r="A20" s="58"/>
      <x:c r="B20" s="15"/>
      <x:c r="C20" s="15"/>
      <x:c r="D20" s="15"/>
      <x:c r="E20" s="15"/>
      <x:c r="F20" s="15"/>
      <x:c r="G20" s="15"/>
    </x:row>
    <x:row r="21">
      <x:c r="A21" s="58"/>
      <x:c r="B21" s="15"/>
      <x:c r="C21" s="15"/>
      <x:c r="D21" s="15"/>
      <x:c r="E21" s="15"/>
      <x:c r="F21" s="15"/>
      <x:c r="G21" s="15"/>
    </x:row>
    <x:row r="22">
      <x:c r="A22" s="58"/>
      <x:c r="B22" s="15"/>
      <x:c r="C22" s="15"/>
      <x:c r="D22" s="15"/>
      <x:c r="E22" s="15"/>
      <x:c r="F22" s="15"/>
      <x:c r="G22" s="15"/>
    </x:row>
    <x:row r="23" ht="30" customHeight="1">
      <x:c r="A23" s="62" t="str">
        <x:v>站点</x:v>
      </x:c>
      <x:c r="B23" s="63" t="str">
        <x:v>年初至今订单数量</x:v>
      </x:c>
      <x:c r="C23" s="63" t="str">
        <x:v>年初至今销售数量</x:v>
      </x:c>
      <x:c r="D23" s="63" t="str">
        <x:v>年初至今发货金额</x:v>
      </x:c>
      <x:c r="E23" s="63" t="str">
        <x:v>2026-08-20订单数量</x:v>
      </x:c>
      <x:c r="F23" s="63" t="str">
        <x:v>2026-08-20销售数量</x:v>
      </x:c>
      <x:c r="G23" s="63" t="str">
        <x:v>2026-08-20发货金额</x:v>
      </x:c>
    </x:row>
    <x:row r="24">
      <x:c r="A24" s="58" t="str">
        <x:v>印度尼西亚</x:v>
      </x:c>
      <x:c r="B24" s="17" t="n">
        <x:f>SUMIFS('站点明细'!$D$2:$D$1625,'站点明细'!$B$2:$B$1625,$A24)</x:f>
        <x:v>572305</x:v>
      </x:c>
      <x:c r="C24" s="17" t="n">
        <x:f>SUMIFS('站点明细'!$E$2:$E$1625,'站点明细'!$B$2:$B$1625,$A24)</x:f>
        <x:v>933517</x:v>
      </x:c>
      <x:c r="D24" s="18" t="n">
        <x:f>SUMIFS('站点明细'!$F$2:$F$1625,'站点明细'!$B$2:$B$1625,$A24)</x:f>
        <x:v>7322601.089999998</x:v>
      </x:c>
      <x:c r="E24" s="17" t="n">
        <x:f>SUMIFS('站点明细'!$D$2:$D$1625,'站点明细'!$B$2:$B$1625,$A24,'站点明细'!$C$2:$C$1625,$D$5)</x:f>
        <x:v>1192</x:v>
      </x:c>
      <x:c r="F24" s="17" t="n">
        <x:f>SUMIFS('站点明细'!$E$2:$E$1625,'站点明细'!$B$2:$B$1625,$A24,'站点明细'!$C$2:$C$1625,$D$5)</x:f>
        <x:v>2223</x:v>
      </x:c>
      <x:c r="G24" s="18" t="n">
        <x:f>SUMIFS('站点明细'!$F$2:$F$1625,'站点明细'!$B$2:$B$1625,$A24,'站点明细'!$C$2:$C$1625,$D$5)</x:f>
        <x:v>16246.32</x:v>
      </x:c>
    </x:row>
    <x:row r="25">
      <x:c r="A25" s="58" t="str">
        <x:v>菲律宾</x:v>
      </x:c>
      <x:c r="B25" s="17" t="n">
        <x:f>SUMIFS('站点明细'!$D$2:$D$1625,'站点明细'!$B$2:$B$1625,$A25)</x:f>
        <x:v>182690</x:v>
      </x:c>
      <x:c r="C25" s="17" t="n">
        <x:f>SUMIFS('站点明细'!$E$2:$E$1625,'站点明细'!$B$2:$B$1625,$A25)</x:f>
        <x:v>354921</x:v>
      </x:c>
      <x:c r="D25" s="18" t="n">
        <x:f>SUMIFS('站点明细'!$F$2:$F$1625,'站点明细'!$B$2:$B$1625,$A25)</x:f>
        <x:v>3464095.1199999973</x:v>
      </x:c>
      <x:c r="E25" s="17" t="n">
        <x:f>SUMIFS('站点明细'!$D$2:$D$1625,'站点明细'!$B$2:$B$1625,$A25,'站点明细'!$C$2:$C$1625,$D$5)</x:f>
        <x:v>566</x:v>
      </x:c>
      <x:c r="F25" s="17" t="n">
        <x:f>SUMIFS('站点明细'!$E$2:$E$1625,'站点明细'!$B$2:$B$1625,$A25,'站点明细'!$C$2:$C$1625,$D$5)</x:f>
        <x:v>1011</x:v>
      </x:c>
      <x:c r="G25" s="18" t="n">
        <x:f>SUMIFS('站点明细'!$F$2:$F$1625,'站点明细'!$B$2:$B$1625,$A25,'站点明细'!$C$2:$C$1625,$D$5)</x:f>
        <x:v>9672.88</x:v>
      </x:c>
    </x:row>
    <x:row r="26">
      <x:c r="A26" s="58" t="str">
        <x:v>越南</x:v>
      </x:c>
      <x:c r="B26" s="17" t="n">
        <x:f>SUMIFS('站点明细'!$D$2:$D$1625,'站点明细'!$B$2:$B$1625,$A26)</x:f>
        <x:v>78294</x:v>
      </x:c>
      <x:c r="C26" s="17" t="n">
        <x:f>SUMIFS('站点明细'!$E$2:$E$1625,'站点明细'!$B$2:$B$1625,$A26)</x:f>
        <x:v>142158</x:v>
      </x:c>
      <x:c r="D26" s="18" t="n">
        <x:f>SUMIFS('站点明细'!$F$2:$F$1625,'站点明细'!$B$2:$B$1625,$A26)</x:f>
        <x:v>1132486.4399999997</x:v>
      </x:c>
      <x:c r="E26" s="17" t="n">
        <x:f>SUMIFS('站点明细'!$D$2:$D$1625,'站点明细'!$B$2:$B$1625,$A26,'站点明细'!$C$2:$C$1625,$D$5)</x:f>
        <x:v>377</x:v>
      </x:c>
      <x:c r="F26" s="17" t="n">
        <x:f>SUMIFS('站点明细'!$E$2:$E$1625,'站点明细'!$B$2:$B$1625,$A26,'站点明细'!$C$2:$C$1625,$D$5)</x:f>
        <x:v>574</x:v>
      </x:c>
      <x:c r="G26" s="18" t="n">
        <x:f>SUMIFS('站点明细'!$F$2:$F$1625,'站点明细'!$B$2:$B$1625,$A26,'站点明细'!$C$2:$C$1625,$D$5)</x:f>
        <x:v>5542.91</x:v>
      </x:c>
    </x:row>
    <x:row r="27">
      <x:c r="A27" s="58" t="str">
        <x:v>马来西亚</x:v>
      </x:c>
      <x:c r="B27" s="17" t="n">
        <x:f>SUMIFS('站点明细'!$D$2:$D$1625,'站点明细'!$B$2:$B$1625,$A27)</x:f>
        <x:v>2139</x:v>
      </x:c>
      <x:c r="C27" s="17" t="n">
        <x:f>SUMIFS('站点明细'!$E$2:$E$1625,'站点明细'!$B$2:$B$1625,$A27)</x:f>
        <x:v>3966</x:v>
      </x:c>
      <x:c r="D27" s="18" t="n">
        <x:f>SUMIFS('站点明细'!$F$2:$F$1625,'站点明细'!$B$2:$B$1625,$A27)</x:f>
        <x:v>27336.000000000033</x:v>
      </x:c>
      <x:c r="E27" s="17" t="n">
        <x:f>SUMIFS('站点明细'!$D$2:$D$1625,'站点明细'!$B$2:$B$1625,$A27,'站点明细'!$C$2:$C$1625,$D$5)</x:f>
        <x:v>0</x:v>
      </x:c>
      <x:c r="F27" s="17" t="n">
        <x:f>SUMIFS('站点明细'!$E$2:$E$1625,'站点明细'!$B$2:$B$1625,$A27,'站点明细'!$C$2:$C$1625,$D$5)</x:f>
        <x:v>0</x:v>
      </x:c>
      <x:c r="G27" s="18" t="n">
        <x:f>SUMIFS('站点明细'!$F$2:$F$1625,'站点明细'!$B$2:$B$1625,$A27,'站点明细'!$C$2:$C$1625,$D$5)</x:f>
        <x:v>0</x:v>
      </x:c>
    </x:row>
    <x:row r="28">
      <x:c r="A28" s="58" t="str">
        <x:v>泰国</x:v>
      </x:c>
      <x:c r="B28" s="17" t="n">
        <x:f>SUMIFS('站点明细'!$D$2:$D$1625,'站点明细'!$B$2:$B$1625,$A28)</x:f>
        <x:v>16774</x:v>
      </x:c>
      <x:c r="C28" s="17" t="n">
        <x:f>SUMIFS('站点明细'!$E$2:$E$1625,'站点明细'!$B$2:$B$1625,$A28)</x:f>
        <x:v>27018</x:v>
      </x:c>
      <x:c r="D28" s="18" t="n">
        <x:f>SUMIFS('站点明细'!$F$2:$F$1625,'站点明细'!$B$2:$B$1625,$A28)</x:f>
        <x:v>234439.94000000003</x:v>
      </x:c>
      <x:c r="E28" s="17" t="n">
        <x:f>SUMIFS('站点明细'!$D$2:$D$1625,'站点明细'!$B$2:$B$1625,$A28,'站点明细'!$C$2:$C$1625,$D$5)</x:f>
        <x:v>74</x:v>
      </x:c>
      <x:c r="F28" s="17" t="n">
        <x:f>SUMIFS('站点明细'!$E$2:$E$1625,'站点明细'!$B$2:$B$1625,$A28,'站点明细'!$C$2:$C$1625,$D$5)</x:f>
        <x:v>118</x:v>
      </x:c>
      <x:c r="G28" s="18" t="n">
        <x:f>SUMIFS('站点明细'!$F$2:$F$1625,'站点明细'!$B$2:$B$1625,$A28,'站点明细'!$C$2:$C$1625,$D$5)</x:f>
        <x:v>1190.1</x:v>
      </x:c>
    </x:row>
    <x:row r="29">
      <x:c r="A29" s="58" t="str">
        <x:v>墨西哥</x:v>
      </x:c>
      <x:c r="B29" s="17" t="n">
        <x:f>SUMIFS('站点明细'!$D$2:$D$1625,'站点明细'!$B$2:$B$1625,$A29)</x:f>
        <x:v>10434</x:v>
      </x:c>
      <x:c r="C29" s="17" t="n">
        <x:f>SUMIFS('站点明细'!$E$2:$E$1625,'站点明细'!$B$2:$B$1625,$A29)</x:f>
        <x:v>12779</x:v>
      </x:c>
      <x:c r="D29" s="18" t="n">
        <x:f>SUMIFS('站点明细'!$F$2:$F$1625,'站点明细'!$B$2:$B$1625,$A29)</x:f>
        <x:v>535653.7999999999</x:v>
      </x:c>
      <x:c r="E29" s="17" t="n">
        <x:f>SUMIFS('站点明细'!$D$2:$D$1625,'站点明细'!$B$2:$B$1625,$A29,'站点明细'!$C$2:$C$1625,$D$5)</x:f>
        <x:v>39</x:v>
      </x:c>
      <x:c r="F29" s="17" t="n">
        <x:f>SUMIFS('站点明细'!$E$2:$E$1625,'站点明细'!$B$2:$B$1625,$A29,'站点明细'!$C$2:$C$1625,$D$5)</x:f>
        <x:v>44</x:v>
      </x:c>
      <x:c r="G29" s="18" t="n">
        <x:f>SUMIFS('站点明细'!$F$2:$F$1625,'站点明细'!$B$2:$B$1625,$A29,'站点明细'!$C$2:$C$1625,$D$5)</x:f>
        <x:v>1980.65</x:v>
      </x:c>
    </x:row>
    <x:row r="30">
      <x:c r="A30" s="58" t="str">
        <x:v>巴西</x:v>
      </x:c>
      <x:c r="B30" s="17" t="n">
        <x:f>SUMIFS('站点明细'!$D$2:$D$1625,'站点明细'!$B$2:$B$1625,$A30)</x:f>
        <x:v>576</x:v>
      </x:c>
      <x:c r="C30" s="17" t="n">
        <x:f>SUMIFS('站点明细'!$E$2:$E$1625,'站点明细'!$B$2:$B$1625,$A30)</x:f>
        <x:v>663</x:v>
      </x:c>
      <x:c r="D30" s="18" t="n">
        <x:f>SUMIFS('站点明细'!$F$2:$F$1625,'站点明细'!$B$2:$B$1625,$A30)</x:f>
        <x:v>38519.740000000005</x:v>
      </x:c>
      <x:c r="E30" s="17" t="n">
        <x:f>SUMIFS('站点明细'!$D$2:$D$1625,'站点明细'!$B$2:$B$1625,$A30,'站点明细'!$C$2:$C$1625,$D$5)</x:f>
        <x:v>1</x:v>
      </x:c>
      <x:c r="F30" s="17" t="n">
        <x:f>SUMIFS('站点明细'!$E$2:$E$1625,'站点明细'!$B$2:$B$1625,$A30,'站点明细'!$C$2:$C$1625,$D$5)</x:f>
        <x:v>1</x:v>
      </x:c>
      <x:c r="G30" s="18" t="n">
        <x:f>SUMIFS('站点明细'!$F$2:$F$1625,'站点明细'!$B$2:$B$1625,$A30,'站点明细'!$C$2:$C$1625,$D$5)</x:f>
        <x:v>45.95</x:v>
      </x:c>
    </x:row>
    <x:row r="31">
      <x:c r="A31" s="64" t="str">
        <x:v>站点合计</x:v>
      </x:c>
      <x:c r="B31" s="65" t="n">
        <x:f>SUM(B24:B30)</x:f>
        <x:v>863212</x:v>
      </x:c>
      <x:c r="C31" s="65" t="n">
        <x:f>SUM(C24:C30)</x:f>
        <x:v>1475022</x:v>
      </x:c>
      <x:c r="D31" s="66" t="n">
        <x:f>SUM(D24:D30)</x:f>
        <x:v>12755132.129999995</x:v>
      </x:c>
      <x:c r="E31" s="65" t="n">
        <x:f>SUM(E24:E30)</x:f>
        <x:v>2249</x:v>
      </x:c>
      <x:c r="F31" s="65" t="n">
        <x:f>SUM(F24:F30)</x:f>
        <x:v>3971</x:v>
      </x:c>
      <x:c r="G31" s="66" t="n">
        <x:f>SUM(G24:G30)</x:f>
        <x:v>34678.80999999999</x:v>
      </x:c>
    </x:row>
  </x:sheetData>
  <x:mergeCells>
    <x:mergeCell ref="A1:G1"/>
    <x:mergeCell ref="F3:G5"/>
    <x:mergeCell ref="A6:G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</x:row>
    <x:row r="2">
      <x:c r="A2" s="14" t="str">
        <x:v>店长</x:v>
      </x:c>
      <x:c r="B2" s="15" t="str">
        <x:v>王云</x:v>
      </x:c>
      <x:c r="C2" s="16" t="n">
        <x:v>46023</x:v>
      </x:c>
      <x:c r="D2" s="17" t="n">
        <x:v>174</x:v>
      </x:c>
      <x:c r="E2" s="17" t="n">
        <x:v>275</x:v>
      </x:c>
      <x:c r="F2" s="18" t="n">
        <x:v>2393.44</x:v>
      </x:c>
    </x:row>
    <x:row r="3">
      <x:c r="A3" s="14" t="str">
        <x:v>店长</x:v>
      </x:c>
      <x:c r="B3" s="15" t="str">
        <x:v>王云</x:v>
      </x:c>
      <x:c r="C3" s="16" t="n">
        <x:v>46024</x:v>
      </x:c>
      <x:c r="D3" s="17" t="n">
        <x:v>273</x:v>
      </x:c>
      <x:c r="E3" s="17" t="n">
        <x:v>490</x:v>
      </x:c>
      <x:c r="F3" s="18" t="n">
        <x:v>3927.35</x:v>
      </x:c>
    </x:row>
    <x:row r="4">
      <x:c r="A4" s="14" t="str">
        <x:v>店长</x:v>
      </x:c>
      <x:c r="B4" s="15" t="str">
        <x:v>王云</x:v>
      </x:c>
      <x:c r="C4" s="16" t="n">
        <x:v>46025</x:v>
      </x:c>
      <x:c r="D4" s="17" t="n">
        <x:v>235</x:v>
      </x:c>
      <x:c r="E4" s="17" t="n">
        <x:v>358</x:v>
      </x:c>
      <x:c r="F4" s="18" t="n">
        <x:v>3178.56</x:v>
      </x:c>
    </x:row>
    <x:row r="5">
      <x:c r="A5" s="14" t="str">
        <x:v>店长</x:v>
      </x:c>
      <x:c r="B5" s="15" t="str">
        <x:v>王云</x:v>
      </x:c>
      <x:c r="C5" s="16" t="n">
        <x:v>46026</x:v>
      </x:c>
      <x:c r="D5" s="17" t="n">
        <x:v>239</x:v>
      </x:c>
      <x:c r="E5" s="17" t="n">
        <x:v>353</x:v>
      </x:c>
      <x:c r="F5" s="18" t="n">
        <x:v>3093.27</x:v>
      </x:c>
    </x:row>
    <x:row r="6">
      <x:c r="A6" s="14" t="str">
        <x:v>店长</x:v>
      </x:c>
      <x:c r="B6" s="15" t="str">
        <x:v>王云</x:v>
      </x:c>
      <x:c r="C6" s="16" t="n">
        <x:v>46027</x:v>
      </x:c>
      <x:c r="D6" s="17" t="n">
        <x:v>241</x:v>
      </x:c>
      <x:c r="E6" s="17" t="n">
        <x:v>354</x:v>
      </x:c>
      <x:c r="F6" s="18" t="n">
        <x:v>2979.06</x:v>
      </x:c>
    </x:row>
    <x:row r="7">
      <x:c r="A7" s="14" t="str">
        <x:v>店长</x:v>
      </x:c>
      <x:c r="B7" s="15" t="str">
        <x:v>王云</x:v>
      </x:c>
      <x:c r="C7" s="16" t="n">
        <x:v>46028</x:v>
      </x:c>
      <x:c r="D7" s="17" t="n">
        <x:v>221</x:v>
      </x:c>
      <x:c r="E7" s="17" t="n">
        <x:v>369</x:v>
      </x:c>
      <x:c r="F7" s="18" t="n">
        <x:v>2988.88</x:v>
      </x:c>
    </x:row>
    <x:row r="8">
      <x:c r="A8" s="14" t="str">
        <x:v>店长</x:v>
      </x:c>
      <x:c r="B8" s="15" t="str">
        <x:v>王云</x:v>
      </x:c>
      <x:c r="C8" s="16" t="n">
        <x:v>46029</x:v>
      </x:c>
      <x:c r="D8" s="17" t="n">
        <x:v>174</x:v>
      </x:c>
      <x:c r="E8" s="17" t="n">
        <x:v>284</x:v>
      </x:c>
      <x:c r="F8" s="18" t="n">
        <x:v>2579.36</x:v>
      </x:c>
    </x:row>
    <x:row r="9">
      <x:c r="A9" s="14" t="str">
        <x:v>店长</x:v>
      </x:c>
      <x:c r="B9" s="15" t="str">
        <x:v>王云</x:v>
      </x:c>
      <x:c r="C9" s="16" t="n">
        <x:v>46030</x:v>
      </x:c>
      <x:c r="D9" s="17" t="n">
        <x:v>148</x:v>
      </x:c>
      <x:c r="E9" s="17" t="n">
        <x:v>240</x:v>
      </x:c>
      <x:c r="F9" s="18" t="n">
        <x:v>2032.26</x:v>
      </x:c>
    </x:row>
    <x:row r="10">
      <x:c r="A10" s="14" t="str">
        <x:v>店长</x:v>
      </x:c>
      <x:c r="B10" s="15" t="str">
        <x:v>王云</x:v>
      </x:c>
      <x:c r="C10" s="16" t="n">
        <x:v>46031</x:v>
      </x:c>
      <x:c r="D10" s="17" t="n">
        <x:v>143</x:v>
      </x:c>
      <x:c r="E10" s="17" t="n">
        <x:v>267</x:v>
      </x:c>
      <x:c r="F10" s="18" t="n">
        <x:v>2220.11</x:v>
      </x:c>
    </x:row>
    <x:row r="11">
      <x:c r="A11" s="14" t="str">
        <x:v>店长</x:v>
      </x:c>
      <x:c r="B11" s="15" t="str">
        <x:v>王云</x:v>
      </x:c>
      <x:c r="C11" s="16" t="n">
        <x:v>46032</x:v>
      </x:c>
      <x:c r="D11" s="17" t="n">
        <x:v>142</x:v>
      </x:c>
      <x:c r="E11" s="17" t="n">
        <x:v>245</x:v>
      </x:c>
      <x:c r="F11" s="18" t="n">
        <x:v>1882.3</x:v>
      </x:c>
    </x:row>
    <x:row r="12">
      <x:c r="A12" s="14" t="str">
        <x:v>店长</x:v>
      </x:c>
      <x:c r="B12" s="15" t="str">
        <x:v>王云</x:v>
      </x:c>
      <x:c r="C12" s="16" t="n">
        <x:v>46033</x:v>
      </x:c>
      <x:c r="D12" s="17" t="n">
        <x:v>127</x:v>
      </x:c>
      <x:c r="E12" s="17" t="n">
        <x:v>205</x:v>
      </x:c>
      <x:c r="F12" s="18" t="n">
        <x:v>1722.01</x:v>
      </x:c>
    </x:row>
    <x:row r="13">
      <x:c r="A13" s="14" t="str">
        <x:v>店长</x:v>
      </x:c>
      <x:c r="B13" s="15" t="str">
        <x:v>王云</x:v>
      </x:c>
      <x:c r="C13" s="16" t="n">
        <x:v>46034</x:v>
      </x:c>
      <x:c r="D13" s="17" t="n">
        <x:v>179</x:v>
      </x:c>
      <x:c r="E13" s="17" t="n">
        <x:v>259</x:v>
      </x:c>
      <x:c r="F13" s="18" t="n">
        <x:v>2446.74</x:v>
      </x:c>
    </x:row>
    <x:row r="14">
      <x:c r="A14" s="14" t="str">
        <x:v>店长</x:v>
      </x:c>
      <x:c r="B14" s="15" t="str">
        <x:v>王云</x:v>
      </x:c>
      <x:c r="C14" s="16" t="n">
        <x:v>46035</x:v>
      </x:c>
      <x:c r="D14" s="17" t="n">
        <x:v>134</x:v>
      </x:c>
      <x:c r="E14" s="17" t="n">
        <x:v>243</x:v>
      </x:c>
      <x:c r="F14" s="18" t="n">
        <x:v>2007.62</x:v>
      </x:c>
    </x:row>
    <x:row r="15">
      <x:c r="A15" s="14" t="str">
        <x:v>店长</x:v>
      </x:c>
      <x:c r="B15" s="15" t="str">
        <x:v>王云</x:v>
      </x:c>
      <x:c r="C15" s="16" t="n">
        <x:v>46036</x:v>
      </x:c>
      <x:c r="D15" s="17" t="n">
        <x:v>119</x:v>
      </x:c>
      <x:c r="E15" s="17" t="n">
        <x:v>189</x:v>
      </x:c>
      <x:c r="F15" s="18" t="n">
        <x:v>1667.04</x:v>
      </x:c>
    </x:row>
    <x:row r="16">
      <x:c r="A16" s="14" t="str">
        <x:v>店长</x:v>
      </x:c>
      <x:c r="B16" s="15" t="str">
        <x:v>王云</x:v>
      </x:c>
      <x:c r="C16" s="16" t="n">
        <x:v>46037</x:v>
      </x:c>
      <x:c r="D16" s="17" t="n">
        <x:v>118</x:v>
      </x:c>
      <x:c r="E16" s="17" t="n">
        <x:v>207</x:v>
      </x:c>
      <x:c r="F16" s="18" t="n">
        <x:v>1685.69</x:v>
      </x:c>
    </x:row>
    <x:row r="17">
      <x:c r="A17" s="14" t="str">
        <x:v>店长</x:v>
      </x:c>
      <x:c r="B17" s="15" t="str">
        <x:v>王云</x:v>
      </x:c>
      <x:c r="C17" s="16" t="n">
        <x:v>46038</x:v>
      </x:c>
      <x:c r="D17" s="17" t="n">
        <x:v>101</x:v>
      </x:c>
      <x:c r="E17" s="17" t="n">
        <x:v>164</x:v>
      </x:c>
      <x:c r="F17" s="18" t="n">
        <x:v>1368.84</x:v>
      </x:c>
    </x:row>
    <x:row r="18">
      <x:c r="A18" s="14" t="str">
        <x:v>店长</x:v>
      </x:c>
      <x:c r="B18" s="15" t="str">
        <x:v>王云</x:v>
      </x:c>
      <x:c r="C18" s="16" t="n">
        <x:v>46039</x:v>
      </x:c>
      <x:c r="D18" s="17" t="n">
        <x:v>85</x:v>
      </x:c>
      <x:c r="E18" s="17" t="n">
        <x:v>136</x:v>
      </x:c>
      <x:c r="F18" s="18" t="n">
        <x:v>1249.45</x:v>
      </x:c>
    </x:row>
    <x:row r="19">
      <x:c r="A19" s="14" t="str">
        <x:v>店长</x:v>
      </x:c>
      <x:c r="B19" s="15" t="str">
        <x:v>王云</x:v>
      </x:c>
      <x:c r="C19" s="16" t="n">
        <x:v>46040</x:v>
      </x:c>
      <x:c r="D19" s="17" t="n">
        <x:v>92</x:v>
      </x:c>
      <x:c r="E19" s="17" t="n">
        <x:v>149</x:v>
      </x:c>
      <x:c r="F19" s="18" t="n">
        <x:v>1392.55</x:v>
      </x:c>
    </x:row>
    <x:row r="20">
      <x:c r="A20" s="14" t="str">
        <x:v>店长</x:v>
      </x:c>
      <x:c r="B20" s="15" t="str">
        <x:v>王云</x:v>
      </x:c>
      <x:c r="C20" s="16" t="n">
        <x:v>46041</x:v>
      </x:c>
      <x:c r="D20" s="17" t="n">
        <x:v>97</x:v>
      </x:c>
      <x:c r="E20" s="17" t="n">
        <x:v>144</x:v>
      </x:c>
      <x:c r="F20" s="18" t="n">
        <x:v>1251.5</x:v>
      </x:c>
    </x:row>
    <x:row r="21">
      <x:c r="A21" s="14" t="str">
        <x:v>店长</x:v>
      </x:c>
      <x:c r="B21" s="15" t="str">
        <x:v>王云</x:v>
      </x:c>
      <x:c r="C21" s="16" t="n">
        <x:v>46042</x:v>
      </x:c>
      <x:c r="D21" s="17" t="n">
        <x:v>130</x:v>
      </x:c>
      <x:c r="E21" s="17" t="n">
        <x:v>192</x:v>
      </x:c>
      <x:c r="F21" s="18" t="n">
        <x:v>1867.84</x:v>
      </x:c>
    </x:row>
    <x:row r="22">
      <x:c r="A22" s="14" t="str">
        <x:v>店长</x:v>
      </x:c>
      <x:c r="B22" s="15" t="str">
        <x:v>王云</x:v>
      </x:c>
      <x:c r="C22" s="16" t="n">
        <x:v>46043</x:v>
      </x:c>
      <x:c r="D22" s="17" t="n">
        <x:v>112</x:v>
      </x:c>
      <x:c r="E22" s="17" t="n">
        <x:v>178</x:v>
      </x:c>
      <x:c r="F22" s="18" t="n">
        <x:v>1608.91</x:v>
      </x:c>
    </x:row>
    <x:row r="23">
      <x:c r="A23" s="14" t="str">
        <x:v>店长</x:v>
      </x:c>
      <x:c r="B23" s="15" t="str">
        <x:v>王云</x:v>
      </x:c>
      <x:c r="C23" s="16" t="n">
        <x:v>46044</x:v>
      </x:c>
      <x:c r="D23" s="17" t="n">
        <x:v>150</x:v>
      </x:c>
      <x:c r="E23" s="17" t="n">
        <x:v>231</x:v>
      </x:c>
      <x:c r="F23" s="18" t="n">
        <x:v>2414</x:v>
      </x:c>
    </x:row>
    <x:row r="24">
      <x:c r="A24" s="14" t="str">
        <x:v>店长</x:v>
      </x:c>
      <x:c r="B24" s="15" t="str">
        <x:v>王云</x:v>
      </x:c>
      <x:c r="C24" s="16" t="n">
        <x:v>46045</x:v>
      </x:c>
      <x:c r="D24" s="17" t="n">
        <x:v>92</x:v>
      </x:c>
      <x:c r="E24" s="17" t="n">
        <x:v>144</x:v>
      </x:c>
      <x:c r="F24" s="18" t="n">
        <x:v>1582.5</x:v>
      </x:c>
    </x:row>
    <x:row r="25">
      <x:c r="A25" s="14" t="str">
        <x:v>店长</x:v>
      </x:c>
      <x:c r="B25" s="15" t="str">
        <x:v>王云</x:v>
      </x:c>
      <x:c r="C25" s="16" t="n">
        <x:v>46046</x:v>
      </x:c>
      <x:c r="D25" s="17" t="n">
        <x:v>98</x:v>
      </x:c>
      <x:c r="E25" s="17" t="n">
        <x:v>145</x:v>
      </x:c>
      <x:c r="F25" s="18" t="n">
        <x:v>1375.26</x:v>
      </x:c>
    </x:row>
    <x:row r="26">
      <x:c r="A26" s="14" t="str">
        <x:v>店长</x:v>
      </x:c>
      <x:c r="B26" s="15" t="str">
        <x:v>王云</x:v>
      </x:c>
      <x:c r="C26" s="16" t="n">
        <x:v>46047</x:v>
      </x:c>
      <x:c r="D26" s="17" t="n">
        <x:v>91</x:v>
      </x:c>
      <x:c r="E26" s="17" t="n">
        <x:v>127</x:v>
      </x:c>
      <x:c r="F26" s="18" t="n">
        <x:v>1270.49</x:v>
      </x:c>
    </x:row>
    <x:row r="27">
      <x:c r="A27" s="14" t="str">
        <x:v>店长</x:v>
      </x:c>
      <x:c r="B27" s="15" t="str">
        <x:v>王云</x:v>
      </x:c>
      <x:c r="C27" s="16" t="n">
        <x:v>46048</x:v>
      </x:c>
      <x:c r="D27" s="17" t="n">
        <x:v>102</x:v>
      </x:c>
      <x:c r="E27" s="17" t="n">
        <x:v>145</x:v>
      </x:c>
      <x:c r="F27" s="18" t="n">
        <x:v>1328.68</x:v>
      </x:c>
    </x:row>
    <x:row r="28">
      <x:c r="A28" s="14" t="str">
        <x:v>店长</x:v>
      </x:c>
      <x:c r="B28" s="15" t="str">
        <x:v>王云</x:v>
      </x:c>
      <x:c r="C28" s="16" t="n">
        <x:v>46049</x:v>
      </x:c>
      <x:c r="D28" s="17" t="n">
        <x:v>121</x:v>
      </x:c>
      <x:c r="E28" s="17" t="n">
        <x:v>165</x:v>
      </x:c>
      <x:c r="F28" s="18" t="n">
        <x:v>1779.86</x:v>
      </x:c>
    </x:row>
    <x:row r="29">
      <x:c r="A29" s="14" t="str">
        <x:v>店长</x:v>
      </x:c>
      <x:c r="B29" s="15" t="str">
        <x:v>王云</x:v>
      </x:c>
      <x:c r="C29" s="16" t="n">
        <x:v>46050</x:v>
      </x:c>
      <x:c r="D29" s="17" t="n">
        <x:v>98</x:v>
      </x:c>
      <x:c r="E29" s="17" t="n">
        <x:v>157</x:v>
      </x:c>
      <x:c r="F29" s="18" t="n">
        <x:v>1447.94</x:v>
      </x:c>
    </x:row>
    <x:row r="30">
      <x:c r="A30" s="14" t="str">
        <x:v>店长</x:v>
      </x:c>
      <x:c r="B30" s="15" t="str">
        <x:v>王云</x:v>
      </x:c>
      <x:c r="C30" s="16" t="n">
        <x:v>46051</x:v>
      </x:c>
      <x:c r="D30" s="17" t="n">
        <x:v>96</x:v>
      </x:c>
      <x:c r="E30" s="17" t="n">
        <x:v>152</x:v>
      </x:c>
      <x:c r="F30" s="18" t="n">
        <x:v>1349.15</x:v>
      </x:c>
    </x:row>
    <x:row r="31">
      <x:c r="A31" s="14" t="str">
        <x:v>店长</x:v>
      </x:c>
      <x:c r="B31" s="15" t="str">
        <x:v>王云</x:v>
      </x:c>
      <x:c r="C31" s="16" t="n">
        <x:v>46052</x:v>
      </x:c>
      <x:c r="D31" s="17" t="n">
        <x:v>103</x:v>
      </x:c>
      <x:c r="E31" s="17" t="n">
        <x:v>193</x:v>
      </x:c>
      <x:c r="F31" s="18" t="n">
        <x:v>1739.17</x:v>
      </x:c>
    </x:row>
    <x:row r="32">
      <x:c r="A32" s="14" t="str">
        <x:v>店长</x:v>
      </x:c>
      <x:c r="B32" s="15" t="str">
        <x:v>王云</x:v>
      </x:c>
      <x:c r="C32" s="16" t="n">
        <x:v>46053</x:v>
      </x:c>
      <x:c r="D32" s="17" t="n">
        <x:v>104</x:v>
      </x:c>
      <x:c r="E32" s="17" t="n">
        <x:v>145</x:v>
      </x:c>
      <x:c r="F32" s="18" t="n">
        <x:v>1542.47</x:v>
      </x:c>
    </x:row>
    <x:row r="33">
      <x:c r="A33" s="14" t="str">
        <x:v>店长</x:v>
      </x:c>
      <x:c r="B33" s="15" t="str">
        <x:v>王云</x:v>
      </x:c>
      <x:c r="C33" s="16" t="n">
        <x:v>46054</x:v>
      </x:c>
      <x:c r="D33" s="17" t="n">
        <x:v>105</x:v>
      </x:c>
      <x:c r="E33" s="17" t="n">
        <x:v>164</x:v>
      </x:c>
      <x:c r="F33" s="18" t="n">
        <x:v>1728.84</x:v>
      </x:c>
    </x:row>
    <x:row r="34">
      <x:c r="A34" s="14" t="str">
        <x:v>店长</x:v>
      </x:c>
      <x:c r="B34" s="15" t="str">
        <x:v>王云</x:v>
      </x:c>
      <x:c r="C34" s="16" t="n">
        <x:v>46055</x:v>
      </x:c>
      <x:c r="D34" s="17" t="n">
        <x:v>108</x:v>
      </x:c>
      <x:c r="E34" s="17" t="n">
        <x:v>160</x:v>
      </x:c>
      <x:c r="F34" s="18" t="n">
        <x:v>1686.5</x:v>
      </x:c>
    </x:row>
    <x:row r="35">
      <x:c r="A35" s="14" t="str">
        <x:v>店长</x:v>
      </x:c>
      <x:c r="B35" s="15" t="str">
        <x:v>王云</x:v>
      </x:c>
      <x:c r="C35" s="16" t="n">
        <x:v>46056</x:v>
      </x:c>
      <x:c r="D35" s="17" t="n">
        <x:v>109</x:v>
      </x:c>
      <x:c r="E35" s="17" t="n">
        <x:v>207</x:v>
      </x:c>
      <x:c r="F35" s="18" t="n">
        <x:v>1955.88</x:v>
      </x:c>
    </x:row>
    <x:row r="36">
      <x:c r="A36" s="14" t="str">
        <x:v>店长</x:v>
      </x:c>
      <x:c r="B36" s="15" t="str">
        <x:v>王云</x:v>
      </x:c>
      <x:c r="C36" s="16" t="n">
        <x:v>46057</x:v>
      </x:c>
      <x:c r="D36" s="17" t="n">
        <x:v>117</x:v>
      </x:c>
      <x:c r="E36" s="17" t="n">
        <x:v>206</x:v>
      </x:c>
      <x:c r="F36" s="18" t="n">
        <x:v>2016.63</x:v>
      </x:c>
    </x:row>
    <x:row r="37">
      <x:c r="A37" s="14" t="str">
        <x:v>店长</x:v>
      </x:c>
      <x:c r="B37" s="15" t="str">
        <x:v>王云</x:v>
      </x:c>
      <x:c r="C37" s="16" t="n">
        <x:v>46058</x:v>
      </x:c>
      <x:c r="D37" s="17" t="n">
        <x:v>113</x:v>
      </x:c>
      <x:c r="E37" s="17" t="n">
        <x:v>210</x:v>
      </x:c>
      <x:c r="F37" s="18" t="n">
        <x:v>1659.09</x:v>
      </x:c>
    </x:row>
    <x:row r="38">
      <x:c r="A38" s="14" t="str">
        <x:v>店长</x:v>
      </x:c>
      <x:c r="B38" s="15" t="str">
        <x:v>王云</x:v>
      </x:c>
      <x:c r="C38" s="16" t="n">
        <x:v>46059</x:v>
      </x:c>
      <x:c r="D38" s="17" t="n">
        <x:v>131</x:v>
      </x:c>
      <x:c r="E38" s="17" t="n">
        <x:v>219</x:v>
      </x:c>
      <x:c r="F38" s="18" t="n">
        <x:v>1951.67</x:v>
      </x:c>
    </x:row>
    <x:row r="39">
      <x:c r="A39" s="14" t="str">
        <x:v>店长</x:v>
      </x:c>
      <x:c r="B39" s="15" t="str">
        <x:v>王云</x:v>
      </x:c>
      <x:c r="C39" s="16" t="n">
        <x:v>46060</x:v>
      </x:c>
      <x:c r="D39" s="17" t="n">
        <x:v>94</x:v>
      </x:c>
      <x:c r="E39" s="17" t="n">
        <x:v>185</x:v>
      </x:c>
      <x:c r="F39" s="18" t="n">
        <x:v>1344.27</x:v>
      </x:c>
    </x:row>
    <x:row r="40">
      <x:c r="A40" s="14" t="str">
        <x:v>店长</x:v>
      </x:c>
      <x:c r="B40" s="15" t="str">
        <x:v>王云</x:v>
      </x:c>
      <x:c r="C40" s="16" t="n">
        <x:v>46061</x:v>
      </x:c>
      <x:c r="D40" s="17" t="n">
        <x:v>111</x:v>
      </x:c>
      <x:c r="E40" s="17" t="n">
        <x:v>215</x:v>
      </x:c>
      <x:c r="F40" s="18" t="n">
        <x:v>1594.22</x:v>
      </x:c>
    </x:row>
    <x:row r="41">
      <x:c r="A41" s="14" t="str">
        <x:v>店长</x:v>
      </x:c>
      <x:c r="B41" s="15" t="str">
        <x:v>王云</x:v>
      </x:c>
      <x:c r="C41" s="16" t="n">
        <x:v>46062</x:v>
      </x:c>
      <x:c r="D41" s="17" t="n">
        <x:v>92</x:v>
      </x:c>
      <x:c r="E41" s="17" t="n">
        <x:v>163</x:v>
      </x:c>
      <x:c r="F41" s="18" t="n">
        <x:v>1330.5</x:v>
      </x:c>
    </x:row>
    <x:row r="42">
      <x:c r="A42" s="14" t="str">
        <x:v>店长</x:v>
      </x:c>
      <x:c r="B42" s="15" t="str">
        <x:v>王云</x:v>
      </x:c>
      <x:c r="C42" s="16" t="n">
        <x:v>46063</x:v>
      </x:c>
      <x:c r="D42" s="17" t="n">
        <x:v>205</x:v>
      </x:c>
      <x:c r="E42" s="17" t="n">
        <x:v>291</x:v>
      </x:c>
      <x:c r="F42" s="18" t="n">
        <x:v>3327.66</x:v>
      </x:c>
    </x:row>
    <x:row r="43">
      <x:c r="A43" s="14" t="str">
        <x:v>店长</x:v>
      </x:c>
      <x:c r="B43" s="15" t="str">
        <x:v>王云</x:v>
      </x:c>
      <x:c r="C43" s="16" t="n">
        <x:v>46064</x:v>
      </x:c>
      <x:c r="D43" s="17" t="n">
        <x:v>84</x:v>
      </x:c>
      <x:c r="E43" s="17" t="n">
        <x:v>145</x:v>
      </x:c>
      <x:c r="F43" s="18" t="n">
        <x:v>1202.34</x:v>
      </x:c>
    </x:row>
    <x:row r="44">
      <x:c r="A44" s="14" t="str">
        <x:v>店长</x:v>
      </x:c>
      <x:c r="B44" s="15" t="str">
        <x:v>王云</x:v>
      </x:c>
      <x:c r="C44" s="16" t="n">
        <x:v>46065</x:v>
      </x:c>
      <x:c r="D44" s="17" t="n">
        <x:v>89</x:v>
      </x:c>
      <x:c r="E44" s="17" t="n">
        <x:v>164</x:v>
      </x:c>
      <x:c r="F44" s="18" t="n">
        <x:v>1341.43</x:v>
      </x:c>
    </x:row>
    <x:row r="45">
      <x:c r="A45" s="14" t="str">
        <x:v>店长</x:v>
      </x:c>
      <x:c r="B45" s="15" t="str">
        <x:v>王云</x:v>
      </x:c>
      <x:c r="C45" s="16" t="n">
        <x:v>46066</x:v>
      </x:c>
      <x:c r="D45" s="17" t="n">
        <x:v>91</x:v>
      </x:c>
      <x:c r="E45" s="17" t="n">
        <x:v>150</x:v>
      </x:c>
      <x:c r="F45" s="18" t="n">
        <x:v>1248.13</x:v>
      </x:c>
    </x:row>
    <x:row r="46">
      <x:c r="A46" s="14" t="str">
        <x:v>店长</x:v>
      </x:c>
      <x:c r="B46" s="15" t="str">
        <x:v>王云</x:v>
      </x:c>
      <x:c r="C46" s="16" t="n">
        <x:v>46067</x:v>
      </x:c>
      <x:c r="D46" s="17" t="n">
        <x:v>101</x:v>
      </x:c>
      <x:c r="E46" s="17" t="n">
        <x:v>203</x:v>
      </x:c>
      <x:c r="F46" s="18" t="n">
        <x:v>1493.37</x:v>
      </x:c>
    </x:row>
    <x:row r="47">
      <x:c r="A47" s="14" t="str">
        <x:v>店长</x:v>
      </x:c>
      <x:c r="B47" s="15" t="str">
        <x:v>王云</x:v>
      </x:c>
      <x:c r="C47" s="16" t="n">
        <x:v>46068</x:v>
      </x:c>
      <x:c r="D47" s="17" t="n">
        <x:v>77</x:v>
      </x:c>
      <x:c r="E47" s="17" t="n">
        <x:v>153</x:v>
      </x:c>
      <x:c r="F47" s="18" t="n">
        <x:v>1349.65</x:v>
      </x:c>
    </x:row>
    <x:row r="48">
      <x:c r="A48" s="14" t="str">
        <x:v>店长</x:v>
      </x:c>
      <x:c r="B48" s="15" t="str">
        <x:v>王云</x:v>
      </x:c>
      <x:c r="C48" s="16" t="n">
        <x:v>46069</x:v>
      </x:c>
      <x:c r="D48" s="17" t="n">
        <x:v>81</x:v>
      </x:c>
      <x:c r="E48" s="17" t="n">
        <x:v>135</x:v>
      </x:c>
      <x:c r="F48" s="18" t="n">
        <x:v>1211.46</x:v>
      </x:c>
    </x:row>
    <x:row r="49">
      <x:c r="A49" s="14" t="str">
        <x:v>店长</x:v>
      </x:c>
      <x:c r="B49" s="15" t="str">
        <x:v>王云</x:v>
      </x:c>
      <x:c r="C49" s="16" t="n">
        <x:v>46070</x:v>
      </x:c>
      <x:c r="D49" s="17" t="n">
        <x:v>73</x:v>
      </x:c>
      <x:c r="E49" s="17" t="n">
        <x:v>125</x:v>
      </x:c>
      <x:c r="F49" s="18" t="n">
        <x:v>1062.65</x:v>
      </x:c>
    </x:row>
    <x:row r="50">
      <x:c r="A50" s="14" t="str">
        <x:v>店长</x:v>
      </x:c>
      <x:c r="B50" s="15" t="str">
        <x:v>王云</x:v>
      </x:c>
      <x:c r="C50" s="16" t="n">
        <x:v>46071</x:v>
      </x:c>
      <x:c r="D50" s="17" t="n">
        <x:v>82</x:v>
      </x:c>
      <x:c r="E50" s="17" t="n">
        <x:v>149</x:v>
      </x:c>
      <x:c r="F50" s="18" t="n">
        <x:v>1114.04</x:v>
      </x:c>
    </x:row>
    <x:row r="51">
      <x:c r="A51" s="14" t="str">
        <x:v>店长</x:v>
      </x:c>
      <x:c r="B51" s="15" t="str">
        <x:v>王云</x:v>
      </x:c>
      <x:c r="C51" s="16" t="n">
        <x:v>46072</x:v>
      </x:c>
      <x:c r="D51" s="17" t="n">
        <x:v>76</x:v>
      </x:c>
      <x:c r="E51" s="17" t="n">
        <x:v>121</x:v>
      </x:c>
      <x:c r="F51" s="18" t="n">
        <x:v>1105.73</x:v>
      </x:c>
    </x:row>
    <x:row r="52">
      <x:c r="A52" s="14" t="str">
        <x:v>店长</x:v>
      </x:c>
      <x:c r="B52" s="15" t="str">
        <x:v>王云</x:v>
      </x:c>
      <x:c r="C52" s="16" t="n">
        <x:v>46073</x:v>
      </x:c>
      <x:c r="D52" s="17" t="n">
        <x:v>69</x:v>
      </x:c>
      <x:c r="E52" s="17" t="n">
        <x:v>109</x:v>
      </x:c>
      <x:c r="F52" s="18" t="n">
        <x:v>1114.51</x:v>
      </x:c>
    </x:row>
    <x:row r="53">
      <x:c r="A53" s="14" t="str">
        <x:v>店长</x:v>
      </x:c>
      <x:c r="B53" s="15" t="str">
        <x:v>王云</x:v>
      </x:c>
      <x:c r="C53" s="16" t="n">
        <x:v>46074</x:v>
      </x:c>
      <x:c r="D53" s="17" t="n">
        <x:v>75</x:v>
      </x:c>
      <x:c r="E53" s="17" t="n">
        <x:v>148</x:v>
      </x:c>
      <x:c r="F53" s="18" t="n">
        <x:v>1200.56</x:v>
      </x:c>
    </x:row>
    <x:row r="54">
      <x:c r="A54" s="14" t="str">
        <x:v>店长</x:v>
      </x:c>
      <x:c r="B54" s="15" t="str">
        <x:v>王云</x:v>
      </x:c>
      <x:c r="C54" s="16" t="n">
        <x:v>46075</x:v>
      </x:c>
      <x:c r="D54" s="17" t="n">
        <x:v>53</x:v>
      </x:c>
      <x:c r="E54" s="17" t="n">
        <x:v>88</x:v>
      </x:c>
      <x:c r="F54" s="18" t="n">
        <x:v>876.31</x:v>
      </x:c>
    </x:row>
    <x:row r="55">
      <x:c r="A55" s="14" t="str">
        <x:v>店长</x:v>
      </x:c>
      <x:c r="B55" s="15" t="str">
        <x:v>王云</x:v>
      </x:c>
      <x:c r="C55" s="16" t="n">
        <x:v>46076</x:v>
      </x:c>
      <x:c r="D55" s="17" t="n">
        <x:v>70</x:v>
      </x:c>
      <x:c r="E55" s="17" t="n">
        <x:v>135</x:v>
      </x:c>
      <x:c r="F55" s="18" t="n">
        <x:v>1059.87</x:v>
      </x:c>
    </x:row>
    <x:row r="56">
      <x:c r="A56" s="14" t="str">
        <x:v>店长</x:v>
      </x:c>
      <x:c r="B56" s="15" t="str">
        <x:v>王云</x:v>
      </x:c>
      <x:c r="C56" s="16" t="n">
        <x:v>46077</x:v>
      </x:c>
      <x:c r="D56" s="17" t="n">
        <x:v>77</x:v>
      </x:c>
      <x:c r="E56" s="17" t="n">
        <x:v>107</x:v>
      </x:c>
      <x:c r="F56" s="18" t="n">
        <x:v>1031.51</x:v>
      </x:c>
    </x:row>
    <x:row r="57">
      <x:c r="A57" s="14" t="str">
        <x:v>店长</x:v>
      </x:c>
      <x:c r="B57" s="15" t="str">
        <x:v>王云</x:v>
      </x:c>
      <x:c r="C57" s="16" t="n">
        <x:v>46078</x:v>
      </x:c>
      <x:c r="D57" s="17" t="n">
        <x:v>70</x:v>
      </x:c>
      <x:c r="E57" s="17" t="n">
        <x:v>115</x:v>
      </x:c>
      <x:c r="F57" s="18" t="n">
        <x:v>1001.96</x:v>
      </x:c>
    </x:row>
    <x:row r="58">
      <x:c r="A58" s="14" t="str">
        <x:v>店长</x:v>
      </x:c>
      <x:c r="B58" s="15" t="str">
        <x:v>王云</x:v>
      </x:c>
      <x:c r="C58" s="16" t="n">
        <x:v>46079</x:v>
      </x:c>
      <x:c r="D58" s="17" t="n">
        <x:v>62</x:v>
      </x:c>
      <x:c r="E58" s="17" t="n">
        <x:v>114</x:v>
      </x:c>
      <x:c r="F58" s="18" t="n">
        <x:v>800.51</x:v>
      </x:c>
    </x:row>
    <x:row r="59">
      <x:c r="A59" s="14" t="str">
        <x:v>店长</x:v>
      </x:c>
      <x:c r="B59" s="15" t="str">
        <x:v>王云</x:v>
      </x:c>
      <x:c r="C59" s="16" t="n">
        <x:v>46080</x:v>
      </x:c>
      <x:c r="D59" s="17" t="n">
        <x:v>45</x:v>
      </x:c>
      <x:c r="E59" s="17" t="n">
        <x:v>82</x:v>
      </x:c>
      <x:c r="F59" s="18" t="n">
        <x:v>649.42</x:v>
      </x:c>
    </x:row>
    <x:row r="60">
      <x:c r="A60" s="14" t="str">
        <x:v>店长</x:v>
      </x:c>
      <x:c r="B60" s="15" t="str">
        <x:v>王云</x:v>
      </x:c>
      <x:c r="C60" s="16" t="n">
        <x:v>46081</x:v>
      </x:c>
      <x:c r="D60" s="17" t="n">
        <x:v>67</x:v>
      </x:c>
      <x:c r="E60" s="17" t="n">
        <x:v>113</x:v>
      </x:c>
      <x:c r="F60" s="18" t="n">
        <x:v>877.03</x:v>
      </x:c>
    </x:row>
    <x:row r="61">
      <x:c r="A61" s="14" t="str">
        <x:v>店长</x:v>
      </x:c>
      <x:c r="B61" s="15" t="str">
        <x:v>王云</x:v>
      </x:c>
      <x:c r="C61" s="16" t="n">
        <x:v>46082</x:v>
      </x:c>
      <x:c r="D61" s="17" t="n">
        <x:v>52</x:v>
      </x:c>
      <x:c r="E61" s="17" t="n">
        <x:v>100</x:v>
      </x:c>
      <x:c r="F61" s="18" t="n">
        <x:v>760.81</x:v>
      </x:c>
    </x:row>
    <x:row r="62">
      <x:c r="A62" s="14" t="str">
        <x:v>店长</x:v>
      </x:c>
      <x:c r="B62" s="15" t="str">
        <x:v>王云</x:v>
      </x:c>
      <x:c r="C62" s="16" t="n">
        <x:v>46083</x:v>
      </x:c>
      <x:c r="D62" s="17" t="n">
        <x:v>46</x:v>
      </x:c>
      <x:c r="E62" s="17" t="n">
        <x:v>78</x:v>
      </x:c>
      <x:c r="F62" s="18" t="n">
        <x:v>647.52</x:v>
      </x:c>
    </x:row>
    <x:row r="63">
      <x:c r="A63" s="14" t="str">
        <x:v>店长</x:v>
      </x:c>
      <x:c r="B63" s="15" t="str">
        <x:v>王云</x:v>
      </x:c>
      <x:c r="C63" s="16" t="n">
        <x:v>46084</x:v>
      </x:c>
      <x:c r="D63" s="17" t="n">
        <x:v>297</x:v>
      </x:c>
      <x:c r="E63" s="17" t="n">
        <x:v>405</x:v>
      </x:c>
      <x:c r="F63" s="18" t="n">
        <x:v>4137.32</x:v>
      </x:c>
    </x:row>
    <x:row r="64">
      <x:c r="A64" s="14" t="str">
        <x:v>店长</x:v>
      </x:c>
      <x:c r="B64" s="15" t="str">
        <x:v>王云</x:v>
      </x:c>
      <x:c r="C64" s="16" t="n">
        <x:v>46085</x:v>
      </x:c>
      <x:c r="D64" s="17" t="n">
        <x:v>145</x:v>
      </x:c>
      <x:c r="E64" s="17" t="n">
        <x:v>245</x:v>
      </x:c>
      <x:c r="F64" s="18" t="n">
        <x:v>1953</x:v>
      </x:c>
    </x:row>
    <x:row r="65">
      <x:c r="A65" s="14" t="str">
        <x:v>店长</x:v>
      </x:c>
      <x:c r="B65" s="15" t="str">
        <x:v>王云</x:v>
      </x:c>
      <x:c r="C65" s="16" t="n">
        <x:v>46086</x:v>
      </x:c>
      <x:c r="D65" s="17" t="n">
        <x:v>125</x:v>
      </x:c>
      <x:c r="E65" s="17" t="n">
        <x:v>196</x:v>
      </x:c>
      <x:c r="F65" s="18" t="n">
        <x:v>1595.05</x:v>
      </x:c>
    </x:row>
    <x:row r="66">
      <x:c r="A66" s="14" t="str">
        <x:v>店长</x:v>
      </x:c>
      <x:c r="B66" s="15" t="str">
        <x:v>王云</x:v>
      </x:c>
      <x:c r="C66" s="16" t="n">
        <x:v>46087</x:v>
      </x:c>
      <x:c r="D66" s="17" t="n">
        <x:v>182</x:v>
      </x:c>
      <x:c r="E66" s="17" t="n">
        <x:v>287</x:v>
      </x:c>
      <x:c r="F66" s="18" t="n">
        <x:v>2609.93</x:v>
      </x:c>
    </x:row>
    <x:row r="67">
      <x:c r="A67" s="14" t="str">
        <x:v>店长</x:v>
      </x:c>
      <x:c r="B67" s="15" t="str">
        <x:v>王云</x:v>
      </x:c>
      <x:c r="C67" s="16" t="n">
        <x:v>46088</x:v>
      </x:c>
      <x:c r="D67" s="17" t="n">
        <x:v>160</x:v>
      </x:c>
      <x:c r="E67" s="17" t="n">
        <x:v>234</x:v>
      </x:c>
      <x:c r="F67" s="18" t="n">
        <x:v>2283.15</x:v>
      </x:c>
    </x:row>
    <x:row r="68">
      <x:c r="A68" s="14" t="str">
        <x:v>店长</x:v>
      </x:c>
      <x:c r="B68" s="15" t="str">
        <x:v>王云</x:v>
      </x:c>
      <x:c r="C68" s="16" t="n">
        <x:v>46089</x:v>
      </x:c>
      <x:c r="D68" s="17" t="n">
        <x:v>144</x:v>
      </x:c>
      <x:c r="E68" s="17" t="n">
        <x:v>253</x:v>
      </x:c>
      <x:c r="F68" s="18" t="n">
        <x:v>2047.67</x:v>
      </x:c>
    </x:row>
    <x:row r="69">
      <x:c r="A69" s="14" t="str">
        <x:v>店长</x:v>
      </x:c>
      <x:c r="B69" s="15" t="str">
        <x:v>王云</x:v>
      </x:c>
      <x:c r="C69" s="16" t="n">
        <x:v>46090</x:v>
      </x:c>
      <x:c r="D69" s="17" t="n">
        <x:v>142</x:v>
      </x:c>
      <x:c r="E69" s="17" t="n">
        <x:v>214</x:v>
      </x:c>
      <x:c r="F69" s="18" t="n">
        <x:v>2186.95</x:v>
      </x:c>
    </x:row>
    <x:row r="70">
      <x:c r="A70" s="14" t="str">
        <x:v>店长</x:v>
      </x:c>
      <x:c r="B70" s="15" t="str">
        <x:v>王云</x:v>
      </x:c>
      <x:c r="C70" s="16" t="n">
        <x:v>46091</x:v>
      </x:c>
      <x:c r="D70" s="17" t="n">
        <x:v>158</x:v>
      </x:c>
      <x:c r="E70" s="17" t="n">
        <x:v>260</x:v>
      </x:c>
      <x:c r="F70" s="18" t="n">
        <x:v>2208.01</x:v>
      </x:c>
    </x:row>
    <x:row r="71">
      <x:c r="A71" s="14" t="str">
        <x:v>店长</x:v>
      </x:c>
      <x:c r="B71" s="15" t="str">
        <x:v>王云</x:v>
      </x:c>
      <x:c r="C71" s="16" t="n">
        <x:v>46092</x:v>
      </x:c>
      <x:c r="D71" s="17" t="n">
        <x:v>171</x:v>
      </x:c>
      <x:c r="E71" s="17" t="n">
        <x:v>286</x:v>
      </x:c>
      <x:c r="F71" s="18" t="n">
        <x:v>2204.21</x:v>
      </x:c>
    </x:row>
    <x:row r="72">
      <x:c r="A72" s="14" t="str">
        <x:v>店长</x:v>
      </x:c>
      <x:c r="B72" s="15" t="str">
        <x:v>王云</x:v>
      </x:c>
      <x:c r="C72" s="16" t="n">
        <x:v>46093</x:v>
      </x:c>
      <x:c r="D72" s="17" t="n">
        <x:v>171</x:v>
      </x:c>
      <x:c r="E72" s="17" t="n">
        <x:v>280</x:v>
      </x:c>
      <x:c r="F72" s="18" t="n">
        <x:v>2269.32</x:v>
      </x:c>
    </x:row>
    <x:row r="73">
      <x:c r="A73" s="14" t="str">
        <x:v>店长</x:v>
      </x:c>
      <x:c r="B73" s="15" t="str">
        <x:v>王云</x:v>
      </x:c>
      <x:c r="C73" s="16" t="n">
        <x:v>46094</x:v>
      </x:c>
      <x:c r="D73" s="17" t="n">
        <x:v>205</x:v>
      </x:c>
      <x:c r="E73" s="17" t="n">
        <x:v>340</x:v>
      </x:c>
      <x:c r="F73" s="18" t="n">
        <x:v>2737.9</x:v>
      </x:c>
    </x:row>
    <x:row r="74">
      <x:c r="A74" s="14" t="str">
        <x:v>店长</x:v>
      </x:c>
      <x:c r="B74" s="15" t="str">
        <x:v>王云</x:v>
      </x:c>
      <x:c r="C74" s="16" t="n">
        <x:v>46095</x:v>
      </x:c>
      <x:c r="D74" s="17" t="n">
        <x:v>198</x:v>
      </x:c>
      <x:c r="E74" s="17" t="n">
        <x:v>269</x:v>
      </x:c>
      <x:c r="F74" s="18" t="n">
        <x:v>2416.96</x:v>
      </x:c>
    </x:row>
    <x:row r="75">
      <x:c r="A75" s="14" t="str">
        <x:v>店长</x:v>
      </x:c>
      <x:c r="B75" s="15" t="str">
        <x:v>王云</x:v>
      </x:c>
      <x:c r="C75" s="16" t="n">
        <x:v>46096</x:v>
      </x:c>
      <x:c r="D75" s="17" t="n">
        <x:v>193</x:v>
      </x:c>
      <x:c r="E75" s="17" t="n">
        <x:v>297</x:v>
      </x:c>
      <x:c r="F75" s="18" t="n">
        <x:v>2570.9</x:v>
      </x:c>
    </x:row>
    <x:row r="76">
      <x:c r="A76" s="14" t="str">
        <x:v>店长</x:v>
      </x:c>
      <x:c r="B76" s="15" t="str">
        <x:v>王云</x:v>
      </x:c>
      <x:c r="C76" s="16" t="n">
        <x:v>46097</x:v>
      </x:c>
      <x:c r="D76" s="17" t="n">
        <x:v>188</x:v>
      </x:c>
      <x:c r="E76" s="17" t="n">
        <x:v>263</x:v>
      </x:c>
      <x:c r="F76" s="18" t="n">
        <x:v>2171.18</x:v>
      </x:c>
    </x:row>
    <x:row r="77">
      <x:c r="A77" s="14" t="str">
        <x:v>店长</x:v>
      </x:c>
      <x:c r="B77" s="15" t="str">
        <x:v>王云</x:v>
      </x:c>
      <x:c r="C77" s="16" t="n">
        <x:v>46098</x:v>
      </x:c>
      <x:c r="D77" s="17" t="n">
        <x:v>164</x:v>
      </x:c>
      <x:c r="E77" s="17" t="n">
        <x:v>241</x:v>
      </x:c>
      <x:c r="F77" s="18" t="n">
        <x:v>1946.67</x:v>
      </x:c>
    </x:row>
    <x:row r="78">
      <x:c r="A78" s="14" t="str">
        <x:v>店长</x:v>
      </x:c>
      <x:c r="B78" s="15" t="str">
        <x:v>王云</x:v>
      </x:c>
      <x:c r="C78" s="16" t="n">
        <x:v>46099</x:v>
      </x:c>
      <x:c r="D78" s="17" t="n">
        <x:v>137</x:v>
      </x:c>
      <x:c r="E78" s="17" t="n">
        <x:v>221</x:v>
      </x:c>
      <x:c r="F78" s="18" t="n">
        <x:v>1704.72</x:v>
      </x:c>
    </x:row>
    <x:row r="79">
      <x:c r="A79" s="14" t="str">
        <x:v>店长</x:v>
      </x:c>
      <x:c r="B79" s="15" t="str">
        <x:v>王云</x:v>
      </x:c>
      <x:c r="C79" s="16" t="n">
        <x:v>46100</x:v>
      </x:c>
      <x:c r="D79" s="17" t="n">
        <x:v>131</x:v>
      </x:c>
      <x:c r="E79" s="17" t="n">
        <x:v>212</x:v>
      </x:c>
      <x:c r="F79" s="18" t="n">
        <x:v>1629.13</x:v>
      </x:c>
    </x:row>
    <x:row r="80">
      <x:c r="A80" s="14" t="str">
        <x:v>店长</x:v>
      </x:c>
      <x:c r="B80" s="15" t="str">
        <x:v>王云</x:v>
      </x:c>
      <x:c r="C80" s="16" t="n">
        <x:v>46101</x:v>
      </x:c>
      <x:c r="D80" s="17" t="n">
        <x:v>197</x:v>
      </x:c>
      <x:c r="E80" s="17" t="n">
        <x:v>315</x:v>
      </x:c>
      <x:c r="F80" s="18" t="n">
        <x:v>2436.42</x:v>
      </x:c>
    </x:row>
    <x:row r="81">
      <x:c r="A81" s="14" t="str">
        <x:v>店长</x:v>
      </x:c>
      <x:c r="B81" s="15" t="str">
        <x:v>王云</x:v>
      </x:c>
      <x:c r="C81" s="16" t="n">
        <x:v>46102</x:v>
      </x:c>
      <x:c r="D81" s="17" t="n">
        <x:v>271</x:v>
      </x:c>
      <x:c r="E81" s="17" t="n">
        <x:v>441</x:v>
      </x:c>
      <x:c r="F81" s="18" t="n">
        <x:v>3423.13</x:v>
      </x:c>
    </x:row>
    <x:row r="82">
      <x:c r="A82" s="14" t="str">
        <x:v>店长</x:v>
      </x:c>
      <x:c r="B82" s="15" t="str">
        <x:v>王云</x:v>
      </x:c>
      <x:c r="C82" s="16" t="n">
        <x:v>46103</x:v>
      </x:c>
      <x:c r="D82" s="17" t="n">
        <x:v>3777</x:v>
      </x:c>
      <x:c r="E82" s="17" t="n">
        <x:v>3982</x:v>
      </x:c>
      <x:c r="F82" s="18" t="n">
        <x:v>29962.27</x:v>
      </x:c>
    </x:row>
    <x:row r="83">
      <x:c r="A83" s="14" t="str">
        <x:v>店长</x:v>
      </x:c>
      <x:c r="B83" s="15" t="str">
        <x:v>王云</x:v>
      </x:c>
      <x:c r="C83" s="16" t="n">
        <x:v>46104</x:v>
      </x:c>
      <x:c r="D83" s="17" t="n">
        <x:v>3705</x:v>
      </x:c>
      <x:c r="E83" s="17" t="n">
        <x:v>3899</x:v>
      </x:c>
      <x:c r="F83" s="18" t="n">
        <x:v>32826.26</x:v>
      </x:c>
    </x:row>
    <x:row r="84">
      <x:c r="A84" s="14" t="str">
        <x:v>店长</x:v>
      </x:c>
      <x:c r="B84" s="15" t="str">
        <x:v>王云</x:v>
      </x:c>
      <x:c r="C84" s="16" t="n">
        <x:v>46105</x:v>
      </x:c>
      <x:c r="D84" s="17" t="n">
        <x:v>1913</x:v>
      </x:c>
      <x:c r="E84" s="17" t="n">
        <x:v>2084</x:v>
      </x:c>
      <x:c r="F84" s="18" t="n">
        <x:v>17948.22</x:v>
      </x:c>
    </x:row>
    <x:row r="85">
      <x:c r="A85" s="14" t="str">
        <x:v>店长</x:v>
      </x:c>
      <x:c r="B85" s="15" t="str">
        <x:v>王云</x:v>
      </x:c>
      <x:c r="C85" s="16" t="n">
        <x:v>46106</x:v>
      </x:c>
      <x:c r="D85" s="17" t="n">
        <x:v>2901</x:v>
      </x:c>
      <x:c r="E85" s="17" t="n">
        <x:v>3083</x:v>
      </x:c>
      <x:c r="F85" s="18" t="n">
        <x:v>27155.09</x:v>
      </x:c>
    </x:row>
    <x:row r="86">
      <x:c r="A86" s="14" t="str">
        <x:v>店长</x:v>
      </x:c>
      <x:c r="B86" s="15" t="str">
        <x:v>王云</x:v>
      </x:c>
      <x:c r="C86" s="16" t="n">
        <x:v>46107</x:v>
      </x:c>
      <x:c r="D86" s="17" t="n">
        <x:v>2109</x:v>
      </x:c>
      <x:c r="E86" s="17" t="n">
        <x:v>2276</x:v>
      </x:c>
      <x:c r="F86" s="18" t="n">
        <x:v>19983.78</x:v>
      </x:c>
    </x:row>
    <x:row r="87">
      <x:c r="A87" s="14" t="str">
        <x:v>店长</x:v>
      </x:c>
      <x:c r="B87" s="15" t="str">
        <x:v>王云</x:v>
      </x:c>
      <x:c r="C87" s="16" t="n">
        <x:v>46108</x:v>
      </x:c>
      <x:c r="D87" s="17" t="n">
        <x:v>1578</x:v>
      </x:c>
      <x:c r="E87" s="17" t="n">
        <x:v>1714</x:v>
      </x:c>
      <x:c r="F87" s="18" t="n">
        <x:v>15045.63</x:v>
      </x:c>
    </x:row>
    <x:row r="88">
      <x:c r="A88" s="14" t="str">
        <x:v>店长</x:v>
      </x:c>
      <x:c r="B88" s="15" t="str">
        <x:v>王云</x:v>
      </x:c>
      <x:c r="C88" s="16" t="n">
        <x:v>46109</x:v>
      </x:c>
      <x:c r="D88" s="17" t="n">
        <x:v>198</x:v>
      </x:c>
      <x:c r="E88" s="17" t="n">
        <x:v>318</x:v>
      </x:c>
      <x:c r="F88" s="18" t="n">
        <x:v>2541.94</x:v>
      </x:c>
    </x:row>
    <x:row r="89">
      <x:c r="A89" s="14" t="str">
        <x:v>店长</x:v>
      </x:c>
      <x:c r="B89" s="15" t="str">
        <x:v>王云</x:v>
      </x:c>
      <x:c r="C89" s="16" t="n">
        <x:v>46110</x:v>
      </x:c>
      <x:c r="D89" s="17" t="n">
        <x:v>2507</x:v>
      </x:c>
      <x:c r="E89" s="17" t="n">
        <x:v>2625</x:v>
      </x:c>
      <x:c r="F89" s="18" t="n">
        <x:v>23934.06</x:v>
      </x:c>
    </x:row>
    <x:row r="90">
      <x:c r="A90" s="14" t="str">
        <x:v>店长</x:v>
      </x:c>
      <x:c r="B90" s="15" t="str">
        <x:v>王云</x:v>
      </x:c>
      <x:c r="C90" s="16" t="n">
        <x:v>46111</x:v>
      </x:c>
      <x:c r="D90" s="17" t="n">
        <x:v>2442</x:v>
      </x:c>
      <x:c r="E90" s="17" t="n">
        <x:v>2558</x:v>
      </x:c>
      <x:c r="F90" s="18" t="n">
        <x:v>23363.36</x:v>
      </x:c>
    </x:row>
    <x:row r="91">
      <x:c r="A91" s="14" t="str">
        <x:v>店长</x:v>
      </x:c>
      <x:c r="B91" s="15" t="str">
        <x:v>王云</x:v>
      </x:c>
      <x:c r="C91" s="16" t="n">
        <x:v>46112</x:v>
      </x:c>
      <x:c r="D91" s="17" t="n">
        <x:v>2080</x:v>
      </x:c>
      <x:c r="E91" s="17" t="n">
        <x:v>2414</x:v>
      </x:c>
      <x:c r="F91" s="18" t="n">
        <x:v>20715.42</x:v>
      </x:c>
    </x:row>
    <x:row r="92">
      <x:c r="A92" s="14" t="str">
        <x:v>店长</x:v>
      </x:c>
      <x:c r="B92" s="15" t="str">
        <x:v>王云</x:v>
      </x:c>
      <x:c r="C92" s="16" t="n">
        <x:v>46113</x:v>
      </x:c>
      <x:c r="D92" s="17" t="n">
        <x:v>1128</x:v>
      </x:c>
      <x:c r="E92" s="17" t="n">
        <x:v>1209</x:v>
      </x:c>
      <x:c r="F92" s="18" t="n">
        <x:v>11252.24</x:v>
      </x:c>
    </x:row>
    <x:row r="93">
      <x:c r="A93" s="14" t="str">
        <x:v>店长</x:v>
      </x:c>
      <x:c r="B93" s="15" t="str">
        <x:v>王云</x:v>
      </x:c>
      <x:c r="C93" s="16" t="n">
        <x:v>46114</x:v>
      </x:c>
      <x:c r="D93" s="17" t="n">
        <x:v>899</x:v>
      </x:c>
      <x:c r="E93" s="17" t="n">
        <x:v>999</x:v>
      </x:c>
      <x:c r="F93" s="18" t="n">
        <x:v>8867.85</x:v>
      </x:c>
    </x:row>
    <x:row r="94">
      <x:c r="A94" s="14" t="str">
        <x:v>店长</x:v>
      </x:c>
      <x:c r="B94" s="15" t="str">
        <x:v>王云</x:v>
      </x:c>
      <x:c r="C94" s="16" t="n">
        <x:v>46115</x:v>
      </x:c>
      <x:c r="D94" s="17" t="n">
        <x:v>1184</x:v>
      </x:c>
      <x:c r="E94" s="17" t="n">
        <x:v>1284</x:v>
      </x:c>
      <x:c r="F94" s="18" t="n">
        <x:v>11997.22</x:v>
      </x:c>
    </x:row>
    <x:row r="95">
      <x:c r="A95" s="14" t="str">
        <x:v>店长</x:v>
      </x:c>
      <x:c r="B95" s="15" t="str">
        <x:v>王云</x:v>
      </x:c>
      <x:c r="C95" s="16" t="n">
        <x:v>46116</x:v>
      </x:c>
      <x:c r="D95" s="17" t="n">
        <x:v>1935</x:v>
      </x:c>
      <x:c r="E95" s="17" t="n">
        <x:v>2081</x:v>
      </x:c>
      <x:c r="F95" s="18" t="n">
        <x:v>18927.58</x:v>
      </x:c>
    </x:row>
    <x:row r="96">
      <x:c r="A96" s="14" t="str">
        <x:v>店长</x:v>
      </x:c>
      <x:c r="B96" s="15" t="str">
        <x:v>王云</x:v>
      </x:c>
      <x:c r="C96" s="16" t="n">
        <x:v>46117</x:v>
      </x:c>
      <x:c r="D96" s="17" t="n">
        <x:v>1805</x:v>
      </x:c>
      <x:c r="E96" s="17" t="n">
        <x:v>1978</x:v>
      </x:c>
      <x:c r="F96" s="18" t="n">
        <x:v>18182.89</x:v>
      </x:c>
    </x:row>
    <x:row r="97">
      <x:c r="A97" s="14" t="str">
        <x:v>店长</x:v>
      </x:c>
      <x:c r="B97" s="15" t="str">
        <x:v>王云</x:v>
      </x:c>
      <x:c r="C97" s="16" t="n">
        <x:v>46118</x:v>
      </x:c>
      <x:c r="D97" s="17" t="n">
        <x:v>278</x:v>
      </x:c>
      <x:c r="E97" s="17" t="n">
        <x:v>401</x:v>
      </x:c>
      <x:c r="F97" s="18" t="n">
        <x:v>3650.9</x:v>
      </x:c>
    </x:row>
    <x:row r="98">
      <x:c r="A98" s="14" t="str">
        <x:v>店长</x:v>
      </x:c>
      <x:c r="B98" s="15" t="str">
        <x:v>王云</x:v>
      </x:c>
      <x:c r="C98" s="16" t="n">
        <x:v>46119</x:v>
      </x:c>
      <x:c r="D98" s="17" t="n">
        <x:v>4030</x:v>
      </x:c>
      <x:c r="E98" s="17" t="n">
        <x:v>4128</x:v>
      </x:c>
      <x:c r="F98" s="18" t="n">
        <x:v>38100.71</x:v>
      </x:c>
    </x:row>
    <x:row r="99">
      <x:c r="A99" s="14" t="str">
        <x:v>店长</x:v>
      </x:c>
      <x:c r="B99" s="15" t="str">
        <x:v>王云</x:v>
      </x:c>
      <x:c r="C99" s="16" t="n">
        <x:v>46120</x:v>
      </x:c>
      <x:c r="D99" s="17" t="n">
        <x:v>1207</x:v>
      </x:c>
      <x:c r="E99" s="17" t="n">
        <x:v>1296</x:v>
      </x:c>
      <x:c r="F99" s="18" t="n">
        <x:v>12471.28</x:v>
      </x:c>
    </x:row>
    <x:row r="100">
      <x:c r="A100" s="14" t="str">
        <x:v>店长</x:v>
      </x:c>
      <x:c r="B100" s="15" t="str">
        <x:v>王云</x:v>
      </x:c>
      <x:c r="C100" s="16" t="n">
        <x:v>46121</x:v>
      </x:c>
      <x:c r="D100" s="17" t="n">
        <x:v>516</x:v>
      </x:c>
      <x:c r="E100" s="17" t="n">
        <x:v>603</x:v>
      </x:c>
      <x:c r="F100" s="18" t="n">
        <x:v>5444.74</x:v>
      </x:c>
    </x:row>
    <x:row r="101">
      <x:c r="A101" s="14" t="str">
        <x:v>店长</x:v>
      </x:c>
      <x:c r="B101" s="15" t="str">
        <x:v>王云</x:v>
      </x:c>
      <x:c r="C101" s="16" t="n">
        <x:v>46122</x:v>
      </x:c>
      <x:c r="D101" s="17" t="n">
        <x:v>417</x:v>
      </x:c>
      <x:c r="E101" s="17" t="n">
        <x:v>507</x:v>
      </x:c>
      <x:c r="F101" s="18" t="n">
        <x:v>4237.94</x:v>
      </x:c>
    </x:row>
    <x:row r="102">
      <x:c r="A102" s="14" t="str">
        <x:v>店长</x:v>
      </x:c>
      <x:c r="B102" s="15" t="str">
        <x:v>王云</x:v>
      </x:c>
      <x:c r="C102" s="16" t="n">
        <x:v>46123</x:v>
      </x:c>
      <x:c r="D102" s="17" t="n">
        <x:v>491</x:v>
      </x:c>
      <x:c r="E102" s="17" t="n">
        <x:v>562</x:v>
      </x:c>
      <x:c r="F102" s="18" t="n">
        <x:v>5110.99</x:v>
      </x:c>
    </x:row>
    <x:row r="103">
      <x:c r="A103" s="14" t="str">
        <x:v>店长</x:v>
      </x:c>
      <x:c r="B103" s="15" t="str">
        <x:v>王云</x:v>
      </x:c>
      <x:c r="C103" s="16" t="n">
        <x:v>46124</x:v>
      </x:c>
      <x:c r="D103" s="17" t="n">
        <x:v>236</x:v>
      </x:c>
      <x:c r="E103" s="17" t="n">
        <x:v>334</x:v>
      </x:c>
      <x:c r="F103" s="18" t="n">
        <x:v>2866.14</x:v>
      </x:c>
    </x:row>
    <x:row r="104">
      <x:c r="A104" s="14" t="str">
        <x:v>店长</x:v>
      </x:c>
      <x:c r="B104" s="15" t="str">
        <x:v>王云</x:v>
      </x:c>
      <x:c r="C104" s="16" t="n">
        <x:v>46125</x:v>
      </x:c>
      <x:c r="D104" s="17" t="n">
        <x:v>433</x:v>
      </x:c>
      <x:c r="E104" s="17" t="n">
        <x:v>492</x:v>
      </x:c>
      <x:c r="F104" s="18" t="n">
        <x:v>4556.62</x:v>
      </x:c>
    </x:row>
    <x:row r="105">
      <x:c r="A105" s="14" t="str">
        <x:v>店长</x:v>
      </x:c>
      <x:c r="B105" s="15" t="str">
        <x:v>王云</x:v>
      </x:c>
      <x:c r="C105" s="16" t="n">
        <x:v>46126</x:v>
      </x:c>
      <x:c r="D105" s="17" t="n">
        <x:v>231</x:v>
      </x:c>
      <x:c r="E105" s="17" t="n">
        <x:v>300</x:v>
      </x:c>
      <x:c r="F105" s="18" t="n">
        <x:v>2297.47</x:v>
      </x:c>
    </x:row>
    <x:row r="106">
      <x:c r="A106" s="14" t="str">
        <x:v>店长</x:v>
      </x:c>
      <x:c r="B106" s="15" t="str">
        <x:v>王云</x:v>
      </x:c>
      <x:c r="C106" s="16" t="n">
        <x:v>46127</x:v>
      </x:c>
      <x:c r="D106" s="17" t="n">
        <x:v>351</x:v>
      </x:c>
      <x:c r="E106" s="17" t="n">
        <x:v>441</x:v>
      </x:c>
      <x:c r="F106" s="18" t="n">
        <x:v>4061.5</x:v>
      </x:c>
    </x:row>
    <x:row r="107">
      <x:c r="A107" s="14" t="str">
        <x:v>店长</x:v>
      </x:c>
      <x:c r="B107" s="15" t="str">
        <x:v>王云</x:v>
      </x:c>
      <x:c r="C107" s="16" t="n">
        <x:v>46128</x:v>
      </x:c>
      <x:c r="D107" s="17" t="n">
        <x:v>319</x:v>
      </x:c>
      <x:c r="E107" s="17" t="n">
        <x:v>415</x:v>
      </x:c>
      <x:c r="F107" s="18" t="n">
        <x:v>3673</x:v>
      </x:c>
    </x:row>
    <x:row r="108">
      <x:c r="A108" s="14" t="str">
        <x:v>店长</x:v>
      </x:c>
      <x:c r="B108" s="15" t="str">
        <x:v>王云</x:v>
      </x:c>
      <x:c r="C108" s="16" t="n">
        <x:v>46129</x:v>
      </x:c>
      <x:c r="D108" s="17" t="n">
        <x:v>415</x:v>
      </x:c>
      <x:c r="E108" s="17" t="n">
        <x:v>519</x:v>
      </x:c>
      <x:c r="F108" s="18" t="n">
        <x:v>4646.55</x:v>
      </x:c>
    </x:row>
    <x:row r="109">
      <x:c r="A109" s="14" t="str">
        <x:v>店长</x:v>
      </x:c>
      <x:c r="B109" s="15" t="str">
        <x:v>王云</x:v>
      </x:c>
      <x:c r="C109" s="16" t="n">
        <x:v>46130</x:v>
      </x:c>
      <x:c r="D109" s="17" t="n">
        <x:v>336</x:v>
      </x:c>
      <x:c r="E109" s="17" t="n">
        <x:v>419</x:v>
      </x:c>
      <x:c r="F109" s="18" t="n">
        <x:v>3738.9</x:v>
      </x:c>
    </x:row>
    <x:row r="110">
      <x:c r="A110" s="14" t="str">
        <x:v>店长</x:v>
      </x:c>
      <x:c r="B110" s="15" t="str">
        <x:v>王云</x:v>
      </x:c>
      <x:c r="C110" s="16" t="n">
        <x:v>46131</x:v>
      </x:c>
      <x:c r="D110" s="17" t="n">
        <x:v>324</x:v>
      </x:c>
      <x:c r="E110" s="17" t="n">
        <x:v>419</x:v>
      </x:c>
      <x:c r="F110" s="18" t="n">
        <x:v>3645.18</x:v>
      </x:c>
    </x:row>
    <x:row r="111">
      <x:c r="A111" s="14" t="str">
        <x:v>店长</x:v>
      </x:c>
      <x:c r="B111" s="15" t="str">
        <x:v>王云</x:v>
      </x:c>
      <x:c r="C111" s="16" t="n">
        <x:v>46132</x:v>
      </x:c>
      <x:c r="D111" s="17" t="n">
        <x:v>316</x:v>
      </x:c>
      <x:c r="E111" s="17" t="n">
        <x:v>393</x:v>
      </x:c>
      <x:c r="F111" s="18" t="n">
        <x:v>3414.9</x:v>
      </x:c>
    </x:row>
    <x:row r="112">
      <x:c r="A112" s="14" t="str">
        <x:v>店长</x:v>
      </x:c>
      <x:c r="B112" s="15" t="str">
        <x:v>王云</x:v>
      </x:c>
      <x:c r="C112" s="16" t="n">
        <x:v>46133</x:v>
      </x:c>
      <x:c r="D112" s="17" t="n">
        <x:v>214</x:v>
      </x:c>
      <x:c r="E112" s="17" t="n">
        <x:v>318</x:v>
      </x:c>
      <x:c r="F112" s="18" t="n">
        <x:v>2594.07</x:v>
      </x:c>
    </x:row>
    <x:row r="113">
      <x:c r="A113" s="14" t="str">
        <x:v>店长</x:v>
      </x:c>
      <x:c r="B113" s="15" t="str">
        <x:v>王云</x:v>
      </x:c>
      <x:c r="C113" s="16" t="n">
        <x:v>46134</x:v>
      </x:c>
      <x:c r="D113" s="17" t="n">
        <x:v>183</x:v>
      </x:c>
      <x:c r="E113" s="17" t="n">
        <x:v>259</x:v>
      </x:c>
      <x:c r="F113" s="18" t="n">
        <x:v>2432.8</x:v>
      </x:c>
    </x:row>
    <x:row r="114">
      <x:c r="A114" s="14" t="str">
        <x:v>店长</x:v>
      </x:c>
      <x:c r="B114" s="15" t="str">
        <x:v>王云</x:v>
      </x:c>
      <x:c r="C114" s="16" t="n">
        <x:v>46135</x:v>
      </x:c>
      <x:c r="D114" s="17" t="n">
        <x:v>238</x:v>
      </x:c>
      <x:c r="E114" s="17" t="n">
        <x:v>373</x:v>
      </x:c>
      <x:c r="F114" s="18" t="n">
        <x:v>2762.45</x:v>
      </x:c>
    </x:row>
    <x:row r="115">
      <x:c r="A115" s="14" t="str">
        <x:v>店长</x:v>
      </x:c>
      <x:c r="B115" s="15" t="str">
        <x:v>王云</x:v>
      </x:c>
      <x:c r="C115" s="16" t="n">
        <x:v>46136</x:v>
      </x:c>
      <x:c r="D115" s="17" t="n">
        <x:v>239</x:v>
      </x:c>
      <x:c r="E115" s="17" t="n">
        <x:v>457</x:v>
      </x:c>
      <x:c r="F115" s="18" t="n">
        <x:v>2937.53</x:v>
      </x:c>
    </x:row>
    <x:row r="116">
      <x:c r="A116" s="14" t="str">
        <x:v>店长</x:v>
      </x:c>
      <x:c r="B116" s="15" t="str">
        <x:v>王云</x:v>
      </x:c>
      <x:c r="C116" s="16" t="n">
        <x:v>46137</x:v>
      </x:c>
      <x:c r="D116" s="17" t="n">
        <x:v>223</x:v>
      </x:c>
      <x:c r="E116" s="17" t="n">
        <x:v>403</x:v>
      </x:c>
      <x:c r="F116" s="18" t="n">
        <x:v>2600.28</x:v>
      </x:c>
    </x:row>
    <x:row r="117">
      <x:c r="A117" s="14" t="str">
        <x:v>店长</x:v>
      </x:c>
      <x:c r="B117" s="15" t="str">
        <x:v>王云</x:v>
      </x:c>
      <x:c r="C117" s="16" t="n">
        <x:v>46138</x:v>
      </x:c>
      <x:c r="D117" s="17" t="n">
        <x:v>196</x:v>
      </x:c>
      <x:c r="E117" s="17" t="n">
        <x:v>359</x:v>
      </x:c>
      <x:c r="F117" s="18" t="n">
        <x:v>2350.85</x:v>
      </x:c>
    </x:row>
    <x:row r="118">
      <x:c r="A118" s="14" t="str">
        <x:v>店长</x:v>
      </x:c>
      <x:c r="B118" s="15" t="str">
        <x:v>王云</x:v>
      </x:c>
      <x:c r="C118" s="16" t="n">
        <x:v>46139</x:v>
      </x:c>
      <x:c r="D118" s="17" t="n">
        <x:v>180</x:v>
      </x:c>
      <x:c r="E118" s="17" t="n">
        <x:v>356</x:v>
      </x:c>
      <x:c r="F118" s="18" t="n">
        <x:v>2190.65</x:v>
      </x:c>
    </x:row>
    <x:row r="119">
      <x:c r="A119" s="14" t="str">
        <x:v>店长</x:v>
      </x:c>
      <x:c r="B119" s="15" t="str">
        <x:v>王云</x:v>
      </x:c>
      <x:c r="C119" s="16" t="n">
        <x:v>46140</x:v>
      </x:c>
      <x:c r="D119" s="17" t="n">
        <x:v>182</x:v>
      </x:c>
      <x:c r="E119" s="17" t="n">
        <x:v>326</x:v>
      </x:c>
      <x:c r="F119" s="18" t="n">
        <x:v>2097.82</x:v>
      </x:c>
    </x:row>
    <x:row r="120">
      <x:c r="A120" s="14" t="str">
        <x:v>店长</x:v>
      </x:c>
      <x:c r="B120" s="15" t="str">
        <x:v>王云</x:v>
      </x:c>
      <x:c r="C120" s="16" t="n">
        <x:v>46141</x:v>
      </x:c>
      <x:c r="D120" s="17" t="n">
        <x:v>207</x:v>
      </x:c>
      <x:c r="E120" s="17" t="n">
        <x:v>397</x:v>
      </x:c>
      <x:c r="F120" s="18" t="n">
        <x:v>2595.89</x:v>
      </x:c>
    </x:row>
    <x:row r="121">
      <x:c r="A121" s="14" t="str">
        <x:v>店长</x:v>
      </x:c>
      <x:c r="B121" s="15" t="str">
        <x:v>王云</x:v>
      </x:c>
      <x:c r="C121" s="16" t="n">
        <x:v>46142</x:v>
      </x:c>
      <x:c r="D121" s="17" t="n">
        <x:v>182</x:v>
      </x:c>
      <x:c r="E121" s="17" t="n">
        <x:v>322</x:v>
      </x:c>
      <x:c r="F121" s="18" t="n">
        <x:v>2173.81</x:v>
      </x:c>
    </x:row>
    <x:row r="122">
      <x:c r="A122" s="14" t="str">
        <x:v>店长</x:v>
      </x:c>
      <x:c r="B122" s="15" t="str">
        <x:v>王云</x:v>
      </x:c>
      <x:c r="C122" s="16" t="n">
        <x:v>46143</x:v>
      </x:c>
      <x:c r="D122" s="17" t="n">
        <x:v>155</x:v>
      </x:c>
      <x:c r="E122" s="17" t="n">
        <x:v>280</x:v>
      </x:c>
      <x:c r="F122" s="18" t="n">
        <x:v>2030.08</x:v>
      </x:c>
    </x:row>
    <x:row r="123">
      <x:c r="A123" s="14" t="str">
        <x:v>店长</x:v>
      </x:c>
      <x:c r="B123" s="15" t="str">
        <x:v>王云</x:v>
      </x:c>
      <x:c r="C123" s="16" t="n">
        <x:v>46144</x:v>
      </x:c>
      <x:c r="D123" s="17" t="n">
        <x:v>275</x:v>
      </x:c>
      <x:c r="E123" s="17" t="n">
        <x:v>467</x:v>
      </x:c>
      <x:c r="F123" s="18" t="n">
        <x:v>3076.68</x:v>
      </x:c>
    </x:row>
    <x:row r="124">
      <x:c r="A124" s="14" t="str">
        <x:v>店长</x:v>
      </x:c>
      <x:c r="B124" s="15" t="str">
        <x:v>王云</x:v>
      </x:c>
      <x:c r="C124" s="16" t="n">
        <x:v>46145</x:v>
      </x:c>
      <x:c r="D124" s="17" t="n">
        <x:v>181</x:v>
      </x:c>
      <x:c r="E124" s="17" t="n">
        <x:v>347</x:v>
      </x:c>
      <x:c r="F124" s="18" t="n">
        <x:v>2354.37</x:v>
      </x:c>
    </x:row>
    <x:row r="125">
      <x:c r="A125" s="14" t="str">
        <x:v>店长</x:v>
      </x:c>
      <x:c r="B125" s="15" t="str">
        <x:v>王云</x:v>
      </x:c>
      <x:c r="C125" s="16" t="n">
        <x:v>46146</x:v>
      </x:c>
      <x:c r="D125" s="17" t="n">
        <x:v>145</x:v>
      </x:c>
      <x:c r="E125" s="17" t="n">
        <x:v>272</x:v>
      </x:c>
      <x:c r="F125" s="18" t="n">
        <x:v>1806.38</x:v>
      </x:c>
    </x:row>
    <x:row r="126">
      <x:c r="A126" s="14" t="str">
        <x:v>店长</x:v>
      </x:c>
      <x:c r="B126" s="15" t="str">
        <x:v>王云</x:v>
      </x:c>
      <x:c r="C126" s="16" t="n">
        <x:v>46147</x:v>
      </x:c>
      <x:c r="D126" s="17" t="n">
        <x:v>161</x:v>
      </x:c>
      <x:c r="E126" s="17" t="n">
        <x:v>261</x:v>
      </x:c>
      <x:c r="F126" s="18" t="n">
        <x:v>1891.9</x:v>
      </x:c>
    </x:row>
    <x:row r="127">
      <x:c r="A127" s="14" t="str">
        <x:v>店长</x:v>
      </x:c>
      <x:c r="B127" s="15" t="str">
        <x:v>王云</x:v>
      </x:c>
      <x:c r="C127" s="16" t="n">
        <x:v>46148</x:v>
      </x:c>
      <x:c r="D127" s="17" t="n">
        <x:v>201</x:v>
      </x:c>
      <x:c r="E127" s="17" t="n">
        <x:v>260</x:v>
      </x:c>
      <x:c r="F127" s="18" t="n">
        <x:v>2588.46</x:v>
      </x:c>
    </x:row>
    <x:row r="128">
      <x:c r="A128" s="14" t="str">
        <x:v>店长</x:v>
      </x:c>
      <x:c r="B128" s="15" t="str">
        <x:v>王云</x:v>
      </x:c>
      <x:c r="C128" s="16" t="n">
        <x:v>46149</x:v>
      </x:c>
      <x:c r="D128" s="17" t="n">
        <x:v>139</x:v>
      </x:c>
      <x:c r="E128" s="17" t="n">
        <x:v>196</x:v>
      </x:c>
      <x:c r="F128" s="18" t="n">
        <x:v>1740.65</x:v>
      </x:c>
    </x:row>
    <x:row r="129">
      <x:c r="A129" s="14" t="str">
        <x:v>店长</x:v>
      </x:c>
      <x:c r="B129" s="15" t="str">
        <x:v>王云</x:v>
      </x:c>
      <x:c r="C129" s="16" t="n">
        <x:v>46150</x:v>
      </x:c>
      <x:c r="D129" s="17" t="n">
        <x:v>130</x:v>
      </x:c>
      <x:c r="E129" s="17" t="n">
        <x:v>188</x:v>
      </x:c>
      <x:c r="F129" s="18" t="n">
        <x:v>1525.22</x:v>
      </x:c>
    </x:row>
    <x:row r="130">
      <x:c r="A130" s="14" t="str">
        <x:v>店长</x:v>
      </x:c>
      <x:c r="B130" s="15" t="str">
        <x:v>王云</x:v>
      </x:c>
      <x:c r="C130" s="16" t="n">
        <x:v>46151</x:v>
      </x:c>
      <x:c r="D130" s="17" t="n">
        <x:v>199</x:v>
      </x:c>
      <x:c r="E130" s="17" t="n">
        <x:v>252</x:v>
      </x:c>
      <x:c r="F130" s="18" t="n">
        <x:v>2522.18</x:v>
      </x:c>
    </x:row>
    <x:row r="131">
      <x:c r="A131" s="14" t="str">
        <x:v>店长</x:v>
      </x:c>
      <x:c r="B131" s="15" t="str">
        <x:v>王云</x:v>
      </x:c>
      <x:c r="C131" s="16" t="n">
        <x:v>46152</x:v>
      </x:c>
      <x:c r="D131" s="17" t="n">
        <x:v>144</x:v>
      </x:c>
      <x:c r="E131" s="17" t="n">
        <x:v>185</x:v>
      </x:c>
      <x:c r="F131" s="18" t="n">
        <x:v>1830.15</x:v>
      </x:c>
    </x:row>
    <x:row r="132">
      <x:c r="A132" s="14" t="str">
        <x:v>店长</x:v>
      </x:c>
      <x:c r="B132" s="15" t="str">
        <x:v>王云</x:v>
      </x:c>
      <x:c r="C132" s="16" t="n">
        <x:v>46153</x:v>
      </x:c>
      <x:c r="D132" s="17" t="n">
        <x:v>157</x:v>
      </x:c>
      <x:c r="E132" s="17" t="n">
        <x:v>264</x:v>
      </x:c>
      <x:c r="F132" s="18" t="n">
        <x:v>2212.95</x:v>
      </x:c>
    </x:row>
    <x:row r="133">
      <x:c r="A133" s="14" t="str">
        <x:v>店长</x:v>
      </x:c>
      <x:c r="B133" s="15" t="str">
        <x:v>王云</x:v>
      </x:c>
      <x:c r="C133" s="16" t="n">
        <x:v>46154</x:v>
      </x:c>
      <x:c r="D133" s="17" t="n">
        <x:v>136</x:v>
      </x:c>
      <x:c r="E133" s="17" t="n">
        <x:v>194</x:v>
      </x:c>
      <x:c r="F133" s="18" t="n">
        <x:v>1898.64</x:v>
      </x:c>
    </x:row>
    <x:row r="134">
      <x:c r="A134" s="14" t="str">
        <x:v>店长</x:v>
      </x:c>
      <x:c r="B134" s="15" t="str">
        <x:v>王云</x:v>
      </x:c>
      <x:c r="C134" s="16" t="n">
        <x:v>46155</x:v>
      </x:c>
      <x:c r="D134" s="17" t="n">
        <x:v>118</x:v>
      </x:c>
      <x:c r="E134" s="17" t="n">
        <x:v>160</x:v>
      </x:c>
      <x:c r="F134" s="18" t="n">
        <x:v>1520.49</x:v>
      </x:c>
    </x:row>
    <x:row r="135">
      <x:c r="A135" s="14" t="str">
        <x:v>店长</x:v>
      </x:c>
      <x:c r="B135" s="15" t="str">
        <x:v>王云</x:v>
      </x:c>
      <x:c r="C135" s="16" t="n">
        <x:v>46156</x:v>
      </x:c>
      <x:c r="D135" s="17" t="n">
        <x:v>128</x:v>
      </x:c>
      <x:c r="E135" s="17" t="n">
        <x:v>194</x:v>
      </x:c>
      <x:c r="F135" s="18" t="n">
        <x:v>1744.35</x:v>
      </x:c>
    </x:row>
    <x:row r="136">
      <x:c r="A136" s="14" t="str">
        <x:v>店长</x:v>
      </x:c>
      <x:c r="B136" s="15" t="str">
        <x:v>王云</x:v>
      </x:c>
      <x:c r="C136" s="16" t="n">
        <x:v>46157</x:v>
      </x:c>
      <x:c r="D136" s="17" t="n">
        <x:v>108</x:v>
      </x:c>
      <x:c r="E136" s="17" t="n">
        <x:v>141</x:v>
      </x:c>
      <x:c r="F136" s="18" t="n">
        <x:v>1329.35</x:v>
      </x:c>
    </x:row>
    <x:row r="137">
      <x:c r="A137" s="14" t="str">
        <x:v>店长</x:v>
      </x:c>
      <x:c r="B137" s="15" t="str">
        <x:v>王云</x:v>
      </x:c>
      <x:c r="C137" s="16" t="n">
        <x:v>46158</x:v>
      </x:c>
      <x:c r="D137" s="17" t="n">
        <x:v>126</x:v>
      </x:c>
      <x:c r="E137" s="17" t="n">
        <x:v>158</x:v>
      </x:c>
      <x:c r="F137" s="18" t="n">
        <x:v>1534.39</x:v>
      </x:c>
    </x:row>
    <x:row r="138">
      <x:c r="A138" s="14" t="str">
        <x:v>店长</x:v>
      </x:c>
      <x:c r="B138" s="15" t="str">
        <x:v>王云</x:v>
      </x:c>
      <x:c r="C138" s="16" t="n">
        <x:v>46159</x:v>
      </x:c>
      <x:c r="D138" s="17" t="n">
        <x:v>109</x:v>
      </x:c>
      <x:c r="E138" s="17" t="n">
        <x:v>147</x:v>
      </x:c>
      <x:c r="F138" s="18" t="n">
        <x:v>1326.83</x:v>
      </x:c>
    </x:row>
    <x:row r="139">
      <x:c r="A139" s="14" t="str">
        <x:v>店长</x:v>
      </x:c>
      <x:c r="B139" s="15" t="str">
        <x:v>王云</x:v>
      </x:c>
      <x:c r="C139" s="16" t="n">
        <x:v>46160</x:v>
      </x:c>
      <x:c r="D139" s="17" t="n">
        <x:v>108</x:v>
      </x:c>
      <x:c r="E139" s="17" t="n">
        <x:v>143</x:v>
      </x:c>
      <x:c r="F139" s="18" t="n">
        <x:v>1392.78</x:v>
      </x:c>
    </x:row>
    <x:row r="140">
      <x:c r="A140" s="14" t="str">
        <x:v>店长</x:v>
      </x:c>
      <x:c r="B140" s="15" t="str">
        <x:v>王云</x:v>
      </x:c>
      <x:c r="C140" s="16" t="n">
        <x:v>46161</x:v>
      </x:c>
      <x:c r="D140" s="17" t="n">
        <x:v>110</x:v>
      </x:c>
      <x:c r="E140" s="17" t="n">
        <x:v>160</x:v>
      </x:c>
      <x:c r="F140" s="18" t="n">
        <x:v>1355.05</x:v>
      </x:c>
    </x:row>
    <x:row r="141">
      <x:c r="A141" s="14" t="str">
        <x:v>店长</x:v>
      </x:c>
      <x:c r="B141" s="15" t="str">
        <x:v>王云</x:v>
      </x:c>
      <x:c r="C141" s="16" t="n">
        <x:v>46162</x:v>
      </x:c>
      <x:c r="D141" s="17" t="n">
        <x:v>79</x:v>
      </x:c>
      <x:c r="E141" s="17" t="n">
        <x:v>146</x:v>
      </x:c>
      <x:c r="F141" s="18" t="n">
        <x:v>1394.69</x:v>
      </x:c>
    </x:row>
    <x:row r="142">
      <x:c r="A142" s="14" t="str">
        <x:v>店长</x:v>
      </x:c>
      <x:c r="B142" s="15" t="str">
        <x:v>王云</x:v>
      </x:c>
      <x:c r="C142" s="16" t="n">
        <x:v>46163</x:v>
      </x:c>
      <x:c r="D142" s="17" t="n">
        <x:v>82</x:v>
      </x:c>
      <x:c r="E142" s="17" t="n">
        <x:v>106</x:v>
      </x:c>
      <x:c r="F142" s="18" t="n">
        <x:v>1077.77</x:v>
      </x:c>
    </x:row>
    <x:row r="143">
      <x:c r="A143" s="14" t="str">
        <x:v>店长</x:v>
      </x:c>
      <x:c r="B143" s="15" t="str">
        <x:v>王云</x:v>
      </x:c>
      <x:c r="C143" s="16" t="n">
        <x:v>46164</x:v>
      </x:c>
      <x:c r="D143" s="17" t="n">
        <x:v>71</x:v>
      </x:c>
      <x:c r="E143" s="17" t="n">
        <x:v>93</x:v>
      </x:c>
      <x:c r="F143" s="18" t="n">
        <x:v>919.48</x:v>
      </x:c>
    </x:row>
    <x:row r="144">
      <x:c r="A144" s="14" t="str">
        <x:v>店长</x:v>
      </x:c>
      <x:c r="B144" s="15" t="str">
        <x:v>王云</x:v>
      </x:c>
      <x:c r="C144" s="16" t="n">
        <x:v>46165</x:v>
      </x:c>
      <x:c r="D144" s="17" t="n">
        <x:v>99</x:v>
      </x:c>
      <x:c r="E144" s="17" t="n">
        <x:v>128</x:v>
      </x:c>
      <x:c r="F144" s="18" t="n">
        <x:v>1350.18</x:v>
      </x:c>
    </x:row>
    <x:row r="145">
      <x:c r="A145" s="14" t="str">
        <x:v>店长</x:v>
      </x:c>
      <x:c r="B145" s="15" t="str">
        <x:v>王云</x:v>
      </x:c>
      <x:c r="C145" s="16" t="n">
        <x:v>46166</x:v>
      </x:c>
      <x:c r="D145" s="17" t="n">
        <x:v>92</x:v>
      </x:c>
      <x:c r="E145" s="17" t="n">
        <x:v>119</x:v>
      </x:c>
      <x:c r="F145" s="18" t="n">
        <x:v>1191.98</x:v>
      </x:c>
    </x:row>
    <x:row r="146">
      <x:c r="A146" s="14" t="str">
        <x:v>店长</x:v>
      </x:c>
      <x:c r="B146" s="15" t="str">
        <x:v>王云</x:v>
      </x:c>
      <x:c r="C146" s="16" t="n">
        <x:v>46167</x:v>
      </x:c>
      <x:c r="D146" s="17" t="n">
        <x:v>107</x:v>
      </x:c>
      <x:c r="E146" s="17" t="n">
        <x:v>145</x:v>
      </x:c>
      <x:c r="F146" s="18" t="n">
        <x:v>1456.37</x:v>
      </x:c>
    </x:row>
    <x:row r="147">
      <x:c r="A147" s="14" t="str">
        <x:v>店长</x:v>
      </x:c>
      <x:c r="B147" s="15" t="str">
        <x:v>王云</x:v>
      </x:c>
      <x:c r="C147" s="16" t="n">
        <x:v>46168</x:v>
      </x:c>
      <x:c r="D147" s="17" t="n">
        <x:v>105</x:v>
      </x:c>
      <x:c r="E147" s="17" t="n">
        <x:v>144</x:v>
      </x:c>
      <x:c r="F147" s="18" t="n">
        <x:v>1425.33</x:v>
      </x:c>
    </x:row>
    <x:row r="148">
      <x:c r="A148" s="14" t="str">
        <x:v>店长</x:v>
      </x:c>
      <x:c r="B148" s="15" t="str">
        <x:v>王云</x:v>
      </x:c>
      <x:c r="C148" s="16" t="n">
        <x:v>46169</x:v>
      </x:c>
      <x:c r="D148" s="17" t="n">
        <x:v>121</x:v>
      </x:c>
      <x:c r="E148" s="17" t="n">
        <x:v>158</x:v>
      </x:c>
      <x:c r="F148" s="18" t="n">
        <x:v>1436.03</x:v>
      </x:c>
    </x:row>
    <x:row r="149">
      <x:c r="A149" s="14" t="str">
        <x:v>店长</x:v>
      </x:c>
      <x:c r="B149" s="15" t="str">
        <x:v>王云</x:v>
      </x:c>
      <x:c r="C149" s="16" t="n">
        <x:v>46170</x:v>
      </x:c>
      <x:c r="D149" s="17" t="n">
        <x:v>126</x:v>
      </x:c>
      <x:c r="E149" s="17" t="n">
        <x:v>168</x:v>
      </x:c>
      <x:c r="F149" s="18" t="n">
        <x:v>1575.29</x:v>
      </x:c>
    </x:row>
    <x:row r="150">
      <x:c r="A150" s="14" t="str">
        <x:v>店长</x:v>
      </x:c>
      <x:c r="B150" s="15" t="str">
        <x:v>王云</x:v>
      </x:c>
      <x:c r="C150" s="16" t="n">
        <x:v>46171</x:v>
      </x:c>
      <x:c r="D150" s="17" t="n">
        <x:v>150</x:v>
      </x:c>
      <x:c r="E150" s="17" t="n">
        <x:v>171</x:v>
      </x:c>
      <x:c r="F150" s="18" t="n">
        <x:v>1650.47</x:v>
      </x:c>
    </x:row>
    <x:row r="151">
      <x:c r="A151" s="14" t="str">
        <x:v>店长</x:v>
      </x:c>
      <x:c r="B151" s="15" t="str">
        <x:v>王云</x:v>
      </x:c>
      <x:c r="C151" s="16" t="n">
        <x:v>46172</x:v>
      </x:c>
      <x:c r="D151" s="17" t="n">
        <x:v>141</x:v>
      </x:c>
      <x:c r="E151" s="17" t="n">
        <x:v>209</x:v>
      </x:c>
      <x:c r="F151" s="18" t="n">
        <x:v>1675.92</x:v>
      </x:c>
    </x:row>
    <x:row r="152">
      <x:c r="A152" s="14" t="str">
        <x:v>店长</x:v>
      </x:c>
      <x:c r="B152" s="15" t="str">
        <x:v>王云</x:v>
      </x:c>
      <x:c r="C152" s="16" t="n">
        <x:v>46173</x:v>
      </x:c>
      <x:c r="D152" s="17" t="n">
        <x:v>134</x:v>
      </x:c>
      <x:c r="E152" s="17" t="n">
        <x:v>237</x:v>
      </x:c>
      <x:c r="F152" s="18" t="n">
        <x:v>1803.9</x:v>
      </x:c>
    </x:row>
    <x:row r="153">
      <x:c r="A153" s="14" t="str">
        <x:v>店长</x:v>
      </x:c>
      <x:c r="B153" s="15" t="str">
        <x:v>王云</x:v>
      </x:c>
      <x:c r="C153" s="16" t="n">
        <x:v>46174</x:v>
      </x:c>
      <x:c r="D153" s="17" t="n">
        <x:v>162</x:v>
      </x:c>
      <x:c r="E153" s="17" t="n">
        <x:v>287</x:v>
      </x:c>
      <x:c r="F153" s="18" t="n">
        <x:v>2060.45</x:v>
      </x:c>
    </x:row>
    <x:row r="154">
      <x:c r="A154" s="14" t="str">
        <x:v>店长</x:v>
      </x:c>
      <x:c r="B154" s="15" t="str">
        <x:v>王云</x:v>
      </x:c>
      <x:c r="C154" s="16" t="n">
        <x:v>46175</x:v>
      </x:c>
      <x:c r="D154" s="17" t="n">
        <x:v>173</x:v>
      </x:c>
      <x:c r="E154" s="17" t="n">
        <x:v>326</x:v>
      </x:c>
      <x:c r="F154" s="18" t="n">
        <x:v>2231.97</x:v>
      </x:c>
    </x:row>
    <x:row r="155">
      <x:c r="A155" s="14" t="str">
        <x:v>店长</x:v>
      </x:c>
      <x:c r="B155" s="15" t="str">
        <x:v>王云</x:v>
      </x:c>
      <x:c r="C155" s="16" t="n">
        <x:v>46176</x:v>
      </x:c>
      <x:c r="D155" s="17" t="n">
        <x:v>188</x:v>
      </x:c>
      <x:c r="E155" s="17" t="n">
        <x:v>334</x:v>
      </x:c>
      <x:c r="F155" s="18" t="n">
        <x:v>2156.66</x:v>
      </x:c>
    </x:row>
    <x:row r="156">
      <x:c r="A156" s="14" t="str">
        <x:v>店长</x:v>
      </x:c>
      <x:c r="B156" s="15" t="str">
        <x:v>王云</x:v>
      </x:c>
      <x:c r="C156" s="16" t="n">
        <x:v>46177</x:v>
      </x:c>
      <x:c r="D156" s="17" t="n">
        <x:v>187</x:v>
      </x:c>
      <x:c r="E156" s="17" t="n">
        <x:v>334</x:v>
      </x:c>
      <x:c r="F156" s="18" t="n">
        <x:v>2326.87</x:v>
      </x:c>
    </x:row>
    <x:row r="157">
      <x:c r="A157" s="14" t="str">
        <x:v>店长</x:v>
      </x:c>
      <x:c r="B157" s="15" t="str">
        <x:v>王云</x:v>
      </x:c>
      <x:c r="C157" s="16" t="n">
        <x:v>46178</x:v>
      </x:c>
      <x:c r="D157" s="17" t="n">
        <x:v>175</x:v>
      </x:c>
      <x:c r="E157" s="17" t="n">
        <x:v>304</x:v>
      </x:c>
      <x:c r="F157" s="18" t="n">
        <x:v>2107.17</x:v>
      </x:c>
    </x:row>
    <x:row r="158">
      <x:c r="A158" s="14" t="str">
        <x:v>店长</x:v>
      </x:c>
      <x:c r="B158" s="15" t="str">
        <x:v>王云</x:v>
      </x:c>
      <x:c r="C158" s="16" t="n">
        <x:v>46179</x:v>
      </x:c>
      <x:c r="D158" s="17" t="n">
        <x:v>195</x:v>
      </x:c>
      <x:c r="E158" s="17" t="n">
        <x:v>380</x:v>
      </x:c>
      <x:c r="F158" s="18" t="n">
        <x:v>2511.72</x:v>
      </x:c>
    </x:row>
    <x:row r="159">
      <x:c r="A159" s="14" t="str">
        <x:v>店长</x:v>
      </x:c>
      <x:c r="B159" s="15" t="str">
        <x:v>王云</x:v>
      </x:c>
      <x:c r="C159" s="16" t="n">
        <x:v>46180</x:v>
      </x:c>
      <x:c r="D159" s="17" t="n">
        <x:v>192</x:v>
      </x:c>
      <x:c r="E159" s="17" t="n">
        <x:v>326</x:v>
      </x:c>
      <x:c r="F159" s="18" t="n">
        <x:v>2466.3</x:v>
      </x:c>
    </x:row>
    <x:row r="160">
      <x:c r="A160" s="14" t="str">
        <x:v>店长</x:v>
      </x:c>
      <x:c r="B160" s="15" t="str">
        <x:v>王云</x:v>
      </x:c>
      <x:c r="C160" s="16" t="n">
        <x:v>46181</x:v>
      </x:c>
      <x:c r="D160" s="17" t="n">
        <x:v>147</x:v>
      </x:c>
      <x:c r="E160" s="17" t="n">
        <x:v>255</x:v>
      </x:c>
      <x:c r="F160" s="18" t="n">
        <x:v>1982.28</x:v>
      </x:c>
    </x:row>
    <x:row r="161">
      <x:c r="A161" s="14" t="str">
        <x:v>店长</x:v>
      </x:c>
      <x:c r="B161" s="15" t="str">
        <x:v>王云</x:v>
      </x:c>
      <x:c r="C161" s="16" t="n">
        <x:v>46182</x:v>
      </x:c>
      <x:c r="D161" s="17" t="n">
        <x:v>127</x:v>
      </x:c>
      <x:c r="E161" s="17" t="n">
        <x:v>228</x:v>
      </x:c>
      <x:c r="F161" s="18" t="n">
        <x:v>1769.31</x:v>
      </x:c>
    </x:row>
    <x:row r="162">
      <x:c r="A162" s="14" t="str">
        <x:v>店长</x:v>
      </x:c>
      <x:c r="B162" s="15" t="str">
        <x:v>王云</x:v>
      </x:c>
      <x:c r="C162" s="16" t="n">
        <x:v>46183</x:v>
      </x:c>
      <x:c r="D162" s="17" t="n">
        <x:v>113</x:v>
      </x:c>
      <x:c r="E162" s="17" t="n">
        <x:v>201</x:v>
      </x:c>
      <x:c r="F162" s="18" t="n">
        <x:v>1530.21</x:v>
      </x:c>
    </x:row>
    <x:row r="163">
      <x:c r="A163" s="14" t="str">
        <x:v>店长</x:v>
      </x:c>
      <x:c r="B163" s="15" t="str">
        <x:v>王云</x:v>
      </x:c>
      <x:c r="C163" s="16" t="n">
        <x:v>46184</x:v>
      </x:c>
      <x:c r="D163" s="17" t="n">
        <x:v>148</x:v>
      </x:c>
      <x:c r="E163" s="17" t="n">
        <x:v>261</x:v>
      </x:c>
      <x:c r="F163" s="18" t="n">
        <x:v>1950.01</x:v>
      </x:c>
    </x:row>
    <x:row r="164">
      <x:c r="A164" s="14" t="str">
        <x:v>店长</x:v>
      </x:c>
      <x:c r="B164" s="15" t="str">
        <x:v>王云</x:v>
      </x:c>
      <x:c r="C164" s="16" t="n">
        <x:v>46185</x:v>
      </x:c>
      <x:c r="D164" s="17" t="n">
        <x:v>150</x:v>
      </x:c>
      <x:c r="E164" s="17" t="n">
        <x:v>266</x:v>
      </x:c>
      <x:c r="F164" s="18" t="n">
        <x:v>2085.1</x:v>
      </x:c>
    </x:row>
    <x:row r="165">
      <x:c r="A165" s="14" t="str">
        <x:v>店长</x:v>
      </x:c>
      <x:c r="B165" s="15" t="str">
        <x:v>王云</x:v>
      </x:c>
      <x:c r="C165" s="16" t="n">
        <x:v>46186</x:v>
      </x:c>
      <x:c r="D165" s="17" t="n">
        <x:v>148</x:v>
      </x:c>
      <x:c r="E165" s="17" t="n">
        <x:v>250</x:v>
      </x:c>
      <x:c r="F165" s="18" t="n">
        <x:v>2011.9</x:v>
      </x:c>
    </x:row>
    <x:row r="166">
      <x:c r="A166" s="14" t="str">
        <x:v>店长</x:v>
      </x:c>
      <x:c r="B166" s="15" t="str">
        <x:v>王云</x:v>
      </x:c>
      <x:c r="C166" s="16" t="n">
        <x:v>46187</x:v>
      </x:c>
      <x:c r="D166" s="17" t="n">
        <x:v>131</x:v>
      </x:c>
      <x:c r="E166" s="17" t="n">
        <x:v>240</x:v>
      </x:c>
      <x:c r="F166" s="18" t="n">
        <x:v>1782.32</x:v>
      </x:c>
    </x:row>
    <x:row r="167">
      <x:c r="A167" s="14" t="str">
        <x:v>店长</x:v>
      </x:c>
      <x:c r="B167" s="15" t="str">
        <x:v>王云</x:v>
      </x:c>
      <x:c r="C167" s="16" t="n">
        <x:v>46188</x:v>
      </x:c>
      <x:c r="D167" s="17" t="n">
        <x:v>113</x:v>
      </x:c>
      <x:c r="E167" s="17" t="n">
        <x:v>226</x:v>
      </x:c>
      <x:c r="F167" s="18" t="n">
        <x:v>1509.26</x:v>
      </x:c>
    </x:row>
    <x:row r="168">
      <x:c r="A168" s="14" t="str">
        <x:v>店长</x:v>
      </x:c>
      <x:c r="B168" s="15" t="str">
        <x:v>王云</x:v>
      </x:c>
      <x:c r="C168" s="16" t="n">
        <x:v>46189</x:v>
      </x:c>
      <x:c r="D168" s="17" t="n">
        <x:v>118</x:v>
      </x:c>
      <x:c r="E168" s="17" t="n">
        <x:v>201</x:v>
      </x:c>
      <x:c r="F168" s="18" t="n">
        <x:v>1583.96</x:v>
      </x:c>
    </x:row>
    <x:row r="169">
      <x:c r="A169" s="14" t="str">
        <x:v>店长</x:v>
      </x:c>
      <x:c r="B169" s="15" t="str">
        <x:v>王云</x:v>
      </x:c>
      <x:c r="C169" s="16" t="n">
        <x:v>46190</x:v>
      </x:c>
      <x:c r="D169" s="17" t="n">
        <x:v>127</x:v>
      </x:c>
      <x:c r="E169" s="17" t="n">
        <x:v>225</x:v>
      </x:c>
      <x:c r="F169" s="18" t="n">
        <x:v>1641.87</x:v>
      </x:c>
    </x:row>
    <x:row r="170">
      <x:c r="A170" s="14" t="str">
        <x:v>店长</x:v>
      </x:c>
      <x:c r="B170" s="15" t="str">
        <x:v>王云</x:v>
      </x:c>
      <x:c r="C170" s="16" t="n">
        <x:v>46191</x:v>
      </x:c>
      <x:c r="D170" s="17" t="n">
        <x:v>97</x:v>
      </x:c>
      <x:c r="E170" s="17" t="n">
        <x:v>195</x:v>
      </x:c>
      <x:c r="F170" s="18" t="n">
        <x:v>1610.57</x:v>
      </x:c>
    </x:row>
    <x:row r="171">
      <x:c r="A171" s="14" t="str">
        <x:v>店长</x:v>
      </x:c>
      <x:c r="B171" s="15" t="str">
        <x:v>王云</x:v>
      </x:c>
      <x:c r="C171" s="16" t="n">
        <x:v>46192</x:v>
      </x:c>
      <x:c r="D171" s="17" t="n">
        <x:v>99</x:v>
      </x:c>
      <x:c r="E171" s="17" t="n">
        <x:v>182</x:v>
      </x:c>
      <x:c r="F171" s="18" t="n">
        <x:v>1270.83</x:v>
      </x:c>
    </x:row>
    <x:row r="172">
      <x:c r="A172" s="14" t="str">
        <x:v>店长</x:v>
      </x:c>
      <x:c r="B172" s="15" t="str">
        <x:v>王云</x:v>
      </x:c>
      <x:c r="C172" s="16" t="n">
        <x:v>46193</x:v>
      </x:c>
      <x:c r="D172" s="17" t="n">
        <x:v>106</x:v>
      </x:c>
      <x:c r="E172" s="17" t="n">
        <x:v>189</x:v>
      </x:c>
      <x:c r="F172" s="18" t="n">
        <x:v>1369.88</x:v>
      </x:c>
    </x:row>
    <x:row r="173">
      <x:c r="A173" s="14" t="str">
        <x:v>店长</x:v>
      </x:c>
      <x:c r="B173" s="15" t="str">
        <x:v>王云</x:v>
      </x:c>
      <x:c r="C173" s="16" t="n">
        <x:v>46194</x:v>
      </x:c>
      <x:c r="D173" s="17" t="n">
        <x:v>124</x:v>
      </x:c>
      <x:c r="E173" s="17" t="n">
        <x:v>229</x:v>
      </x:c>
      <x:c r="F173" s="18" t="n">
        <x:v>1644.76</x:v>
      </x:c>
    </x:row>
    <x:row r="174">
      <x:c r="A174" s="14" t="str">
        <x:v>店长</x:v>
      </x:c>
      <x:c r="B174" s="15" t="str">
        <x:v>王云</x:v>
      </x:c>
      <x:c r="C174" s="16" t="n">
        <x:v>46195</x:v>
      </x:c>
      <x:c r="D174" s="17" t="n">
        <x:v>94</x:v>
      </x:c>
      <x:c r="E174" s="17" t="n">
        <x:v>182</x:v>
      </x:c>
      <x:c r="F174" s="18" t="n">
        <x:v>1344.68</x:v>
      </x:c>
    </x:row>
    <x:row r="175">
      <x:c r="A175" s="14" t="str">
        <x:v>店长</x:v>
      </x:c>
      <x:c r="B175" s="15" t="str">
        <x:v>王云</x:v>
      </x:c>
      <x:c r="C175" s="16" t="n">
        <x:v>46196</x:v>
      </x:c>
      <x:c r="D175" s="17" t="n">
        <x:v>118</x:v>
      </x:c>
      <x:c r="E175" s="17" t="n">
        <x:v>231</x:v>
      </x:c>
      <x:c r="F175" s="18" t="n">
        <x:v>1728.02</x:v>
      </x:c>
    </x:row>
    <x:row r="176">
      <x:c r="A176" s="14" t="str">
        <x:v>店长</x:v>
      </x:c>
      <x:c r="B176" s="15" t="str">
        <x:v>王云</x:v>
      </x:c>
      <x:c r="C176" s="16" t="n">
        <x:v>46197</x:v>
      </x:c>
      <x:c r="D176" s="17" t="n">
        <x:v>108</x:v>
      </x:c>
      <x:c r="E176" s="17" t="n">
        <x:v>207</x:v>
      </x:c>
      <x:c r="F176" s="18" t="n">
        <x:v>1627.18</x:v>
      </x:c>
    </x:row>
    <x:row r="177">
      <x:c r="A177" s="14" t="str">
        <x:v>店长</x:v>
      </x:c>
      <x:c r="B177" s="15" t="str">
        <x:v>王云</x:v>
      </x:c>
      <x:c r="C177" s="16" t="n">
        <x:v>46198</x:v>
      </x:c>
      <x:c r="D177" s="17" t="n">
        <x:v>89</x:v>
      </x:c>
      <x:c r="E177" s="17" t="n">
        <x:v>155</x:v>
      </x:c>
      <x:c r="F177" s="18" t="n">
        <x:v>1213.68</x:v>
      </x:c>
    </x:row>
    <x:row r="178">
      <x:c r="A178" s="14" t="str">
        <x:v>店长</x:v>
      </x:c>
      <x:c r="B178" s="15" t="str">
        <x:v>王云</x:v>
      </x:c>
      <x:c r="C178" s="16" t="n">
        <x:v>46199</x:v>
      </x:c>
      <x:c r="D178" s="17" t="n">
        <x:v>128</x:v>
      </x:c>
      <x:c r="E178" s="17" t="n">
        <x:v>229</x:v>
      </x:c>
      <x:c r="F178" s="18" t="n">
        <x:v>1765.94</x:v>
      </x:c>
    </x:row>
    <x:row r="179">
      <x:c r="A179" s="14" t="str">
        <x:v>店长</x:v>
      </x:c>
      <x:c r="B179" s="15" t="str">
        <x:v>王云</x:v>
      </x:c>
      <x:c r="C179" s="16" t="n">
        <x:v>46200</x:v>
      </x:c>
      <x:c r="D179" s="17" t="n">
        <x:v>91</x:v>
      </x:c>
      <x:c r="E179" s="17" t="n">
        <x:v>164</x:v>
      </x:c>
      <x:c r="F179" s="18" t="n">
        <x:v>1293.81</x:v>
      </x:c>
    </x:row>
    <x:row r="180">
      <x:c r="A180" s="14" t="str">
        <x:v>店长</x:v>
      </x:c>
      <x:c r="B180" s="15" t="str">
        <x:v>王云</x:v>
      </x:c>
      <x:c r="C180" s="16" t="n">
        <x:v>46201</x:v>
      </x:c>
      <x:c r="D180" s="17" t="n">
        <x:v>104</x:v>
      </x:c>
      <x:c r="E180" s="17" t="n">
        <x:v>196</x:v>
      </x:c>
      <x:c r="F180" s="18" t="n">
        <x:v>1607.39</x:v>
      </x:c>
    </x:row>
    <x:row r="181">
      <x:c r="A181" s="14" t="str">
        <x:v>店长</x:v>
      </x:c>
      <x:c r="B181" s="15" t="str">
        <x:v>王云</x:v>
      </x:c>
      <x:c r="C181" s="16" t="n">
        <x:v>46202</x:v>
      </x:c>
      <x:c r="D181" s="17" t="n">
        <x:v>102</x:v>
      </x:c>
      <x:c r="E181" s="17" t="n">
        <x:v>190</x:v>
      </x:c>
      <x:c r="F181" s="18" t="n">
        <x:v>1470.68</x:v>
      </x:c>
    </x:row>
    <x:row r="182">
      <x:c r="A182" s="14" t="str">
        <x:v>店长</x:v>
      </x:c>
      <x:c r="B182" s="15" t="str">
        <x:v>王云</x:v>
      </x:c>
      <x:c r="C182" s="16" t="n">
        <x:v>46203</x:v>
      </x:c>
      <x:c r="D182" s="17" t="n">
        <x:v>116</x:v>
      </x:c>
      <x:c r="E182" s="17" t="n">
        <x:v>237</x:v>
      </x:c>
      <x:c r="F182" s="18" t="n">
        <x:v>1734.07</x:v>
      </x:c>
    </x:row>
    <x:row r="183">
      <x:c r="A183" s="14" t="str">
        <x:v>店长</x:v>
      </x:c>
      <x:c r="B183" s="15" t="str">
        <x:v>王云</x:v>
      </x:c>
      <x:c r="C183" s="16" t="n">
        <x:v>46204</x:v>
      </x:c>
      <x:c r="D183" s="17" t="n">
        <x:v>121</x:v>
      </x:c>
      <x:c r="E183" s="17" t="n">
        <x:v>240</x:v>
      </x:c>
      <x:c r="F183" s="18" t="n">
        <x:v>1615.64</x:v>
      </x:c>
    </x:row>
    <x:row r="184">
      <x:c r="A184" s="14" t="str">
        <x:v>店长</x:v>
      </x:c>
      <x:c r="B184" s="15" t="str">
        <x:v>王云</x:v>
      </x:c>
      <x:c r="C184" s="16" t="n">
        <x:v>46205</x:v>
      </x:c>
      <x:c r="D184" s="17" t="n">
        <x:v>118</x:v>
      </x:c>
      <x:c r="E184" s="17" t="n">
        <x:v>237</x:v>
      </x:c>
      <x:c r="F184" s="18" t="n">
        <x:v>1628.23</x:v>
      </x:c>
    </x:row>
    <x:row r="185">
      <x:c r="A185" s="14" t="str">
        <x:v>店长</x:v>
      </x:c>
      <x:c r="B185" s="15" t="str">
        <x:v>王云</x:v>
      </x:c>
      <x:c r="C185" s="16" t="n">
        <x:v>46206</x:v>
      </x:c>
      <x:c r="D185" s="17" t="n">
        <x:v>126</x:v>
      </x:c>
      <x:c r="E185" s="17" t="n">
        <x:v>243</x:v>
      </x:c>
      <x:c r="F185" s="18" t="n">
        <x:v>1946.72</x:v>
      </x:c>
    </x:row>
    <x:row r="186">
      <x:c r="A186" s="14" t="str">
        <x:v>店长</x:v>
      </x:c>
      <x:c r="B186" s="15" t="str">
        <x:v>王云</x:v>
      </x:c>
      <x:c r="C186" s="16" t="n">
        <x:v>46207</x:v>
      </x:c>
      <x:c r="D186" s="17" t="n">
        <x:v>100</x:v>
      </x:c>
      <x:c r="E186" s="17" t="n">
        <x:v>182</x:v>
      </x:c>
      <x:c r="F186" s="18" t="n">
        <x:v>1392</x:v>
      </x:c>
    </x:row>
    <x:row r="187">
      <x:c r="A187" s="14" t="str">
        <x:v>店长</x:v>
      </x:c>
      <x:c r="B187" s="15" t="str">
        <x:v>王云</x:v>
      </x:c>
      <x:c r="C187" s="16" t="n">
        <x:v>46208</x:v>
      </x:c>
      <x:c r="D187" s="17" t="n">
        <x:v>103</x:v>
      </x:c>
      <x:c r="E187" s="17" t="n">
        <x:v>203</x:v>
      </x:c>
      <x:c r="F187" s="18" t="n">
        <x:v>1486.03</x:v>
      </x:c>
    </x:row>
    <x:row r="188">
      <x:c r="A188" s="14" t="str">
        <x:v>店长</x:v>
      </x:c>
      <x:c r="B188" s="15" t="str">
        <x:v>王云</x:v>
      </x:c>
      <x:c r="C188" s="16" t="n">
        <x:v>46209</x:v>
      </x:c>
      <x:c r="D188" s="17" t="n">
        <x:v>122</x:v>
      </x:c>
      <x:c r="E188" s="17" t="n">
        <x:v>227</x:v>
      </x:c>
      <x:c r="F188" s="18" t="n">
        <x:v>1719.55</x:v>
      </x:c>
    </x:row>
    <x:row r="189">
      <x:c r="A189" s="14" t="str">
        <x:v>店长</x:v>
      </x:c>
      <x:c r="B189" s="15" t="str">
        <x:v>王云</x:v>
      </x:c>
      <x:c r="C189" s="16" t="n">
        <x:v>46210</x:v>
      </x:c>
      <x:c r="D189" s="17" t="n">
        <x:v>103</x:v>
      </x:c>
      <x:c r="E189" s="17" t="n">
        <x:v>188</x:v>
      </x:c>
      <x:c r="F189" s="18" t="n">
        <x:v>1369.85</x:v>
      </x:c>
    </x:row>
    <x:row r="190">
      <x:c r="A190" s="14" t="str">
        <x:v>店长</x:v>
      </x:c>
      <x:c r="B190" s="15" t="str">
        <x:v>王云</x:v>
      </x:c>
      <x:c r="C190" s="16" t="n">
        <x:v>46211</x:v>
      </x:c>
      <x:c r="D190" s="17" t="n">
        <x:v>94</x:v>
      </x:c>
      <x:c r="E190" s="17" t="n">
        <x:v>191</x:v>
      </x:c>
      <x:c r="F190" s="18" t="n">
        <x:v>1492.1</x:v>
      </x:c>
    </x:row>
    <x:row r="191">
      <x:c r="A191" s="14" t="str">
        <x:v>店长</x:v>
      </x:c>
      <x:c r="B191" s="15" t="str">
        <x:v>王云</x:v>
      </x:c>
      <x:c r="C191" s="16" t="n">
        <x:v>46212</x:v>
      </x:c>
      <x:c r="D191" s="17" t="n">
        <x:v>96</x:v>
      </x:c>
      <x:c r="E191" s="17" t="n">
        <x:v>194</x:v>
      </x:c>
      <x:c r="F191" s="18" t="n">
        <x:v>1360.58</x:v>
      </x:c>
    </x:row>
    <x:row r="192">
      <x:c r="A192" s="14" t="str">
        <x:v>店长</x:v>
      </x:c>
      <x:c r="B192" s="15" t="str">
        <x:v>王云</x:v>
      </x:c>
      <x:c r="C192" s="16" t="n">
        <x:v>46213</x:v>
      </x:c>
      <x:c r="D192" s="17" t="n">
        <x:v>85</x:v>
      </x:c>
      <x:c r="E192" s="17" t="n">
        <x:v>159</x:v>
      </x:c>
      <x:c r="F192" s="18" t="n">
        <x:v>1168.98</x:v>
      </x:c>
    </x:row>
    <x:row r="193">
      <x:c r="A193" s="14" t="str">
        <x:v>店长</x:v>
      </x:c>
      <x:c r="B193" s="15" t="str">
        <x:v>王云</x:v>
      </x:c>
      <x:c r="C193" s="16" t="n">
        <x:v>46214</x:v>
      </x:c>
      <x:c r="D193" s="17" t="n">
        <x:v>93</x:v>
      </x:c>
      <x:c r="E193" s="17" t="n">
        <x:v>186</x:v>
      </x:c>
      <x:c r="F193" s="18" t="n">
        <x:v>1299.28</x:v>
      </x:c>
    </x:row>
    <x:row r="194">
      <x:c r="A194" s="14" t="str">
        <x:v>店长</x:v>
      </x:c>
      <x:c r="B194" s="15" t="str">
        <x:v>王云</x:v>
      </x:c>
      <x:c r="C194" s="16" t="n">
        <x:v>46215</x:v>
      </x:c>
      <x:c r="D194" s="17" t="n">
        <x:v>95</x:v>
      </x:c>
      <x:c r="E194" s="17" t="n">
        <x:v>174</x:v>
      </x:c>
      <x:c r="F194" s="18" t="n">
        <x:v>1181.73</x:v>
      </x:c>
    </x:row>
    <x:row r="195">
      <x:c r="A195" s="14" t="str">
        <x:v>店长</x:v>
      </x:c>
      <x:c r="B195" s="15" t="str">
        <x:v>王云</x:v>
      </x:c>
      <x:c r="C195" s="16" t="n">
        <x:v>46216</x:v>
      </x:c>
      <x:c r="D195" s="17" t="n">
        <x:v>76</x:v>
      </x:c>
      <x:c r="E195" s="17" t="n">
        <x:v>144</x:v>
      </x:c>
      <x:c r="F195" s="18" t="n">
        <x:v>975.43</x:v>
      </x:c>
    </x:row>
    <x:row r="196">
      <x:c r="A196" s="14" t="str">
        <x:v>店长</x:v>
      </x:c>
      <x:c r="B196" s="15" t="str">
        <x:v>王云</x:v>
      </x:c>
      <x:c r="C196" s="16" t="n">
        <x:v>46217</x:v>
      </x:c>
      <x:c r="D196" s="17" t="n">
        <x:v>77</x:v>
      </x:c>
      <x:c r="E196" s="17" t="n">
        <x:v>155</x:v>
      </x:c>
      <x:c r="F196" s="18" t="n">
        <x:v>996.04</x:v>
      </x:c>
    </x:row>
    <x:row r="197">
      <x:c r="A197" s="14" t="str">
        <x:v>店长</x:v>
      </x:c>
      <x:c r="B197" s="15" t="str">
        <x:v>王云</x:v>
      </x:c>
      <x:c r="C197" s="16" t="n">
        <x:v>46218</x:v>
      </x:c>
      <x:c r="D197" s="17" t="n">
        <x:v>84</x:v>
      </x:c>
      <x:c r="E197" s="17" t="n">
        <x:v>158</x:v>
      </x:c>
      <x:c r="F197" s="18" t="n">
        <x:v>1116.45</x:v>
      </x:c>
    </x:row>
    <x:row r="198">
      <x:c r="A198" s="14" t="str">
        <x:v>店长</x:v>
      </x:c>
      <x:c r="B198" s="15" t="str">
        <x:v>王云</x:v>
      </x:c>
      <x:c r="C198" s="16" t="n">
        <x:v>46219</x:v>
      </x:c>
      <x:c r="D198" s="17" t="n">
        <x:v>73</x:v>
      </x:c>
      <x:c r="E198" s="17" t="n">
        <x:v>134</x:v>
      </x:c>
      <x:c r="F198" s="18" t="n">
        <x:v>1045.22</x:v>
      </x:c>
    </x:row>
    <x:row r="199">
      <x:c r="A199" s="14" t="str">
        <x:v>店长</x:v>
      </x:c>
      <x:c r="B199" s="15" t="str">
        <x:v>王云</x:v>
      </x:c>
      <x:c r="C199" s="16" t="n">
        <x:v>46220</x:v>
      </x:c>
      <x:c r="D199" s="17" t="n">
        <x:v>81</x:v>
      </x:c>
      <x:c r="E199" s="17" t="n">
        <x:v>149</x:v>
      </x:c>
      <x:c r="F199" s="18" t="n">
        <x:v>1052.97</x:v>
      </x:c>
    </x:row>
    <x:row r="200">
      <x:c r="A200" s="14" t="str">
        <x:v>店长</x:v>
      </x:c>
      <x:c r="B200" s="15" t="str">
        <x:v>王云</x:v>
      </x:c>
      <x:c r="C200" s="16" t="n">
        <x:v>46221</x:v>
      </x:c>
      <x:c r="D200" s="17" t="n">
        <x:v>92</x:v>
      </x:c>
      <x:c r="E200" s="17" t="n">
        <x:v>163</x:v>
      </x:c>
      <x:c r="F200" s="18" t="n">
        <x:v>1190.03</x:v>
      </x:c>
    </x:row>
    <x:row r="201">
      <x:c r="A201" s="14" t="str">
        <x:v>店长</x:v>
      </x:c>
      <x:c r="B201" s="15" t="str">
        <x:v>王云</x:v>
      </x:c>
      <x:c r="C201" s="16" t="n">
        <x:v>46222</x:v>
      </x:c>
      <x:c r="D201" s="17" t="n">
        <x:v>90</x:v>
      </x:c>
      <x:c r="E201" s="17" t="n">
        <x:v>166</x:v>
      </x:c>
      <x:c r="F201" s="18" t="n">
        <x:v>1176.01</x:v>
      </x:c>
    </x:row>
    <x:row r="202">
      <x:c r="A202" s="14" t="str">
        <x:v>店长</x:v>
      </x:c>
      <x:c r="B202" s="15" t="str">
        <x:v>王云</x:v>
      </x:c>
      <x:c r="C202" s="16" t="n">
        <x:v>46223</x:v>
      </x:c>
      <x:c r="D202" s="17" t="n">
        <x:v>87</x:v>
      </x:c>
      <x:c r="E202" s="17" t="n">
        <x:v>169</x:v>
      </x:c>
      <x:c r="F202" s="18" t="n">
        <x:v>1130.18</x:v>
      </x:c>
    </x:row>
    <x:row r="203">
      <x:c r="A203" s="14" t="str">
        <x:v>店长</x:v>
      </x:c>
      <x:c r="B203" s="15" t="str">
        <x:v>王云</x:v>
      </x:c>
      <x:c r="C203" s="16" t="n">
        <x:v>46224</x:v>
      </x:c>
      <x:c r="D203" s="17" t="n">
        <x:v>94</x:v>
      </x:c>
      <x:c r="E203" s="17" t="n">
        <x:v>195</x:v>
      </x:c>
      <x:c r="F203" s="18" t="n">
        <x:v>1308.38</x:v>
      </x:c>
    </x:row>
    <x:row r="204">
      <x:c r="A204" s="14" t="str">
        <x:v>店长</x:v>
      </x:c>
      <x:c r="B204" s="15" t="str">
        <x:v>王云</x:v>
      </x:c>
      <x:c r="C204" s="16" t="n">
        <x:v>46225</x:v>
      </x:c>
      <x:c r="D204" s="17" t="n">
        <x:v>70</x:v>
      </x:c>
      <x:c r="E204" s="17" t="n">
        <x:v>144</x:v>
      </x:c>
      <x:c r="F204" s="18" t="n">
        <x:v>1044.31</x:v>
      </x:c>
    </x:row>
    <x:row r="205">
      <x:c r="A205" s="14" t="str">
        <x:v>店长</x:v>
      </x:c>
      <x:c r="B205" s="15" t="str">
        <x:v>王云</x:v>
      </x:c>
      <x:c r="C205" s="16" t="n">
        <x:v>46226</x:v>
      </x:c>
      <x:c r="D205" s="17" t="n">
        <x:v>96</x:v>
      </x:c>
      <x:c r="E205" s="17" t="n">
        <x:v>187</x:v>
      </x:c>
      <x:c r="F205" s="18" t="n">
        <x:v>1316.07</x:v>
      </x:c>
    </x:row>
    <x:row r="206">
      <x:c r="A206" s="14" t="str">
        <x:v>店长</x:v>
      </x:c>
      <x:c r="B206" s="15" t="str">
        <x:v>王云</x:v>
      </x:c>
      <x:c r="C206" s="16" t="n">
        <x:v>46227</x:v>
      </x:c>
      <x:c r="D206" s="17" t="n">
        <x:v>86</x:v>
      </x:c>
      <x:c r="E206" s="17" t="n">
        <x:v>179</x:v>
      </x:c>
      <x:c r="F206" s="18" t="n">
        <x:v>1244.73</x:v>
      </x:c>
    </x:row>
    <x:row r="207">
      <x:c r="A207" s="14" t="str">
        <x:v>店长</x:v>
      </x:c>
      <x:c r="B207" s="15" t="str">
        <x:v>王云</x:v>
      </x:c>
      <x:c r="C207" s="16" t="n">
        <x:v>46228</x:v>
      </x:c>
      <x:c r="D207" s="17" t="n">
        <x:v>47</x:v>
      </x:c>
      <x:c r="E207" s="17" t="n">
        <x:v>89</x:v>
      </x:c>
      <x:c r="F207" s="18" t="n">
        <x:v>700.42</x:v>
      </x:c>
    </x:row>
    <x:row r="208">
      <x:c r="A208" s="14" t="str">
        <x:v>店长</x:v>
      </x:c>
      <x:c r="B208" s="15" t="str">
        <x:v>王云</x:v>
      </x:c>
      <x:c r="C208" s="16" t="n">
        <x:v>46229</x:v>
      </x:c>
      <x:c r="D208" s="17" t="n">
        <x:v>115</x:v>
      </x:c>
      <x:c r="E208" s="17" t="n">
        <x:v>224</x:v>
      </x:c>
      <x:c r="F208" s="18" t="n">
        <x:v>1615.05</x:v>
      </x:c>
    </x:row>
    <x:row r="209">
      <x:c r="A209" s="14" t="str">
        <x:v>店长</x:v>
      </x:c>
      <x:c r="B209" s="15" t="str">
        <x:v>王云</x:v>
      </x:c>
      <x:c r="C209" s="16" t="n">
        <x:v>46230</x:v>
      </x:c>
      <x:c r="D209" s="17" t="n">
        <x:v>88</x:v>
      </x:c>
      <x:c r="E209" s="17" t="n">
        <x:v>174</x:v>
      </x:c>
      <x:c r="F209" s="18" t="n">
        <x:v>1187.63</x:v>
      </x:c>
    </x:row>
    <x:row r="210">
      <x:c r="A210" s="14" t="str">
        <x:v>店长</x:v>
      </x:c>
      <x:c r="B210" s="15" t="str">
        <x:v>王云</x:v>
      </x:c>
      <x:c r="C210" s="16" t="n">
        <x:v>46231</x:v>
      </x:c>
      <x:c r="D210" s="17" t="n">
        <x:v>93</x:v>
      </x:c>
      <x:c r="E210" s="17" t="n">
        <x:v>167</x:v>
      </x:c>
      <x:c r="F210" s="18" t="n">
        <x:v>1426.9</x:v>
      </x:c>
    </x:row>
    <x:row r="211">
      <x:c r="A211" s="14" t="str">
        <x:v>店长</x:v>
      </x:c>
      <x:c r="B211" s="15" t="str">
        <x:v>王云</x:v>
      </x:c>
      <x:c r="C211" s="16" t="n">
        <x:v>46232</x:v>
      </x:c>
      <x:c r="D211" s="17" t="n">
        <x:v>68</x:v>
      </x:c>
      <x:c r="E211" s="17" t="n">
        <x:v>130</x:v>
      </x:c>
      <x:c r="F211" s="18" t="n">
        <x:v>931.84</x:v>
      </x:c>
    </x:row>
    <x:row r="212">
      <x:c r="A212" s="14" t="str">
        <x:v>店长</x:v>
      </x:c>
      <x:c r="B212" s="15" t="str">
        <x:v>王云</x:v>
      </x:c>
      <x:c r="C212" s="16" t="n">
        <x:v>46233</x:v>
      </x:c>
      <x:c r="D212" s="17" t="n">
        <x:v>70</x:v>
      </x:c>
      <x:c r="E212" s="17" t="n">
        <x:v>126</x:v>
      </x:c>
      <x:c r="F212" s="18" t="n">
        <x:v>889.28</x:v>
      </x:c>
    </x:row>
    <x:row r="213">
      <x:c r="A213" s="14" t="str">
        <x:v>店长</x:v>
      </x:c>
      <x:c r="B213" s="15" t="str">
        <x:v>王云</x:v>
      </x:c>
      <x:c r="C213" s="16" t="n">
        <x:v>46234</x:v>
      </x:c>
      <x:c r="D213" s="17" t="n">
        <x:v>77</x:v>
      </x:c>
      <x:c r="E213" s="17" t="n">
        <x:v>153</x:v>
      </x:c>
      <x:c r="F213" s="18" t="n">
        <x:v>1101.1</x:v>
      </x:c>
    </x:row>
    <x:row r="214">
      <x:c r="A214" s="14" t="str">
        <x:v>店长</x:v>
      </x:c>
      <x:c r="B214" s="15" t="str">
        <x:v>王云</x:v>
      </x:c>
      <x:c r="C214" s="16" t="n">
        <x:v>46235</x:v>
      </x:c>
      <x:c r="D214" s="17" t="n">
        <x:v>57</x:v>
      </x:c>
      <x:c r="E214" s="17" t="n">
        <x:v>107</x:v>
      </x:c>
      <x:c r="F214" s="18" t="n">
        <x:v>867.66</x:v>
      </x:c>
    </x:row>
    <x:row r="215">
      <x:c r="A215" s="14" t="str">
        <x:v>店长</x:v>
      </x:c>
      <x:c r="B215" s="15" t="str">
        <x:v>王云</x:v>
      </x:c>
      <x:c r="C215" s="16" t="n">
        <x:v>46236</x:v>
      </x:c>
      <x:c r="D215" s="17" t="n">
        <x:v>44</x:v>
      </x:c>
      <x:c r="E215" s="17" t="n">
        <x:v>82</x:v>
      </x:c>
      <x:c r="F215" s="18" t="n">
        <x:v>609.4</x:v>
      </x:c>
    </x:row>
    <x:row r="216">
      <x:c r="A216" s="14" t="str">
        <x:v>店长</x:v>
      </x:c>
      <x:c r="B216" s="15" t="str">
        <x:v>王云</x:v>
      </x:c>
      <x:c r="C216" s="16" t="n">
        <x:v>46237</x:v>
      </x:c>
      <x:c r="D216" s="17" t="n">
        <x:v>46</x:v>
      </x:c>
      <x:c r="E216" s="17" t="n">
        <x:v>65</x:v>
      </x:c>
      <x:c r="F216" s="18" t="n">
        <x:v>618.15</x:v>
      </x:c>
    </x:row>
    <x:row r="217">
      <x:c r="A217" s="14" t="str">
        <x:v>店长</x:v>
      </x:c>
      <x:c r="B217" s="15" t="str">
        <x:v>王云</x:v>
      </x:c>
      <x:c r="C217" s="16" t="n">
        <x:v>46238</x:v>
      </x:c>
      <x:c r="D217" s="17" t="n">
        <x:v>82</x:v>
      </x:c>
      <x:c r="E217" s="17" t="n">
        <x:v>165</x:v>
      </x:c>
      <x:c r="F217" s="18" t="n">
        <x:v>1090.87</x:v>
      </x:c>
    </x:row>
    <x:row r="218">
      <x:c r="A218" s="14" t="str">
        <x:v>店长</x:v>
      </x:c>
      <x:c r="B218" s="15" t="str">
        <x:v>王云</x:v>
      </x:c>
      <x:c r="C218" s="16" t="n">
        <x:v>46239</x:v>
      </x:c>
      <x:c r="D218" s="17" t="n">
        <x:v>54</x:v>
      </x:c>
      <x:c r="E218" s="17" t="n">
        <x:v>86</x:v>
      </x:c>
      <x:c r="F218" s="18" t="n">
        <x:v>678.64</x:v>
      </x:c>
    </x:row>
    <x:row r="219">
      <x:c r="A219" s="14" t="str">
        <x:v>店长</x:v>
      </x:c>
      <x:c r="B219" s="15" t="str">
        <x:v>王云</x:v>
      </x:c>
      <x:c r="C219" s="16" t="n">
        <x:v>46240</x:v>
      </x:c>
      <x:c r="D219" s="17" t="n">
        <x:v>57</x:v>
      </x:c>
      <x:c r="E219" s="17" t="n">
        <x:v>108</x:v>
      </x:c>
      <x:c r="F219" s="18" t="n">
        <x:v>801.82</x:v>
      </x:c>
    </x:row>
    <x:row r="220">
      <x:c r="A220" s="14" t="str">
        <x:v>店长</x:v>
      </x:c>
      <x:c r="B220" s="15" t="str">
        <x:v>王云</x:v>
      </x:c>
      <x:c r="C220" s="16" t="n">
        <x:v>46241</x:v>
      </x:c>
      <x:c r="D220" s="17" t="n">
        <x:v>47</x:v>
      </x:c>
      <x:c r="E220" s="17" t="n">
        <x:v>77</x:v>
      </x:c>
      <x:c r="F220" s="18" t="n">
        <x:v>549.4</x:v>
      </x:c>
    </x:row>
    <x:row r="221">
      <x:c r="A221" s="14" t="str">
        <x:v>店长</x:v>
      </x:c>
      <x:c r="B221" s="15" t="str">
        <x:v>王云</x:v>
      </x:c>
      <x:c r="C221" s="16" t="n">
        <x:v>46242</x:v>
      </x:c>
      <x:c r="D221" s="17" t="n">
        <x:v>60</x:v>
      </x:c>
      <x:c r="E221" s="17" t="n">
        <x:v>98</x:v>
      </x:c>
      <x:c r="F221" s="18" t="n">
        <x:v>845.47</x:v>
      </x:c>
    </x:row>
    <x:row r="222">
      <x:c r="A222" s="14" t="str">
        <x:v>店长</x:v>
      </x:c>
      <x:c r="B222" s="15" t="str">
        <x:v>王云</x:v>
      </x:c>
      <x:c r="C222" s="16" t="n">
        <x:v>46243</x:v>
      </x:c>
      <x:c r="D222" s="17" t="n">
        <x:v>50</x:v>
      </x:c>
      <x:c r="E222" s="17" t="n">
        <x:v>88</x:v>
      </x:c>
      <x:c r="F222" s="18" t="n">
        <x:v>726.47</x:v>
      </x:c>
    </x:row>
    <x:row r="223">
      <x:c r="A223" s="14" t="str">
        <x:v>店长</x:v>
      </x:c>
      <x:c r="B223" s="15" t="str">
        <x:v>王云</x:v>
      </x:c>
      <x:c r="C223" s="16" t="n">
        <x:v>46244</x:v>
      </x:c>
      <x:c r="D223" s="17" t="n">
        <x:v>374</x:v>
      </x:c>
      <x:c r="E223" s="17" t="n">
        <x:v>435</x:v>
      </x:c>
      <x:c r="F223" s="18" t="n">
        <x:v>5090.64</x:v>
      </x:c>
    </x:row>
    <x:row r="224">
      <x:c r="A224" s="14" t="str">
        <x:v>店长</x:v>
      </x:c>
      <x:c r="B224" s="15" t="str">
        <x:v>王云</x:v>
      </x:c>
      <x:c r="C224" s="16" t="n">
        <x:v>46245</x:v>
      </x:c>
      <x:c r="D224" s="17" t="n">
        <x:v>125</x:v>
      </x:c>
      <x:c r="E224" s="17" t="n">
        <x:v>229</x:v>
      </x:c>
      <x:c r="F224" s="18" t="n">
        <x:v>1727.52</x:v>
      </x:c>
    </x:row>
    <x:row r="225">
      <x:c r="A225" s="14" t="str">
        <x:v>店长</x:v>
      </x:c>
      <x:c r="B225" s="15" t="str">
        <x:v>王云</x:v>
      </x:c>
      <x:c r="C225" s="16" t="n">
        <x:v>46246</x:v>
      </x:c>
      <x:c r="D225" s="17" t="n">
        <x:v>76</x:v>
      </x:c>
      <x:c r="E225" s="17" t="n">
        <x:v>142</x:v>
      </x:c>
      <x:c r="F225" s="18" t="n">
        <x:v>1074.83</x:v>
      </x:c>
    </x:row>
    <x:row r="226">
      <x:c r="A226" s="14" t="str">
        <x:v>店长</x:v>
      </x:c>
      <x:c r="B226" s="15" t="str">
        <x:v>王云</x:v>
      </x:c>
      <x:c r="C226" s="16" t="n">
        <x:v>46247</x:v>
      </x:c>
      <x:c r="D226" s="17" t="n">
        <x:v>105</x:v>
      </x:c>
      <x:c r="E226" s="17" t="n">
        <x:v>192</x:v>
      </x:c>
      <x:c r="F226" s="18" t="n">
        <x:v>1502.67</x:v>
      </x:c>
    </x:row>
    <x:row r="227">
      <x:c r="A227" s="14" t="str">
        <x:v>店长</x:v>
      </x:c>
      <x:c r="B227" s="15" t="str">
        <x:v>王云</x:v>
      </x:c>
      <x:c r="C227" s="16" t="n">
        <x:v>46248</x:v>
      </x:c>
      <x:c r="D227" s="17" t="n">
        <x:v>114</x:v>
      </x:c>
      <x:c r="E227" s="17" t="n">
        <x:v>209</x:v>
      </x:c>
      <x:c r="F227" s="18" t="n">
        <x:v>1600.77</x:v>
      </x:c>
    </x:row>
    <x:row r="228">
      <x:c r="A228" s="14" t="str">
        <x:v>店长</x:v>
      </x:c>
      <x:c r="B228" s="15" t="str">
        <x:v>王云</x:v>
      </x:c>
      <x:c r="C228" s="16" t="n">
        <x:v>46249</x:v>
      </x:c>
      <x:c r="D228" s="17" t="n">
        <x:v>70</x:v>
      </x:c>
      <x:c r="E228" s="17" t="n">
        <x:v>164</x:v>
      </x:c>
      <x:c r="F228" s="18" t="n">
        <x:v>1094.83</x:v>
      </x:c>
    </x:row>
    <x:row r="229">
      <x:c r="A229" s="14" t="str">
        <x:v>店长</x:v>
      </x:c>
      <x:c r="B229" s="15" t="str">
        <x:v>王云</x:v>
      </x:c>
      <x:c r="C229" s="16" t="n">
        <x:v>46250</x:v>
      </x:c>
      <x:c r="D229" s="17" t="n">
        <x:v>128</x:v>
      </x:c>
      <x:c r="E229" s="17" t="n">
        <x:v>240</x:v>
      </x:c>
      <x:c r="F229" s="18" t="n">
        <x:v>1763.94</x:v>
      </x:c>
    </x:row>
    <x:row r="230">
      <x:c r="A230" s="14" t="str">
        <x:v>店长</x:v>
      </x:c>
      <x:c r="B230" s="15" t="str">
        <x:v>王云</x:v>
      </x:c>
      <x:c r="C230" s="16" t="n">
        <x:v>46251</x:v>
      </x:c>
      <x:c r="D230" s="17" t="n">
        <x:v>119</x:v>
      </x:c>
      <x:c r="E230" s="17" t="n">
        <x:v>233</x:v>
      </x:c>
      <x:c r="F230" s="18" t="n">
        <x:v>1693.63</x:v>
      </x:c>
    </x:row>
    <x:row r="231">
      <x:c r="A231" s="14" t="str">
        <x:v>店长</x:v>
      </x:c>
      <x:c r="B231" s="15" t="str">
        <x:v>王云</x:v>
      </x:c>
      <x:c r="C231" s="16" t="n">
        <x:v>46252</x:v>
      </x:c>
      <x:c r="D231" s="17" t="n">
        <x:v>96</x:v>
      </x:c>
      <x:c r="E231" s="17" t="n">
        <x:v>196</x:v>
      </x:c>
      <x:c r="F231" s="18" t="n">
        <x:v>1368.63</x:v>
      </x:c>
    </x:row>
    <x:row r="232">
      <x:c r="A232" s="14" t="str">
        <x:v>店长</x:v>
      </x:c>
      <x:c r="B232" s="15" t="str">
        <x:v>王云</x:v>
      </x:c>
      <x:c r="C232" s="16" t="n">
        <x:v>46253</x:v>
      </x:c>
      <x:c r="D232" s="17" t="n">
        <x:v>122</x:v>
      </x:c>
      <x:c r="E232" s="17" t="n">
        <x:v>228</x:v>
      </x:c>
      <x:c r="F232" s="18" t="n">
        <x:v>1744.22</x:v>
      </x:c>
    </x:row>
    <x:row r="233">
      <x:c r="A233" s="14" t="str">
        <x:v>店长</x:v>
      </x:c>
      <x:c r="B233" s="15" t="str">
        <x:v>王云</x:v>
      </x:c>
      <x:c r="C233" s="16" t="n">
        <x:v>46254</x:v>
      </x:c>
      <x:c r="D233" s="17" t="n">
        <x:v>83</x:v>
      </x:c>
      <x:c r="E233" s="17" t="n">
        <x:v>128</x:v>
      </x:c>
      <x:c r="F233" s="18" t="n">
        <x:v>1205.19</x:v>
      </x:c>
    </x:row>
    <x:row r="234">
      <x:c r="A234" s="14" t="str">
        <x:v>店长</x:v>
      </x:c>
      <x:c r="B234" s="15" t="str">
        <x:v>樊永鹏</x:v>
      </x:c>
      <x:c r="C234" s="16" t="n">
        <x:v>46023</x:v>
      </x:c>
      <x:c r="D234" s="17" t="n">
        <x:v>1462</x:v>
      </x:c>
      <x:c r="E234" s="17" t="n">
        <x:v>2254</x:v>
      </x:c>
      <x:c r="F234" s="18" t="n">
        <x:v>21147.1</x:v>
      </x:c>
    </x:row>
    <x:row r="235">
      <x:c r="A235" s="14" t="str">
        <x:v>店长</x:v>
      </x:c>
      <x:c r="B235" s="15" t="str">
        <x:v>樊永鹏</x:v>
      </x:c>
      <x:c r="C235" s="16" t="n">
        <x:v>46024</x:v>
      </x:c>
      <x:c r="D235" s="17" t="n">
        <x:v>1599</x:v>
      </x:c>
      <x:c r="E235" s="17" t="n">
        <x:v>2521</x:v>
      </x:c>
      <x:c r="F235" s="18" t="n">
        <x:v>22991.21</x:v>
      </x:c>
    </x:row>
    <x:row r="236">
      <x:c r="A236" s="14" t="str">
        <x:v>店长</x:v>
      </x:c>
      <x:c r="B236" s="15" t="str">
        <x:v>樊永鹏</x:v>
      </x:c>
      <x:c r="C236" s="16" t="n">
        <x:v>46025</x:v>
      </x:c>
      <x:c r="D236" s="17" t="n">
        <x:v>1580</x:v>
      </x:c>
      <x:c r="E236" s="17" t="n">
        <x:v>2466</x:v>
      </x:c>
      <x:c r="F236" s="18" t="n">
        <x:v>23183.18</x:v>
      </x:c>
    </x:row>
    <x:row r="237">
      <x:c r="A237" s="14" t="str">
        <x:v>店长</x:v>
      </x:c>
      <x:c r="B237" s="15" t="str">
        <x:v>樊永鹏</x:v>
      </x:c>
      <x:c r="C237" s="16" t="n">
        <x:v>46026</x:v>
      </x:c>
      <x:c r="D237" s="17" t="n">
        <x:v>1477</x:v>
      </x:c>
      <x:c r="E237" s="17" t="n">
        <x:v>2264</x:v>
      </x:c>
      <x:c r="F237" s="18" t="n">
        <x:v>21544.75</x:v>
      </x:c>
    </x:row>
    <x:row r="238">
      <x:c r="A238" s="14" t="str">
        <x:v>店长</x:v>
      </x:c>
      <x:c r="B238" s="15" t="str">
        <x:v>樊永鹏</x:v>
      </x:c>
      <x:c r="C238" s="16" t="n">
        <x:v>46027</x:v>
      </x:c>
      <x:c r="D238" s="17" t="n">
        <x:v>1594</x:v>
      </x:c>
      <x:c r="E238" s="17" t="n">
        <x:v>2334</x:v>
      </x:c>
      <x:c r="F238" s="18" t="n">
        <x:v>22528.74</x:v>
      </x:c>
    </x:row>
    <x:row r="239">
      <x:c r="A239" s="14" t="str">
        <x:v>店长</x:v>
      </x:c>
      <x:c r="B239" s="15" t="str">
        <x:v>樊永鹏</x:v>
      </x:c>
      <x:c r="C239" s="16" t="n">
        <x:v>46028</x:v>
      </x:c>
      <x:c r="D239" s="17" t="n">
        <x:v>1778</x:v>
      </x:c>
      <x:c r="E239" s="17" t="n">
        <x:v>3048</x:v>
      </x:c>
      <x:c r="F239" s="18" t="n">
        <x:v>26099.17</x:v>
      </x:c>
    </x:row>
    <x:row r="240">
      <x:c r="A240" s="14" t="str">
        <x:v>店长</x:v>
      </x:c>
      <x:c r="B240" s="15" t="str">
        <x:v>樊永鹏</x:v>
      </x:c>
      <x:c r="C240" s="16" t="n">
        <x:v>46029</x:v>
      </x:c>
      <x:c r="D240" s="17" t="n">
        <x:v>1952</x:v>
      </x:c>
      <x:c r="E240" s="17" t="n">
        <x:v>3449</x:v>
      </x:c>
      <x:c r="F240" s="18" t="n">
        <x:v>28672.88</x:v>
      </x:c>
    </x:row>
    <x:row r="241">
      <x:c r="A241" s="14" t="str">
        <x:v>店长</x:v>
      </x:c>
      <x:c r="B241" s="15" t="str">
        <x:v>樊永鹏</x:v>
      </x:c>
      <x:c r="C241" s="16" t="n">
        <x:v>46030</x:v>
      </x:c>
      <x:c r="D241" s="17" t="n">
        <x:v>1976</x:v>
      </x:c>
      <x:c r="E241" s="17" t="n">
        <x:v>3256</x:v>
      </x:c>
      <x:c r="F241" s="18" t="n">
        <x:v>28342.69</x:v>
      </x:c>
    </x:row>
    <x:row r="242">
      <x:c r="A242" s="14" t="str">
        <x:v>店长</x:v>
      </x:c>
      <x:c r="B242" s="15" t="str">
        <x:v>樊永鹏</x:v>
      </x:c>
      <x:c r="C242" s="16" t="n">
        <x:v>46031</x:v>
      </x:c>
      <x:c r="D242" s="17" t="n">
        <x:v>1913</x:v>
      </x:c>
      <x:c r="E242" s="17" t="n">
        <x:v>3102</x:v>
      </x:c>
      <x:c r="F242" s="18" t="n">
        <x:v>27654.79</x:v>
      </x:c>
    </x:row>
    <x:row r="243">
      <x:c r="A243" s="14" t="str">
        <x:v>店长</x:v>
      </x:c>
      <x:c r="B243" s="15" t="str">
        <x:v>樊永鹏</x:v>
      </x:c>
      <x:c r="C243" s="16" t="n">
        <x:v>46032</x:v>
      </x:c>
      <x:c r="D243" s="17" t="n">
        <x:v>1646</x:v>
      </x:c>
      <x:c r="E243" s="17" t="n">
        <x:v>2694</x:v>
      </x:c>
      <x:c r="F243" s="18" t="n">
        <x:v>24085.29</x:v>
      </x:c>
    </x:row>
    <x:row r="244">
      <x:c r="A244" s="14" t="str">
        <x:v>店长</x:v>
      </x:c>
      <x:c r="B244" s="15" t="str">
        <x:v>樊永鹏</x:v>
      </x:c>
      <x:c r="C244" s="16" t="n">
        <x:v>46033</x:v>
      </x:c>
      <x:c r="D244" s="17" t="n">
        <x:v>1515</x:v>
      </x:c>
      <x:c r="E244" s="17" t="n">
        <x:v>2542</x:v>
      </x:c>
      <x:c r="F244" s="18" t="n">
        <x:v>21666.24</x:v>
      </x:c>
    </x:row>
    <x:row r="245">
      <x:c r="A245" s="14" t="str">
        <x:v>店长</x:v>
      </x:c>
      <x:c r="B245" s="15" t="str">
        <x:v>樊永鹏</x:v>
      </x:c>
      <x:c r="C245" s="16" t="n">
        <x:v>46034</x:v>
      </x:c>
      <x:c r="D245" s="17" t="n">
        <x:v>1316</x:v>
      </x:c>
      <x:c r="E245" s="17" t="n">
        <x:v>2229</x:v>
      </x:c>
      <x:c r="F245" s="18" t="n">
        <x:v>19967.41</x:v>
      </x:c>
    </x:row>
    <x:row r="246">
      <x:c r="A246" s="14" t="str">
        <x:v>店长</x:v>
      </x:c>
      <x:c r="B246" s="15" t="str">
        <x:v>樊永鹏</x:v>
      </x:c>
      <x:c r="C246" s="16" t="n">
        <x:v>46035</x:v>
      </x:c>
      <x:c r="D246" s="17" t="n">
        <x:v>1394</x:v>
      </x:c>
      <x:c r="E246" s="17" t="n">
        <x:v>2295</x:v>
      </x:c>
      <x:c r="F246" s="18" t="n">
        <x:v>21022.2</x:v>
      </x:c>
    </x:row>
    <x:row r="247">
      <x:c r="A247" s="14" t="str">
        <x:v>店长</x:v>
      </x:c>
      <x:c r="B247" s="15" t="str">
        <x:v>樊永鹏</x:v>
      </x:c>
      <x:c r="C247" s="16" t="n">
        <x:v>46036</x:v>
      </x:c>
      <x:c r="D247" s="17" t="n">
        <x:v>1158</x:v>
      </x:c>
      <x:c r="E247" s="17" t="n">
        <x:v>1771</x:v>
      </x:c>
      <x:c r="F247" s="18" t="n">
        <x:v>17051</x:v>
      </x:c>
    </x:row>
    <x:row r="248">
      <x:c r="A248" s="14" t="str">
        <x:v>店长</x:v>
      </x:c>
      <x:c r="B248" s="15" t="str">
        <x:v>樊永鹏</x:v>
      </x:c>
      <x:c r="C248" s="16" t="n">
        <x:v>46037</x:v>
      </x:c>
      <x:c r="D248" s="17" t="n">
        <x:v>1291</x:v>
      </x:c>
      <x:c r="E248" s="17" t="n">
        <x:v>2055</x:v>
      </x:c>
      <x:c r="F248" s="18" t="n">
        <x:v>19418.56</x:v>
      </x:c>
    </x:row>
    <x:row r="249">
      <x:c r="A249" s="14" t="str">
        <x:v>店长</x:v>
      </x:c>
      <x:c r="B249" s="15" t="str">
        <x:v>樊永鹏</x:v>
      </x:c>
      <x:c r="C249" s="16" t="n">
        <x:v>46038</x:v>
      </x:c>
      <x:c r="D249" s="17" t="n">
        <x:v>1266</x:v>
      </x:c>
      <x:c r="E249" s="17" t="n">
        <x:v>1952</x:v>
      </x:c>
      <x:c r="F249" s="18" t="n">
        <x:v>18723.1</x:v>
      </x:c>
    </x:row>
    <x:row r="250">
      <x:c r="A250" s="14" t="str">
        <x:v>店长</x:v>
      </x:c>
      <x:c r="B250" s="15" t="str">
        <x:v>樊永鹏</x:v>
      </x:c>
      <x:c r="C250" s="16" t="n">
        <x:v>46039</x:v>
      </x:c>
      <x:c r="D250" s="17" t="n">
        <x:v>1159</x:v>
      </x:c>
      <x:c r="E250" s="17" t="n">
        <x:v>1826</x:v>
      </x:c>
      <x:c r="F250" s="18" t="n">
        <x:v>17062.96</x:v>
      </x:c>
    </x:row>
    <x:row r="251">
      <x:c r="A251" s="14" t="str">
        <x:v>店长</x:v>
      </x:c>
      <x:c r="B251" s="15" t="str">
        <x:v>樊永鹏</x:v>
      </x:c>
      <x:c r="C251" s="16" t="n">
        <x:v>46040</x:v>
      </x:c>
      <x:c r="D251" s="17" t="n">
        <x:v>1025</x:v>
      </x:c>
      <x:c r="E251" s="17" t="n">
        <x:v>1583</x:v>
      </x:c>
      <x:c r="F251" s="18" t="n">
        <x:v>14721.58</x:v>
      </x:c>
    </x:row>
    <x:row r="252">
      <x:c r="A252" s="14" t="str">
        <x:v>店长</x:v>
      </x:c>
      <x:c r="B252" s="15" t="str">
        <x:v>樊永鹏</x:v>
      </x:c>
      <x:c r="C252" s="16" t="n">
        <x:v>46041</x:v>
      </x:c>
      <x:c r="D252" s="17" t="n">
        <x:v>993</x:v>
      </x:c>
      <x:c r="E252" s="17" t="n">
        <x:v>1538</x:v>
      </x:c>
      <x:c r="F252" s="18" t="n">
        <x:v>14576.01</x:v>
      </x:c>
    </x:row>
    <x:row r="253">
      <x:c r="A253" s="14" t="str">
        <x:v>店长</x:v>
      </x:c>
      <x:c r="B253" s="15" t="str">
        <x:v>樊永鹏</x:v>
      </x:c>
      <x:c r="C253" s="16" t="n">
        <x:v>46042</x:v>
      </x:c>
      <x:c r="D253" s="17" t="n">
        <x:v>1257</x:v>
      </x:c>
      <x:c r="E253" s="17" t="n">
        <x:v>1968</x:v>
      </x:c>
      <x:c r="F253" s="18" t="n">
        <x:v>18970.14</x:v>
      </x:c>
    </x:row>
    <x:row r="254">
      <x:c r="A254" s="14" t="str">
        <x:v>店长</x:v>
      </x:c>
      <x:c r="B254" s="15" t="str">
        <x:v>樊永鹏</x:v>
      </x:c>
      <x:c r="C254" s="16" t="n">
        <x:v>46043</x:v>
      </x:c>
      <x:c r="D254" s="17" t="n">
        <x:v>1566</x:v>
      </x:c>
      <x:c r="E254" s="17" t="n">
        <x:v>2602</x:v>
      </x:c>
      <x:c r="F254" s="18" t="n">
        <x:v>24958.34</x:v>
      </x:c>
    </x:row>
    <x:row r="255">
      <x:c r="A255" s="14" t="str">
        <x:v>店长</x:v>
      </x:c>
      <x:c r="B255" s="15" t="str">
        <x:v>樊永鹏</x:v>
      </x:c>
      <x:c r="C255" s="16" t="n">
        <x:v>46044</x:v>
      </x:c>
      <x:c r="D255" s="17" t="n">
        <x:v>1283</x:v>
      </x:c>
      <x:c r="E255" s="17" t="n">
        <x:v>2132</x:v>
      </x:c>
      <x:c r="F255" s="18" t="n">
        <x:v>19486.94</x:v>
      </x:c>
    </x:row>
    <x:row r="256">
      <x:c r="A256" s="14" t="str">
        <x:v>店长</x:v>
      </x:c>
      <x:c r="B256" s="15" t="str">
        <x:v>樊永鹏</x:v>
      </x:c>
      <x:c r="C256" s="16" t="n">
        <x:v>46045</x:v>
      </x:c>
      <x:c r="D256" s="17" t="n">
        <x:v>1162</x:v>
      </x:c>
      <x:c r="E256" s="17" t="n">
        <x:v>1924</x:v>
      </x:c>
      <x:c r="F256" s="18" t="n">
        <x:v>17605.91</x:v>
      </x:c>
    </x:row>
    <x:row r="257">
      <x:c r="A257" s="14" t="str">
        <x:v>店长</x:v>
      </x:c>
      <x:c r="B257" s="15" t="str">
        <x:v>樊永鹏</x:v>
      </x:c>
      <x:c r="C257" s="16" t="n">
        <x:v>46046</x:v>
      </x:c>
      <x:c r="D257" s="17" t="n">
        <x:v>1177</x:v>
      </x:c>
      <x:c r="E257" s="17" t="n">
        <x:v>1867</x:v>
      </x:c>
      <x:c r="F257" s="18" t="n">
        <x:v>17582.52</x:v>
      </x:c>
    </x:row>
    <x:row r="258">
      <x:c r="A258" s="14" t="str">
        <x:v>店长</x:v>
      </x:c>
      <x:c r="B258" s="15" t="str">
        <x:v>樊永鹏</x:v>
      </x:c>
      <x:c r="C258" s="16" t="n">
        <x:v>46047</x:v>
      </x:c>
      <x:c r="D258" s="17" t="n">
        <x:v>1187</x:v>
      </x:c>
      <x:c r="E258" s="17" t="n">
        <x:v>1841</x:v>
      </x:c>
      <x:c r="F258" s="18" t="n">
        <x:v>17197.25</x:v>
      </x:c>
    </x:row>
    <x:row r="259">
      <x:c r="A259" s="14" t="str">
        <x:v>店长</x:v>
      </x:c>
      <x:c r="B259" s="15" t="str">
        <x:v>樊永鹏</x:v>
      </x:c>
      <x:c r="C259" s="16" t="n">
        <x:v>46048</x:v>
      </x:c>
      <x:c r="D259" s="17" t="n">
        <x:v>1305</x:v>
      </x:c>
      <x:c r="E259" s="17" t="n">
        <x:v>2091</x:v>
      </x:c>
      <x:c r="F259" s="18" t="n">
        <x:v>20187.41</x:v>
      </x:c>
    </x:row>
    <x:row r="260">
      <x:c r="A260" s="14" t="str">
        <x:v>店长</x:v>
      </x:c>
      <x:c r="B260" s="15" t="str">
        <x:v>樊永鹏</x:v>
      </x:c>
      <x:c r="C260" s="16" t="n">
        <x:v>46049</x:v>
      </x:c>
      <x:c r="D260" s="17" t="n">
        <x:v>1389</x:v>
      </x:c>
      <x:c r="E260" s="17" t="n">
        <x:v>2141</x:v>
      </x:c>
      <x:c r="F260" s="18" t="n">
        <x:v>20498.85</x:v>
      </x:c>
    </x:row>
    <x:row r="261">
      <x:c r="A261" s="14" t="str">
        <x:v>店长</x:v>
      </x:c>
      <x:c r="B261" s="15" t="str">
        <x:v>樊永鹏</x:v>
      </x:c>
      <x:c r="C261" s="16" t="n">
        <x:v>46050</x:v>
      </x:c>
      <x:c r="D261" s="17" t="n">
        <x:v>1256</x:v>
      </x:c>
      <x:c r="E261" s="17" t="n">
        <x:v>1954</x:v>
      </x:c>
      <x:c r="F261" s="18" t="n">
        <x:v>18112.7</x:v>
      </x:c>
    </x:row>
    <x:row r="262">
      <x:c r="A262" s="14" t="str">
        <x:v>店长</x:v>
      </x:c>
      <x:c r="B262" s="15" t="str">
        <x:v>樊永鹏</x:v>
      </x:c>
      <x:c r="C262" s="16" t="n">
        <x:v>46051</x:v>
      </x:c>
      <x:c r="D262" s="17" t="n">
        <x:v>1346</x:v>
      </x:c>
      <x:c r="E262" s="17" t="n">
        <x:v>2224</x:v>
      </x:c>
      <x:c r="F262" s="18" t="n">
        <x:v>20459.08</x:v>
      </x:c>
    </x:row>
    <x:row r="263">
      <x:c r="A263" s="14" t="str">
        <x:v>店长</x:v>
      </x:c>
      <x:c r="B263" s="15" t="str">
        <x:v>樊永鹏</x:v>
      </x:c>
      <x:c r="C263" s="16" t="n">
        <x:v>46052</x:v>
      </x:c>
      <x:c r="D263" s="17" t="n">
        <x:v>1286</x:v>
      </x:c>
      <x:c r="E263" s="17" t="n">
        <x:v>2186</x:v>
      </x:c>
      <x:c r="F263" s="18" t="n">
        <x:v>19763.44</x:v>
      </x:c>
    </x:row>
    <x:row r="264">
      <x:c r="A264" s="14" t="str">
        <x:v>店长</x:v>
      </x:c>
      <x:c r="B264" s="15" t="str">
        <x:v>樊永鹏</x:v>
      </x:c>
      <x:c r="C264" s="16" t="n">
        <x:v>46053</x:v>
      </x:c>
      <x:c r="D264" s="17" t="n">
        <x:v>1515</x:v>
      </x:c>
      <x:c r="E264" s="17" t="n">
        <x:v>2489</x:v>
      </x:c>
      <x:c r="F264" s="18" t="n">
        <x:v>23285.26</x:v>
      </x:c>
    </x:row>
    <x:row r="265">
      <x:c r="A265" s="14" t="str">
        <x:v>店长</x:v>
      </x:c>
      <x:c r="B265" s="15" t="str">
        <x:v>樊永鹏</x:v>
      </x:c>
      <x:c r="C265" s="16" t="n">
        <x:v>46054</x:v>
      </x:c>
      <x:c r="D265" s="17" t="n">
        <x:v>1476</x:v>
      </x:c>
      <x:c r="E265" s="17" t="n">
        <x:v>2583</x:v>
      </x:c>
      <x:c r="F265" s="18" t="n">
        <x:v>22125.51</x:v>
      </x:c>
    </x:row>
    <x:row r="266">
      <x:c r="A266" s="14" t="str">
        <x:v>店长</x:v>
      </x:c>
      <x:c r="B266" s="15" t="str">
        <x:v>樊永鹏</x:v>
      </x:c>
      <x:c r="C266" s="16" t="n">
        <x:v>46055</x:v>
      </x:c>
      <x:c r="D266" s="17" t="n">
        <x:v>1498</x:v>
      </x:c>
      <x:c r="E266" s="17" t="n">
        <x:v>2698</x:v>
      </x:c>
      <x:c r="F266" s="18" t="n">
        <x:v>23138.61</x:v>
      </x:c>
    </x:row>
    <x:row r="267">
      <x:c r="A267" s="14" t="str">
        <x:v>店长</x:v>
      </x:c>
      <x:c r="B267" s="15" t="str">
        <x:v>樊永鹏</x:v>
      </x:c>
      <x:c r="C267" s="16" t="n">
        <x:v>46056</x:v>
      </x:c>
      <x:c r="D267" s="17" t="n">
        <x:v>1885</x:v>
      </x:c>
      <x:c r="E267" s="17" t="n">
        <x:v>3047</x:v>
      </x:c>
      <x:c r="F267" s="18" t="n">
        <x:v>28544.86</x:v>
      </x:c>
    </x:row>
    <x:row r="268">
      <x:c r="A268" s="14" t="str">
        <x:v>店长</x:v>
      </x:c>
      <x:c r="B268" s="15" t="str">
        <x:v>樊永鹏</x:v>
      </x:c>
      <x:c r="C268" s="16" t="n">
        <x:v>46057</x:v>
      </x:c>
      <x:c r="D268" s="17" t="n">
        <x:v>1355</x:v>
      </x:c>
      <x:c r="E268" s="17" t="n">
        <x:v>2160</x:v>
      </x:c>
      <x:c r="F268" s="18" t="n">
        <x:v>20131.33</x:v>
      </x:c>
    </x:row>
    <x:row r="269">
      <x:c r="A269" s="14" t="str">
        <x:v>店长</x:v>
      </x:c>
      <x:c r="B269" s="15" t="str">
        <x:v>樊永鹏</x:v>
      </x:c>
      <x:c r="C269" s="16" t="n">
        <x:v>46058</x:v>
      </x:c>
      <x:c r="D269" s="17" t="n">
        <x:v>1216</x:v>
      </x:c>
      <x:c r="E269" s="17" t="n">
        <x:v>1854</x:v>
      </x:c>
      <x:c r="F269" s="18" t="n">
        <x:v>18428.97</x:v>
      </x:c>
    </x:row>
    <x:row r="270">
      <x:c r="A270" s="14" t="str">
        <x:v>店长</x:v>
      </x:c>
      <x:c r="B270" s="15" t="str">
        <x:v>樊永鹏</x:v>
      </x:c>
      <x:c r="C270" s="16" t="n">
        <x:v>46059</x:v>
      </x:c>
      <x:c r="D270" s="17" t="n">
        <x:v>1048</x:v>
      </x:c>
      <x:c r="E270" s="17" t="n">
        <x:v>1647</x:v>
      </x:c>
      <x:c r="F270" s="18" t="n">
        <x:v>16481.22</x:v>
      </x:c>
    </x:row>
    <x:row r="271">
      <x:c r="A271" s="14" t="str">
        <x:v>店长</x:v>
      </x:c>
      <x:c r="B271" s="15" t="str">
        <x:v>樊永鹏</x:v>
      </x:c>
      <x:c r="C271" s="16" t="n">
        <x:v>46060</x:v>
      </x:c>
      <x:c r="D271" s="17" t="n">
        <x:v>1126</x:v>
      </x:c>
      <x:c r="E271" s="17" t="n">
        <x:v>1786</x:v>
      </x:c>
      <x:c r="F271" s="18" t="n">
        <x:v>17027.09</x:v>
      </x:c>
    </x:row>
    <x:row r="272">
      <x:c r="A272" s="14" t="str">
        <x:v>店长</x:v>
      </x:c>
      <x:c r="B272" s="15" t="str">
        <x:v>樊永鹏</x:v>
      </x:c>
      <x:c r="C272" s="16" t="n">
        <x:v>46061</x:v>
      </x:c>
      <x:c r="D272" s="17" t="n">
        <x:v>1201</x:v>
      </x:c>
      <x:c r="E272" s="17" t="n">
        <x:v>1978</x:v>
      </x:c>
      <x:c r="F272" s="18" t="n">
        <x:v>18397</x:v>
      </x:c>
    </x:row>
    <x:row r="273">
      <x:c r="A273" s="14" t="str">
        <x:v>店长</x:v>
      </x:c>
      <x:c r="B273" s="15" t="str">
        <x:v>樊永鹏</x:v>
      </x:c>
      <x:c r="C273" s="16" t="n">
        <x:v>46062</x:v>
      </x:c>
      <x:c r="D273" s="17" t="n">
        <x:v>1192</x:v>
      </x:c>
      <x:c r="E273" s="17" t="n">
        <x:v>2134</x:v>
      </x:c>
      <x:c r="F273" s="18" t="n">
        <x:v>19107.42</x:v>
      </x:c>
    </x:row>
    <x:row r="274">
      <x:c r="A274" s="14" t="str">
        <x:v>店长</x:v>
      </x:c>
      <x:c r="B274" s="15" t="str">
        <x:v>樊永鹏</x:v>
      </x:c>
      <x:c r="C274" s="16" t="n">
        <x:v>46063</x:v>
      </x:c>
      <x:c r="D274" s="17" t="n">
        <x:v>1210</x:v>
      </x:c>
      <x:c r="E274" s="17" t="n">
        <x:v>1966</x:v>
      </x:c>
      <x:c r="F274" s="18" t="n">
        <x:v>17986.81</x:v>
      </x:c>
    </x:row>
    <x:row r="275">
      <x:c r="A275" s="14" t="str">
        <x:v>店长</x:v>
      </x:c>
      <x:c r="B275" s="15" t="str">
        <x:v>樊永鹏</x:v>
      </x:c>
      <x:c r="C275" s="16" t="n">
        <x:v>46064</x:v>
      </x:c>
      <x:c r="D275" s="17" t="n">
        <x:v>1085</x:v>
      </x:c>
      <x:c r="E275" s="17" t="n">
        <x:v>1804</x:v>
      </x:c>
      <x:c r="F275" s="18" t="n">
        <x:v>15790.42</x:v>
      </x:c>
    </x:row>
    <x:row r="276">
      <x:c r="A276" s="14" t="str">
        <x:v>店长</x:v>
      </x:c>
      <x:c r="B276" s="15" t="str">
        <x:v>樊永鹏</x:v>
      </x:c>
      <x:c r="C276" s="16" t="n">
        <x:v>46065</x:v>
      </x:c>
      <x:c r="D276" s="17" t="n">
        <x:v>1244</x:v>
      </x:c>
      <x:c r="E276" s="17" t="n">
        <x:v>1910</x:v>
      </x:c>
      <x:c r="F276" s="18" t="n">
        <x:v>18090.66</x:v>
      </x:c>
    </x:row>
    <x:row r="277">
      <x:c r="A277" s="14" t="str">
        <x:v>店长</x:v>
      </x:c>
      <x:c r="B277" s="15" t="str">
        <x:v>樊永鹏</x:v>
      </x:c>
      <x:c r="C277" s="16" t="n">
        <x:v>46066</x:v>
      </x:c>
      <x:c r="D277" s="17" t="n">
        <x:v>1199</x:v>
      </x:c>
      <x:c r="E277" s="17" t="n">
        <x:v>1880</x:v>
      </x:c>
      <x:c r="F277" s="18" t="n">
        <x:v>16980.43</x:v>
      </x:c>
    </x:row>
    <x:row r="278">
      <x:c r="A278" s="14" t="str">
        <x:v>店长</x:v>
      </x:c>
      <x:c r="B278" s="15" t="str">
        <x:v>樊永鹏</x:v>
      </x:c>
      <x:c r="C278" s="16" t="n">
        <x:v>46067</x:v>
      </x:c>
      <x:c r="D278" s="17" t="n">
        <x:v>1255</x:v>
      </x:c>
      <x:c r="E278" s="17" t="n">
        <x:v>1814</x:v>
      </x:c>
      <x:c r="F278" s="18" t="n">
        <x:v>17370.07</x:v>
      </x:c>
    </x:row>
    <x:row r="279">
      <x:c r="A279" s="14" t="str">
        <x:v>店长</x:v>
      </x:c>
      <x:c r="B279" s="15" t="str">
        <x:v>樊永鹏</x:v>
      </x:c>
      <x:c r="C279" s="16" t="n">
        <x:v>46068</x:v>
      </x:c>
      <x:c r="D279" s="17" t="n">
        <x:v>1299</x:v>
      </x:c>
      <x:c r="E279" s="17" t="n">
        <x:v>1935</x:v>
      </x:c>
      <x:c r="F279" s="18" t="n">
        <x:v>17950.42</x:v>
      </x:c>
    </x:row>
    <x:row r="280">
      <x:c r="A280" s="14" t="str">
        <x:v>店长</x:v>
      </x:c>
      <x:c r="B280" s="15" t="str">
        <x:v>樊永鹏</x:v>
      </x:c>
      <x:c r="C280" s="16" t="n">
        <x:v>46069</x:v>
      </x:c>
      <x:c r="D280" s="17" t="n">
        <x:v>1340</x:v>
      </x:c>
      <x:c r="E280" s="17" t="n">
        <x:v>2017</x:v>
      </x:c>
      <x:c r="F280" s="18" t="n">
        <x:v>18606.77</x:v>
      </x:c>
    </x:row>
    <x:row r="281">
      <x:c r="A281" s="14" t="str">
        <x:v>店长</x:v>
      </x:c>
      <x:c r="B281" s="15" t="str">
        <x:v>樊永鹏</x:v>
      </x:c>
      <x:c r="C281" s="16" t="n">
        <x:v>46070</x:v>
      </x:c>
      <x:c r="D281" s="17" t="n">
        <x:v>1502</x:v>
      </x:c>
      <x:c r="E281" s="17" t="n">
        <x:v>2317</x:v>
      </x:c>
      <x:c r="F281" s="18" t="n">
        <x:v>21044.58</x:v>
      </x:c>
    </x:row>
    <x:row r="282">
      <x:c r="A282" s="14" t="str">
        <x:v>店长</x:v>
      </x:c>
      <x:c r="B282" s="15" t="str">
        <x:v>樊永鹏</x:v>
      </x:c>
      <x:c r="C282" s="16" t="n">
        <x:v>46071</x:v>
      </x:c>
      <x:c r="D282" s="17" t="n">
        <x:v>1405</x:v>
      </x:c>
      <x:c r="E282" s="17" t="n">
        <x:v>2161</x:v>
      </x:c>
      <x:c r="F282" s="18" t="n">
        <x:v>19522.54</x:v>
      </x:c>
    </x:row>
    <x:row r="283">
      <x:c r="A283" s="14" t="str">
        <x:v>店长</x:v>
      </x:c>
      <x:c r="B283" s="15" t="str">
        <x:v>樊永鹏</x:v>
      </x:c>
      <x:c r="C283" s="16" t="n">
        <x:v>46072</x:v>
      </x:c>
      <x:c r="D283" s="17" t="n">
        <x:v>1353</x:v>
      </x:c>
      <x:c r="E283" s="17" t="n">
        <x:v>1975</x:v>
      </x:c>
      <x:c r="F283" s="18" t="n">
        <x:v>17859.31</x:v>
      </x:c>
    </x:row>
    <x:row r="284">
      <x:c r="A284" s="14" t="str">
        <x:v>店长</x:v>
      </x:c>
      <x:c r="B284" s="15" t="str">
        <x:v>樊永鹏</x:v>
      </x:c>
      <x:c r="C284" s="16" t="n">
        <x:v>46073</x:v>
      </x:c>
      <x:c r="D284" s="17" t="n">
        <x:v>1114</x:v>
      </x:c>
      <x:c r="E284" s="17" t="n">
        <x:v>1893</x:v>
      </x:c>
      <x:c r="F284" s="18" t="n">
        <x:v>15255.34</x:v>
      </x:c>
    </x:row>
    <x:row r="285">
      <x:c r="A285" s="14" t="str">
        <x:v>店长</x:v>
      </x:c>
      <x:c r="B285" s="15" t="str">
        <x:v>樊永鹏</x:v>
      </x:c>
      <x:c r="C285" s="16" t="n">
        <x:v>46074</x:v>
      </x:c>
      <x:c r="D285" s="17" t="n">
        <x:v>1187</x:v>
      </x:c>
      <x:c r="E285" s="17" t="n">
        <x:v>2018</x:v>
      </x:c>
      <x:c r="F285" s="18" t="n">
        <x:v>18775.47</x:v>
      </x:c>
    </x:row>
    <x:row r="286">
      <x:c r="A286" s="14" t="str">
        <x:v>店长</x:v>
      </x:c>
      <x:c r="B286" s="15" t="str">
        <x:v>樊永鹏</x:v>
      </x:c>
      <x:c r="C286" s="16" t="n">
        <x:v>46075</x:v>
      </x:c>
      <x:c r="D286" s="17" t="n">
        <x:v>1229</x:v>
      </x:c>
      <x:c r="E286" s="17" t="n">
        <x:v>2127</x:v>
      </x:c>
      <x:c r="F286" s="18" t="n">
        <x:v>19684.39</x:v>
      </x:c>
    </x:row>
    <x:row r="287">
      <x:c r="A287" s="14" t="str">
        <x:v>店长</x:v>
      </x:c>
      <x:c r="B287" s="15" t="str">
        <x:v>樊永鹏</x:v>
      </x:c>
      <x:c r="C287" s="16" t="n">
        <x:v>46076</x:v>
      </x:c>
      <x:c r="D287" s="17" t="n">
        <x:v>1412</x:v>
      </x:c>
      <x:c r="E287" s="17" t="n">
        <x:v>2188</x:v>
      </x:c>
      <x:c r="F287" s="18" t="n">
        <x:v>20256.89</x:v>
      </x:c>
    </x:row>
    <x:row r="288">
      <x:c r="A288" s="14" t="str">
        <x:v>店长</x:v>
      </x:c>
      <x:c r="B288" s="15" t="str">
        <x:v>樊永鹏</x:v>
      </x:c>
      <x:c r="C288" s="16" t="n">
        <x:v>46077</x:v>
      </x:c>
      <x:c r="D288" s="17" t="n">
        <x:v>1329</x:v>
      </x:c>
      <x:c r="E288" s="17" t="n">
        <x:v>2215</x:v>
      </x:c>
      <x:c r="F288" s="18" t="n">
        <x:v>21472.12</x:v>
      </x:c>
    </x:row>
    <x:row r="289">
      <x:c r="A289" s="14" t="str">
        <x:v>店长</x:v>
      </x:c>
      <x:c r="B289" s="15" t="str">
        <x:v>樊永鹏</x:v>
      </x:c>
      <x:c r="C289" s="16" t="n">
        <x:v>46078</x:v>
      </x:c>
      <x:c r="D289" s="17" t="n">
        <x:v>1358</x:v>
      </x:c>
      <x:c r="E289" s="17" t="n">
        <x:v>2023</x:v>
      </x:c>
      <x:c r="F289" s="18" t="n">
        <x:v>18961.65</x:v>
      </x:c>
    </x:row>
    <x:row r="290">
      <x:c r="A290" s="14" t="str">
        <x:v>店长</x:v>
      </x:c>
      <x:c r="B290" s="15" t="str">
        <x:v>樊永鹏</x:v>
      </x:c>
      <x:c r="C290" s="16" t="n">
        <x:v>46079</x:v>
      </x:c>
      <x:c r="D290" s="17" t="n">
        <x:v>1317</x:v>
      </x:c>
      <x:c r="E290" s="17" t="n">
        <x:v>2231</x:v>
      </x:c>
      <x:c r="F290" s="18" t="n">
        <x:v>19912.69</x:v>
      </x:c>
    </x:row>
    <x:row r="291">
      <x:c r="A291" s="14" t="str">
        <x:v>店长</x:v>
      </x:c>
      <x:c r="B291" s="15" t="str">
        <x:v>樊永鹏</x:v>
      </x:c>
      <x:c r="C291" s="16" t="n">
        <x:v>46080</x:v>
      </x:c>
      <x:c r="D291" s="17" t="n">
        <x:v>1301</x:v>
      </x:c>
      <x:c r="E291" s="17" t="n">
        <x:v>1992</x:v>
      </x:c>
      <x:c r="F291" s="18" t="n">
        <x:v>19268.84</x:v>
      </x:c>
    </x:row>
    <x:row r="292">
      <x:c r="A292" s="14" t="str">
        <x:v>店长</x:v>
      </x:c>
      <x:c r="B292" s="15" t="str">
        <x:v>樊永鹏</x:v>
      </x:c>
      <x:c r="C292" s="16" t="n">
        <x:v>46081</x:v>
      </x:c>
      <x:c r="D292" s="17" t="n">
        <x:v>1149</x:v>
      </x:c>
      <x:c r="E292" s="17" t="n">
        <x:v>1751</x:v>
      </x:c>
      <x:c r="F292" s="18" t="n">
        <x:v>18397.69</x:v>
      </x:c>
    </x:row>
    <x:row r="293">
      <x:c r="A293" s="14" t="str">
        <x:v>店长</x:v>
      </x:c>
      <x:c r="B293" s="15" t="str">
        <x:v>樊永鹏</x:v>
      </x:c>
      <x:c r="C293" s="16" t="n">
        <x:v>46082</x:v>
      </x:c>
      <x:c r="D293" s="17" t="n">
        <x:v>1241</x:v>
      </x:c>
      <x:c r="E293" s="17" t="n">
        <x:v>1786</x:v>
      </x:c>
      <x:c r="F293" s="18" t="n">
        <x:v>17233.38</x:v>
      </x:c>
    </x:row>
    <x:row r="294">
      <x:c r="A294" s="14" t="str">
        <x:v>店长</x:v>
      </x:c>
      <x:c r="B294" s="15" t="str">
        <x:v>樊永鹏</x:v>
      </x:c>
      <x:c r="C294" s="16" t="n">
        <x:v>46083</x:v>
      </x:c>
      <x:c r="D294" s="17" t="n">
        <x:v>1133</x:v>
      </x:c>
      <x:c r="E294" s="17" t="n">
        <x:v>1712</x:v>
      </x:c>
      <x:c r="F294" s="18" t="n">
        <x:v>16602.36</x:v>
      </x:c>
    </x:row>
    <x:row r="295">
      <x:c r="A295" s="14" t="str">
        <x:v>店长</x:v>
      </x:c>
      <x:c r="B295" s="15" t="str">
        <x:v>樊永鹏</x:v>
      </x:c>
      <x:c r="C295" s="16" t="n">
        <x:v>46084</x:v>
      </x:c>
      <x:c r="D295" s="17" t="n">
        <x:v>1292</x:v>
      </x:c>
      <x:c r="E295" s="17" t="n">
        <x:v>1922</x:v>
      </x:c>
      <x:c r="F295" s="18" t="n">
        <x:v>17874.15</x:v>
      </x:c>
    </x:row>
    <x:row r="296">
      <x:c r="A296" s="14" t="str">
        <x:v>店长</x:v>
      </x:c>
      <x:c r="B296" s="15" t="str">
        <x:v>樊永鹏</x:v>
      </x:c>
      <x:c r="C296" s="16" t="n">
        <x:v>46085</x:v>
      </x:c>
      <x:c r="D296" s="17" t="n">
        <x:v>1202</x:v>
      </x:c>
      <x:c r="E296" s="17" t="n">
        <x:v>1944</x:v>
      </x:c>
      <x:c r="F296" s="18" t="n">
        <x:v>17898.6</x:v>
      </x:c>
    </x:row>
    <x:row r="297">
      <x:c r="A297" s="14" t="str">
        <x:v>店长</x:v>
      </x:c>
      <x:c r="B297" s="15" t="str">
        <x:v>樊永鹏</x:v>
      </x:c>
      <x:c r="C297" s="16" t="n">
        <x:v>46086</x:v>
      </x:c>
      <x:c r="D297" s="17" t="n">
        <x:v>1152</x:v>
      </x:c>
      <x:c r="E297" s="17" t="n">
        <x:v>1752</x:v>
      </x:c>
      <x:c r="F297" s="18" t="n">
        <x:v>16633.85</x:v>
      </x:c>
    </x:row>
    <x:row r="298">
      <x:c r="A298" s="14" t="str">
        <x:v>店长</x:v>
      </x:c>
      <x:c r="B298" s="15" t="str">
        <x:v>樊永鹏</x:v>
      </x:c>
      <x:c r="C298" s="16" t="n">
        <x:v>46087</x:v>
      </x:c>
      <x:c r="D298" s="17" t="n">
        <x:v>1226</x:v>
      </x:c>
      <x:c r="E298" s="17" t="n">
        <x:v>1771</x:v>
      </x:c>
      <x:c r="F298" s="18" t="n">
        <x:v>17109.7</x:v>
      </x:c>
    </x:row>
    <x:row r="299">
      <x:c r="A299" s="14" t="str">
        <x:v>店长</x:v>
      </x:c>
      <x:c r="B299" s="15" t="str">
        <x:v>樊永鹏</x:v>
      </x:c>
      <x:c r="C299" s="16" t="n">
        <x:v>46088</x:v>
      </x:c>
      <x:c r="D299" s="17" t="n">
        <x:v>1197</x:v>
      </x:c>
      <x:c r="E299" s="17" t="n">
        <x:v>1712</x:v>
      </x:c>
      <x:c r="F299" s="18" t="n">
        <x:v>17858.15</x:v>
      </x:c>
    </x:row>
    <x:row r="300">
      <x:c r="A300" s="14" t="str">
        <x:v>店长</x:v>
      </x:c>
      <x:c r="B300" s="15" t="str">
        <x:v>樊永鹏</x:v>
      </x:c>
      <x:c r="C300" s="16" t="n">
        <x:v>46089</x:v>
      </x:c>
      <x:c r="D300" s="17" t="n">
        <x:v>1118</x:v>
      </x:c>
      <x:c r="E300" s="17" t="n">
        <x:v>1889</x:v>
      </x:c>
      <x:c r="F300" s="18" t="n">
        <x:v>17136.41</x:v>
      </x:c>
    </x:row>
    <x:row r="301">
      <x:c r="A301" s="14" t="str">
        <x:v>店长</x:v>
      </x:c>
      <x:c r="B301" s="15" t="str">
        <x:v>樊永鹏</x:v>
      </x:c>
      <x:c r="C301" s="16" t="n">
        <x:v>46090</x:v>
      </x:c>
      <x:c r="D301" s="17" t="n">
        <x:v>886</x:v>
      </x:c>
      <x:c r="E301" s="17" t="n">
        <x:v>1923</x:v>
      </x:c>
      <x:c r="F301" s="18" t="n">
        <x:v>16884.36</x:v>
      </x:c>
    </x:row>
    <x:row r="302">
      <x:c r="A302" s="14" t="str">
        <x:v>店长</x:v>
      </x:c>
      <x:c r="B302" s="15" t="str">
        <x:v>樊永鹏</x:v>
      </x:c>
      <x:c r="C302" s="16" t="n">
        <x:v>46091</x:v>
      </x:c>
      <x:c r="D302" s="17" t="n">
        <x:v>1013</x:v>
      </x:c>
      <x:c r="E302" s="17" t="n">
        <x:v>1736</x:v>
      </x:c>
      <x:c r="F302" s="18" t="n">
        <x:v>16143.18</x:v>
      </x:c>
    </x:row>
    <x:row r="303">
      <x:c r="A303" s="14" t="str">
        <x:v>店长</x:v>
      </x:c>
      <x:c r="B303" s="15" t="str">
        <x:v>樊永鹏</x:v>
      </x:c>
      <x:c r="C303" s="16" t="n">
        <x:v>46092</x:v>
      </x:c>
      <x:c r="D303" s="17" t="n">
        <x:v>863</x:v>
      </x:c>
      <x:c r="E303" s="17" t="n">
        <x:v>1370</x:v>
      </x:c>
      <x:c r="F303" s="18" t="n">
        <x:v>12514.65</x:v>
      </x:c>
    </x:row>
    <x:row r="304">
      <x:c r="A304" s="14" t="str">
        <x:v>店长</x:v>
      </x:c>
      <x:c r="B304" s="15" t="str">
        <x:v>樊永鹏</x:v>
      </x:c>
      <x:c r="C304" s="16" t="n">
        <x:v>46093</x:v>
      </x:c>
      <x:c r="D304" s="17" t="n">
        <x:v>775</x:v>
      </x:c>
      <x:c r="E304" s="17" t="n">
        <x:v>1193</x:v>
      </x:c>
      <x:c r="F304" s="18" t="n">
        <x:v>11128.73</x:v>
      </x:c>
    </x:row>
    <x:row r="305">
      <x:c r="A305" s="14" t="str">
        <x:v>店长</x:v>
      </x:c>
      <x:c r="B305" s="15" t="str">
        <x:v>樊永鹏</x:v>
      </x:c>
      <x:c r="C305" s="16" t="n">
        <x:v>46094</x:v>
      </x:c>
      <x:c r="D305" s="17" t="n">
        <x:v>685</x:v>
      </x:c>
      <x:c r="E305" s="17" t="n">
        <x:v>1250</x:v>
      </x:c>
      <x:c r="F305" s="18" t="n">
        <x:v>10711.94</x:v>
      </x:c>
    </x:row>
    <x:row r="306">
      <x:c r="A306" s="14" t="str">
        <x:v>店长</x:v>
      </x:c>
      <x:c r="B306" s="15" t="str">
        <x:v>樊永鹏</x:v>
      </x:c>
      <x:c r="C306" s="16" t="n">
        <x:v>46095</x:v>
      </x:c>
      <x:c r="D306" s="17" t="n">
        <x:v>707</x:v>
      </x:c>
      <x:c r="E306" s="17" t="n">
        <x:v>1064</x:v>
      </x:c>
      <x:c r="F306" s="18" t="n">
        <x:v>8897.14</x:v>
      </x:c>
    </x:row>
    <x:row r="307">
      <x:c r="A307" s="14" t="str">
        <x:v>店长</x:v>
      </x:c>
      <x:c r="B307" s="15" t="str">
        <x:v>樊永鹏</x:v>
      </x:c>
      <x:c r="C307" s="16" t="n">
        <x:v>46096</x:v>
      </x:c>
      <x:c r="D307" s="17" t="n">
        <x:v>731</x:v>
      </x:c>
      <x:c r="E307" s="17" t="n">
        <x:v>1148</x:v>
      </x:c>
      <x:c r="F307" s="18" t="n">
        <x:v>10088.38</x:v>
      </x:c>
    </x:row>
    <x:row r="308">
      <x:c r="A308" s="14" t="str">
        <x:v>店长</x:v>
      </x:c>
      <x:c r="B308" s="15" t="str">
        <x:v>樊永鹏</x:v>
      </x:c>
      <x:c r="C308" s="16" t="n">
        <x:v>46097</x:v>
      </x:c>
      <x:c r="D308" s="17" t="n">
        <x:v>715</x:v>
      </x:c>
      <x:c r="E308" s="17" t="n">
        <x:v>1316</x:v>
      </x:c>
      <x:c r="F308" s="18" t="n">
        <x:v>10253.81</x:v>
      </x:c>
    </x:row>
    <x:row r="309">
      <x:c r="A309" s="14" t="str">
        <x:v>店长</x:v>
      </x:c>
      <x:c r="B309" s="15" t="str">
        <x:v>樊永鹏</x:v>
      </x:c>
      <x:c r="C309" s="16" t="n">
        <x:v>46098</x:v>
      </x:c>
      <x:c r="D309" s="17" t="n">
        <x:v>610</x:v>
      </x:c>
      <x:c r="E309" s="17" t="n">
        <x:v>965</x:v>
      </x:c>
      <x:c r="F309" s="18" t="n">
        <x:v>7962.78</x:v>
      </x:c>
    </x:row>
    <x:row r="310">
      <x:c r="A310" s="14" t="str">
        <x:v>店长</x:v>
      </x:c>
      <x:c r="B310" s="15" t="str">
        <x:v>樊永鹏</x:v>
      </x:c>
      <x:c r="C310" s="16" t="n">
        <x:v>46099</x:v>
      </x:c>
      <x:c r="D310" s="17" t="n">
        <x:v>430</x:v>
      </x:c>
      <x:c r="E310" s="17" t="n">
        <x:v>849</x:v>
      </x:c>
      <x:c r="F310" s="18" t="n">
        <x:v>6218.9</x:v>
      </x:c>
    </x:row>
    <x:row r="311">
      <x:c r="A311" s="14" t="str">
        <x:v>店长</x:v>
      </x:c>
      <x:c r="B311" s="15" t="str">
        <x:v>樊永鹏</x:v>
      </x:c>
      <x:c r="C311" s="16" t="n">
        <x:v>46100</x:v>
      </x:c>
      <x:c r="D311" s="17" t="n">
        <x:v>343</x:v>
      </x:c>
      <x:c r="E311" s="17" t="n">
        <x:v>672</x:v>
      </x:c>
      <x:c r="F311" s="18" t="n">
        <x:v>5527.82</x:v>
      </x:c>
    </x:row>
    <x:row r="312">
      <x:c r="A312" s="14" t="str">
        <x:v>店长</x:v>
      </x:c>
      <x:c r="B312" s="15" t="str">
        <x:v>樊永鹏</x:v>
      </x:c>
      <x:c r="C312" s="16" t="n">
        <x:v>46101</x:v>
      </x:c>
      <x:c r="D312" s="17" t="n">
        <x:v>314</x:v>
      </x:c>
      <x:c r="E312" s="17" t="n">
        <x:v>555</x:v>
      </x:c>
      <x:c r="F312" s="18" t="n">
        <x:v>4531.18</x:v>
      </x:c>
    </x:row>
    <x:row r="313">
      <x:c r="A313" s="14" t="str">
        <x:v>店长</x:v>
      </x:c>
      <x:c r="B313" s="15" t="str">
        <x:v>樊永鹏</x:v>
      </x:c>
      <x:c r="C313" s="16" t="n">
        <x:v>46102</x:v>
      </x:c>
      <x:c r="D313" s="17" t="n">
        <x:v>341</x:v>
      </x:c>
      <x:c r="E313" s="17" t="n">
        <x:v>585</x:v>
      </x:c>
      <x:c r="F313" s="18" t="n">
        <x:v>4632.25</x:v>
      </x:c>
    </x:row>
    <x:row r="314">
      <x:c r="A314" s="14" t="str">
        <x:v>店长</x:v>
      </x:c>
      <x:c r="B314" s="15" t="str">
        <x:v>樊永鹏</x:v>
      </x:c>
      <x:c r="C314" s="16" t="n">
        <x:v>46103</x:v>
      </x:c>
      <x:c r="D314" s="17" t="n">
        <x:v>521</x:v>
      </x:c>
      <x:c r="E314" s="17" t="n">
        <x:v>866</x:v>
      </x:c>
      <x:c r="F314" s="18" t="n">
        <x:v>6573.92</x:v>
      </x:c>
    </x:row>
    <x:row r="315">
      <x:c r="A315" s="14" t="str">
        <x:v>店长</x:v>
      </x:c>
      <x:c r="B315" s="15" t="str">
        <x:v>樊永鹏</x:v>
      </x:c>
      <x:c r="C315" s="16" t="n">
        <x:v>46104</x:v>
      </x:c>
      <x:c r="D315" s="17" t="n">
        <x:v>861</x:v>
      </x:c>
      <x:c r="E315" s="17" t="n">
        <x:v>1313</x:v>
      </x:c>
      <x:c r="F315" s="18" t="n">
        <x:v>10880.09</x:v>
      </x:c>
    </x:row>
    <x:row r="316">
      <x:c r="A316" s="14" t="str">
        <x:v>店长</x:v>
      </x:c>
      <x:c r="B316" s="15" t="str">
        <x:v>樊永鹏</x:v>
      </x:c>
      <x:c r="C316" s="16" t="n">
        <x:v>46105</x:v>
      </x:c>
      <x:c r="D316" s="17" t="n">
        <x:v>1327</x:v>
      </x:c>
      <x:c r="E316" s="17" t="n">
        <x:v>2017</x:v>
      </x:c>
      <x:c r="F316" s="18" t="n">
        <x:v>16372.34</x:v>
      </x:c>
    </x:row>
    <x:row r="317">
      <x:c r="A317" s="14" t="str">
        <x:v>店长</x:v>
      </x:c>
      <x:c r="B317" s="15" t="str">
        <x:v>樊永鹏</x:v>
      </x:c>
      <x:c r="C317" s="16" t="n">
        <x:v>46106</x:v>
      </x:c>
      <x:c r="D317" s="17" t="n">
        <x:v>1950</x:v>
      </x:c>
      <x:c r="E317" s="17" t="n">
        <x:v>2961</x:v>
      </x:c>
      <x:c r="F317" s="18" t="n">
        <x:v>24998.28</x:v>
      </x:c>
    </x:row>
    <x:row r="318">
      <x:c r="A318" s="14" t="str">
        <x:v>店长</x:v>
      </x:c>
      <x:c r="B318" s="15" t="str">
        <x:v>樊永鹏</x:v>
      </x:c>
      <x:c r="C318" s="16" t="n">
        <x:v>46107</x:v>
      </x:c>
      <x:c r="D318" s="17" t="n">
        <x:v>1715</x:v>
      </x:c>
      <x:c r="E318" s="17" t="n">
        <x:v>2402</x:v>
      </x:c>
      <x:c r="F318" s="18" t="n">
        <x:v>20072.44</x:v>
      </x:c>
    </x:row>
    <x:row r="319">
      <x:c r="A319" s="14" t="str">
        <x:v>店长</x:v>
      </x:c>
      <x:c r="B319" s="15" t="str">
        <x:v>樊永鹏</x:v>
      </x:c>
      <x:c r="C319" s="16" t="n">
        <x:v>46108</x:v>
      </x:c>
      <x:c r="D319" s="17" t="n">
        <x:v>1304</x:v>
      </x:c>
      <x:c r="E319" s="17" t="n">
        <x:v>2079</x:v>
      </x:c>
      <x:c r="F319" s="18" t="n">
        <x:v>16420.29</x:v>
      </x:c>
    </x:row>
    <x:row r="320">
      <x:c r="A320" s="14" t="str">
        <x:v>店长</x:v>
      </x:c>
      <x:c r="B320" s="15" t="str">
        <x:v>樊永鹏</x:v>
      </x:c>
      <x:c r="C320" s="16" t="n">
        <x:v>46109</x:v>
      </x:c>
      <x:c r="D320" s="17" t="n">
        <x:v>859</x:v>
      </x:c>
      <x:c r="E320" s="17" t="n">
        <x:v>1515</x:v>
      </x:c>
      <x:c r="F320" s="18" t="n">
        <x:v>11665.1</x:v>
      </x:c>
    </x:row>
    <x:row r="321">
      <x:c r="A321" s="14" t="str">
        <x:v>店长</x:v>
      </x:c>
      <x:c r="B321" s="15" t="str">
        <x:v>樊永鹏</x:v>
      </x:c>
      <x:c r="C321" s="16" t="n">
        <x:v>46110</x:v>
      </x:c>
      <x:c r="D321" s="17" t="n">
        <x:v>1729</x:v>
      </x:c>
      <x:c r="E321" s="17" t="n">
        <x:v>2506</x:v>
      </x:c>
      <x:c r="F321" s="18" t="n">
        <x:v>19683.46</x:v>
      </x:c>
    </x:row>
    <x:row r="322">
      <x:c r="A322" s="14" t="str">
        <x:v>店长</x:v>
      </x:c>
      <x:c r="B322" s="15" t="str">
        <x:v>樊永鹏</x:v>
      </x:c>
      <x:c r="C322" s="16" t="n">
        <x:v>46111</x:v>
      </x:c>
      <x:c r="D322" s="17" t="n">
        <x:v>1500</x:v>
      </x:c>
      <x:c r="E322" s="17" t="n">
        <x:v>2120</x:v>
      </x:c>
      <x:c r="F322" s="18" t="n">
        <x:v>18661.11</x:v>
      </x:c>
    </x:row>
    <x:row r="323">
      <x:c r="A323" s="14" t="str">
        <x:v>店长</x:v>
      </x:c>
      <x:c r="B323" s="15" t="str">
        <x:v>樊永鹏</x:v>
      </x:c>
      <x:c r="C323" s="16" t="n">
        <x:v>46112</x:v>
      </x:c>
      <x:c r="D323" s="17" t="n">
        <x:v>2067</x:v>
      </x:c>
      <x:c r="E323" s="17" t="n">
        <x:v>2628</x:v>
      </x:c>
      <x:c r="F323" s="18" t="n">
        <x:v>23303.35</x:v>
      </x:c>
    </x:row>
    <x:row r="324">
      <x:c r="A324" s="14" t="str">
        <x:v>店长</x:v>
      </x:c>
      <x:c r="B324" s="15" t="str">
        <x:v>樊永鹏</x:v>
      </x:c>
      <x:c r="C324" s="16" t="n">
        <x:v>46113</x:v>
      </x:c>
      <x:c r="D324" s="17" t="n">
        <x:v>1936</x:v>
      </x:c>
      <x:c r="E324" s="17" t="n">
        <x:v>2583</x:v>
      </x:c>
      <x:c r="F324" s="18" t="n">
        <x:v>22940.02</x:v>
      </x:c>
    </x:row>
    <x:row r="325">
      <x:c r="A325" s="14" t="str">
        <x:v>店长</x:v>
      </x:c>
      <x:c r="B325" s="15" t="str">
        <x:v>樊永鹏</x:v>
      </x:c>
      <x:c r="C325" s="16" t="n">
        <x:v>46114</x:v>
      </x:c>
      <x:c r="D325" s="17" t="n">
        <x:v>1874</x:v>
      </x:c>
      <x:c r="E325" s="17" t="n">
        <x:v>2364</x:v>
      </x:c>
      <x:c r="F325" s="18" t="n">
        <x:v>21400.45</x:v>
      </x:c>
    </x:row>
    <x:row r="326">
      <x:c r="A326" s="14" t="str">
        <x:v>店长</x:v>
      </x:c>
      <x:c r="B326" s="15" t="str">
        <x:v>樊永鹏</x:v>
      </x:c>
      <x:c r="C326" s="16" t="n">
        <x:v>46115</x:v>
      </x:c>
      <x:c r="D326" s="17" t="n">
        <x:v>1489</x:v>
      </x:c>
      <x:c r="E326" s="17" t="n">
        <x:v>2027</x:v>
      </x:c>
      <x:c r="F326" s="18" t="n">
        <x:v>17185.24</x:v>
      </x:c>
    </x:row>
    <x:row r="327">
      <x:c r="A327" s="14" t="str">
        <x:v>店长</x:v>
      </x:c>
      <x:c r="B327" s="15" t="str">
        <x:v>樊永鹏</x:v>
      </x:c>
      <x:c r="C327" s="16" t="n">
        <x:v>46116</x:v>
      </x:c>
      <x:c r="D327" s="17" t="n">
        <x:v>2081</x:v>
      </x:c>
      <x:c r="E327" s="17" t="n">
        <x:v>2664</x:v>
      </x:c>
      <x:c r="F327" s="18" t="n">
        <x:v>23139.25</x:v>
      </x:c>
    </x:row>
    <x:row r="328">
      <x:c r="A328" s="14" t="str">
        <x:v>店长</x:v>
      </x:c>
      <x:c r="B328" s="15" t="str">
        <x:v>樊永鹏</x:v>
      </x:c>
      <x:c r="C328" s="16" t="n">
        <x:v>46117</x:v>
      </x:c>
      <x:c r="D328" s="17" t="n">
        <x:v>1839</x:v>
      </x:c>
      <x:c r="E328" s="17" t="n">
        <x:v>2480</x:v>
      </x:c>
      <x:c r="F328" s="18" t="n">
        <x:v>22295.52</x:v>
      </x:c>
    </x:row>
    <x:row r="329">
      <x:c r="A329" s="14" t="str">
        <x:v>店长</x:v>
      </x:c>
      <x:c r="B329" s="15" t="str">
        <x:v>樊永鹏</x:v>
      </x:c>
      <x:c r="C329" s="16" t="n">
        <x:v>46118</x:v>
      </x:c>
      <x:c r="D329" s="17" t="n">
        <x:v>1760</x:v>
      </x:c>
      <x:c r="E329" s="17" t="n">
        <x:v>2191</x:v>
      </x:c>
      <x:c r="F329" s="18" t="n">
        <x:v>20273.17</x:v>
      </x:c>
    </x:row>
    <x:row r="330">
      <x:c r="A330" s="14" t="str">
        <x:v>店长</x:v>
      </x:c>
      <x:c r="B330" s="15" t="str">
        <x:v>樊永鹏</x:v>
      </x:c>
      <x:c r="C330" s="16" t="n">
        <x:v>46119</x:v>
      </x:c>
      <x:c r="D330" s="17" t="n">
        <x:v>1532</x:v>
      </x:c>
      <x:c r="E330" s="17" t="n">
        <x:v>1883</x:v>
      </x:c>
      <x:c r="F330" s="18" t="n">
        <x:v>16875.03</x:v>
      </x:c>
    </x:row>
    <x:row r="331">
      <x:c r="A331" s="14" t="str">
        <x:v>店长</x:v>
      </x:c>
      <x:c r="B331" s="15" t="str">
        <x:v>樊永鹏</x:v>
      </x:c>
      <x:c r="C331" s="16" t="n">
        <x:v>46120</x:v>
      </x:c>
      <x:c r="D331" s="17" t="n">
        <x:v>1508</x:v>
      </x:c>
      <x:c r="E331" s="17" t="n">
        <x:v>1875</x:v>
      </x:c>
      <x:c r="F331" s="18" t="n">
        <x:v>17052.45</x:v>
      </x:c>
    </x:row>
    <x:row r="332">
      <x:c r="A332" s="14" t="str">
        <x:v>店长</x:v>
      </x:c>
      <x:c r="B332" s="15" t="str">
        <x:v>樊永鹏</x:v>
      </x:c>
      <x:c r="C332" s="16" t="n">
        <x:v>46121</x:v>
      </x:c>
      <x:c r="D332" s="17" t="n">
        <x:v>1600</x:v>
      </x:c>
      <x:c r="E332" s="17" t="n">
        <x:v>2285</x:v>
      </x:c>
      <x:c r="F332" s="18" t="n">
        <x:v>19253.1</x:v>
      </x:c>
    </x:row>
    <x:row r="333">
      <x:c r="A333" s="14" t="str">
        <x:v>店长</x:v>
      </x:c>
      <x:c r="B333" s="15" t="str">
        <x:v>樊永鹏</x:v>
      </x:c>
      <x:c r="C333" s="16" t="n">
        <x:v>46122</x:v>
      </x:c>
      <x:c r="D333" s="17" t="n">
        <x:v>962</x:v>
      </x:c>
      <x:c r="E333" s="17" t="n">
        <x:v>1327</x:v>
      </x:c>
      <x:c r="F333" s="18" t="n">
        <x:v>12157.9</x:v>
      </x:c>
    </x:row>
    <x:row r="334">
      <x:c r="A334" s="14" t="str">
        <x:v>店长</x:v>
      </x:c>
      <x:c r="B334" s="15" t="str">
        <x:v>樊永鹏</x:v>
      </x:c>
      <x:c r="C334" s="16" t="n">
        <x:v>46123</x:v>
      </x:c>
      <x:c r="D334" s="17" t="n">
        <x:v>1145</x:v>
      </x:c>
      <x:c r="E334" s="17" t="n">
        <x:v>1419</x:v>
      </x:c>
      <x:c r="F334" s="18" t="n">
        <x:v>13760.54</x:v>
      </x:c>
    </x:row>
    <x:row r="335">
      <x:c r="A335" s="14" t="str">
        <x:v>店长</x:v>
      </x:c>
      <x:c r="B335" s="15" t="str">
        <x:v>樊永鹏</x:v>
      </x:c>
      <x:c r="C335" s="16" t="n">
        <x:v>46124</x:v>
      </x:c>
      <x:c r="D335" s="17" t="n">
        <x:v>630</x:v>
      </x:c>
      <x:c r="E335" s="17" t="n">
        <x:v>871</x:v>
      </x:c>
      <x:c r="F335" s="18" t="n">
        <x:v>7770.33</x:v>
      </x:c>
    </x:row>
    <x:row r="336">
      <x:c r="A336" s="14" t="str">
        <x:v>店长</x:v>
      </x:c>
      <x:c r="B336" s="15" t="str">
        <x:v>樊永鹏</x:v>
      </x:c>
      <x:c r="C336" s="16" t="n">
        <x:v>46125</x:v>
      </x:c>
      <x:c r="D336" s="17" t="n">
        <x:v>804</x:v>
      </x:c>
      <x:c r="E336" s="17" t="n">
        <x:v>1062</x:v>
      </x:c>
      <x:c r="F336" s="18" t="n">
        <x:v>10852.72</x:v>
      </x:c>
    </x:row>
    <x:row r="337">
      <x:c r="A337" s="14" t="str">
        <x:v>店长</x:v>
      </x:c>
      <x:c r="B337" s="15" t="str">
        <x:v>樊永鹏</x:v>
      </x:c>
      <x:c r="C337" s="16" t="n">
        <x:v>46126</x:v>
      </x:c>
      <x:c r="D337" s="17" t="n">
        <x:v>654</x:v>
      </x:c>
      <x:c r="E337" s="17" t="n">
        <x:v>851</x:v>
      </x:c>
      <x:c r="F337" s="18" t="n">
        <x:v>8973.1</x:v>
      </x:c>
    </x:row>
    <x:row r="338">
      <x:c r="A338" s="14" t="str">
        <x:v>店长</x:v>
      </x:c>
      <x:c r="B338" s="15" t="str">
        <x:v>樊永鹏</x:v>
      </x:c>
      <x:c r="C338" s="16" t="n">
        <x:v>46127</x:v>
      </x:c>
      <x:c r="D338" s="17" t="n">
        <x:v>788</x:v>
      </x:c>
      <x:c r="E338" s="17" t="n">
        <x:v>1203</x:v>
      </x:c>
      <x:c r="F338" s="18" t="n">
        <x:v>11408.67</x:v>
      </x:c>
    </x:row>
    <x:row r="339">
      <x:c r="A339" s="14" t="str">
        <x:v>店长</x:v>
      </x:c>
      <x:c r="B339" s="15" t="str">
        <x:v>樊永鹏</x:v>
      </x:c>
      <x:c r="C339" s="16" t="n">
        <x:v>46128</x:v>
      </x:c>
      <x:c r="D339" s="17" t="n">
        <x:v>798</x:v>
      </x:c>
      <x:c r="E339" s="17" t="n">
        <x:v>1319</x:v>
      </x:c>
      <x:c r="F339" s="18" t="n">
        <x:v>12134.12</x:v>
      </x:c>
    </x:row>
    <x:row r="340">
      <x:c r="A340" s="14" t="str">
        <x:v>店长</x:v>
      </x:c>
      <x:c r="B340" s="15" t="str">
        <x:v>樊永鹏</x:v>
      </x:c>
      <x:c r="C340" s="16" t="n">
        <x:v>46129</x:v>
      </x:c>
      <x:c r="D340" s="17" t="n">
        <x:v>994</x:v>
      </x:c>
      <x:c r="E340" s="17" t="n">
        <x:v>1572</x:v>
      </x:c>
      <x:c r="F340" s="18" t="n">
        <x:v>13412.24</x:v>
      </x:c>
    </x:row>
    <x:row r="341">
      <x:c r="A341" s="14" t="str">
        <x:v>店长</x:v>
      </x:c>
      <x:c r="B341" s="15" t="str">
        <x:v>樊永鹏</x:v>
      </x:c>
      <x:c r="C341" s="16" t="n">
        <x:v>46130</x:v>
      </x:c>
      <x:c r="D341" s="17" t="n">
        <x:v>798</x:v>
      </x:c>
      <x:c r="E341" s="17" t="n">
        <x:v>1298</x:v>
      </x:c>
      <x:c r="F341" s="18" t="n">
        <x:v>10769.53</x:v>
      </x:c>
    </x:row>
    <x:row r="342">
      <x:c r="A342" s="14" t="str">
        <x:v>店长</x:v>
      </x:c>
      <x:c r="B342" s="15" t="str">
        <x:v>樊永鹏</x:v>
      </x:c>
      <x:c r="C342" s="16" t="n">
        <x:v>46131</x:v>
      </x:c>
      <x:c r="D342" s="17" t="n">
        <x:v>884</x:v>
      </x:c>
      <x:c r="E342" s="17" t="n">
        <x:v>1470</x:v>
      </x:c>
      <x:c r="F342" s="18" t="n">
        <x:v>11945.39</x:v>
      </x:c>
    </x:row>
    <x:row r="343">
      <x:c r="A343" s="14" t="str">
        <x:v>店长</x:v>
      </x:c>
      <x:c r="B343" s="15" t="str">
        <x:v>樊永鹏</x:v>
      </x:c>
      <x:c r="C343" s="16" t="n">
        <x:v>46132</x:v>
      </x:c>
      <x:c r="D343" s="17" t="n">
        <x:v>822</x:v>
      </x:c>
      <x:c r="E343" s="17" t="n">
        <x:v>1352</x:v>
      </x:c>
      <x:c r="F343" s="18" t="n">
        <x:v>10857.26</x:v>
      </x:c>
    </x:row>
    <x:row r="344">
      <x:c r="A344" s="14" t="str">
        <x:v>店长</x:v>
      </x:c>
      <x:c r="B344" s="15" t="str">
        <x:v>樊永鹏</x:v>
      </x:c>
      <x:c r="C344" s="16" t="n">
        <x:v>46133</x:v>
      </x:c>
      <x:c r="D344" s="17" t="n">
        <x:v>931</x:v>
      </x:c>
      <x:c r="E344" s="17" t="n">
        <x:v>1614</x:v>
      </x:c>
      <x:c r="F344" s="18" t="n">
        <x:v>12963.66</x:v>
      </x:c>
    </x:row>
    <x:row r="345">
      <x:c r="A345" s="14" t="str">
        <x:v>店长</x:v>
      </x:c>
      <x:c r="B345" s="15" t="str">
        <x:v>樊永鹏</x:v>
      </x:c>
      <x:c r="C345" s="16" t="n">
        <x:v>46134</x:v>
      </x:c>
      <x:c r="D345" s="17" t="n">
        <x:v>764</x:v>
      </x:c>
      <x:c r="E345" s="17" t="n">
        <x:v>1857</x:v>
      </x:c>
      <x:c r="F345" s="18" t="n">
        <x:v>12972.56</x:v>
      </x:c>
    </x:row>
    <x:row r="346">
      <x:c r="A346" s="14" t="str">
        <x:v>店长</x:v>
      </x:c>
      <x:c r="B346" s="15" t="str">
        <x:v>樊永鹏</x:v>
      </x:c>
      <x:c r="C346" s="16" t="n">
        <x:v>46135</x:v>
      </x:c>
      <x:c r="D346" s="17" t="n">
        <x:v>1167</x:v>
      </x:c>
      <x:c r="E346" s="17" t="n">
        <x:v>2020</x:v>
      </x:c>
      <x:c r="F346" s="18" t="n">
        <x:v>15924.16</x:v>
      </x:c>
    </x:row>
    <x:row r="347">
      <x:c r="A347" s="14" t="str">
        <x:v>店长</x:v>
      </x:c>
      <x:c r="B347" s="15" t="str">
        <x:v>樊永鹏</x:v>
      </x:c>
      <x:c r="C347" s="16" t="n">
        <x:v>46136</x:v>
      </x:c>
      <x:c r="D347" s="17" t="n">
        <x:v>755</x:v>
      </x:c>
      <x:c r="E347" s="17" t="n">
        <x:v>1220</x:v>
      </x:c>
      <x:c r="F347" s="18" t="n">
        <x:v>10553.21</x:v>
      </x:c>
    </x:row>
    <x:row r="348">
      <x:c r="A348" s="14" t="str">
        <x:v>店长</x:v>
      </x:c>
      <x:c r="B348" s="15" t="str">
        <x:v>樊永鹏</x:v>
      </x:c>
      <x:c r="C348" s="16" t="n">
        <x:v>46137</x:v>
      </x:c>
      <x:c r="D348" s="17" t="n">
        <x:v>881</x:v>
      </x:c>
      <x:c r="E348" s="17" t="n">
        <x:v>1572</x:v>
      </x:c>
      <x:c r="F348" s="18" t="n">
        <x:v>13600.82</x:v>
      </x:c>
    </x:row>
    <x:row r="349">
      <x:c r="A349" s="14" t="str">
        <x:v>店长</x:v>
      </x:c>
      <x:c r="B349" s="15" t="str">
        <x:v>樊永鹏</x:v>
      </x:c>
      <x:c r="C349" s="16" t="n">
        <x:v>46138</x:v>
      </x:c>
      <x:c r="D349" s="17" t="n">
        <x:v>642</x:v>
      </x:c>
      <x:c r="E349" s="17" t="n">
        <x:v>1046</x:v>
      </x:c>
      <x:c r="F349" s="18" t="n">
        <x:v>9072.41</x:v>
      </x:c>
    </x:row>
    <x:row r="350">
      <x:c r="A350" s="14" t="str">
        <x:v>店长</x:v>
      </x:c>
      <x:c r="B350" s="15" t="str">
        <x:v>樊永鹏</x:v>
      </x:c>
      <x:c r="C350" s="16" t="n">
        <x:v>46139</x:v>
      </x:c>
      <x:c r="D350" s="17" t="n">
        <x:v>860</x:v>
      </x:c>
      <x:c r="E350" s="17" t="n">
        <x:v>1229</x:v>
      </x:c>
      <x:c r="F350" s="18" t="n">
        <x:v>11453.07</x:v>
      </x:c>
    </x:row>
    <x:row r="351">
      <x:c r="A351" s="14" t="str">
        <x:v>店长</x:v>
      </x:c>
      <x:c r="B351" s="15" t="str">
        <x:v>樊永鹏</x:v>
      </x:c>
      <x:c r="C351" s="16" t="n">
        <x:v>46140</x:v>
      </x:c>
      <x:c r="D351" s="17" t="n">
        <x:v>905</x:v>
      </x:c>
      <x:c r="E351" s="17" t="n">
        <x:v>2118</x:v>
      </x:c>
      <x:c r="F351" s="18" t="n">
        <x:v>17413.11</x:v>
      </x:c>
    </x:row>
    <x:row r="352">
      <x:c r="A352" s="14" t="str">
        <x:v>店长</x:v>
      </x:c>
      <x:c r="B352" s="15" t="str">
        <x:v>樊永鹏</x:v>
      </x:c>
      <x:c r="C352" s="16" t="n">
        <x:v>46141</x:v>
      </x:c>
      <x:c r="D352" s="17" t="n">
        <x:v>789</x:v>
      </x:c>
      <x:c r="E352" s="17" t="n">
        <x:v>1260</x:v>
      </x:c>
      <x:c r="F352" s="18" t="n">
        <x:v>11270.54</x:v>
      </x:c>
    </x:row>
    <x:row r="353">
      <x:c r="A353" s="14" t="str">
        <x:v>店长</x:v>
      </x:c>
      <x:c r="B353" s="15" t="str">
        <x:v>樊永鹏</x:v>
      </x:c>
      <x:c r="C353" s="16" t="n">
        <x:v>46142</x:v>
      </x:c>
      <x:c r="D353" s="17" t="n">
        <x:v>662</x:v>
      </x:c>
      <x:c r="E353" s="17" t="n">
        <x:v>1239</x:v>
      </x:c>
      <x:c r="F353" s="18" t="n">
        <x:v>11842.98</x:v>
      </x:c>
    </x:row>
    <x:row r="354">
      <x:c r="A354" s="14" t="str">
        <x:v>店长</x:v>
      </x:c>
      <x:c r="B354" s="15" t="str">
        <x:v>樊永鹏</x:v>
      </x:c>
      <x:c r="C354" s="16" t="n">
        <x:v>46143</x:v>
      </x:c>
      <x:c r="D354" s="17" t="n">
        <x:v>1112</x:v>
      </x:c>
      <x:c r="E354" s="17" t="n">
        <x:v>2438</x:v>
      </x:c>
      <x:c r="F354" s="18" t="n">
        <x:v>20940.07</x:v>
      </x:c>
    </x:row>
    <x:row r="355">
      <x:c r="A355" s="14" t="str">
        <x:v>店长</x:v>
      </x:c>
      <x:c r="B355" s="15" t="str">
        <x:v>樊永鹏</x:v>
      </x:c>
      <x:c r="C355" s="16" t="n">
        <x:v>46144</x:v>
      </x:c>
      <x:c r="D355" s="17" t="n">
        <x:v>1000</x:v>
      </x:c>
      <x:c r="E355" s="17" t="n">
        <x:v>1667</x:v>
      </x:c>
      <x:c r="F355" s="18" t="n">
        <x:v>14270.02</x:v>
      </x:c>
    </x:row>
    <x:row r="356">
      <x:c r="A356" s="14" t="str">
        <x:v>店长</x:v>
      </x:c>
      <x:c r="B356" s="15" t="str">
        <x:v>樊永鹏</x:v>
      </x:c>
      <x:c r="C356" s="16" t="n">
        <x:v>46145</x:v>
      </x:c>
      <x:c r="D356" s="17" t="n">
        <x:v>798</x:v>
      </x:c>
      <x:c r="E356" s="17" t="n">
        <x:v>1249</x:v>
      </x:c>
      <x:c r="F356" s="18" t="n">
        <x:v>10802.83</x:v>
      </x:c>
    </x:row>
    <x:row r="357">
      <x:c r="A357" s="14" t="str">
        <x:v>店长</x:v>
      </x:c>
      <x:c r="B357" s="15" t="str">
        <x:v>樊永鹏</x:v>
      </x:c>
      <x:c r="C357" s="16" t="n">
        <x:v>46146</x:v>
      </x:c>
      <x:c r="D357" s="17" t="n">
        <x:v>725</x:v>
      </x:c>
      <x:c r="E357" s="17" t="n">
        <x:v>1180</x:v>
      </x:c>
      <x:c r="F357" s="18" t="n">
        <x:v>9575.89</x:v>
      </x:c>
    </x:row>
    <x:row r="358">
      <x:c r="A358" s="14" t="str">
        <x:v>店长</x:v>
      </x:c>
      <x:c r="B358" s="15" t="str">
        <x:v>樊永鹏</x:v>
      </x:c>
      <x:c r="C358" s="16" t="n">
        <x:v>46147</x:v>
      </x:c>
      <x:c r="D358" s="17" t="n">
        <x:v>986</x:v>
      </x:c>
      <x:c r="E358" s="17" t="n">
        <x:v>1758</x:v>
      </x:c>
      <x:c r="F358" s="18" t="n">
        <x:v>15791.35</x:v>
      </x:c>
    </x:row>
    <x:row r="359">
      <x:c r="A359" s="14" t="str">
        <x:v>店长</x:v>
      </x:c>
      <x:c r="B359" s="15" t="str">
        <x:v>樊永鹏</x:v>
      </x:c>
      <x:c r="C359" s="16" t="n">
        <x:v>46148</x:v>
      </x:c>
      <x:c r="D359" s="17" t="n">
        <x:v>1072</x:v>
      </x:c>
      <x:c r="E359" s="17" t="n">
        <x:v>1731</x:v>
      </x:c>
      <x:c r="F359" s="18" t="n">
        <x:v>14769.46</x:v>
      </x:c>
    </x:row>
    <x:row r="360">
      <x:c r="A360" s="14" t="str">
        <x:v>店长</x:v>
      </x:c>
      <x:c r="B360" s="15" t="str">
        <x:v>樊永鹏</x:v>
      </x:c>
      <x:c r="C360" s="16" t="n">
        <x:v>46149</x:v>
      </x:c>
      <x:c r="D360" s="17" t="n">
        <x:v>892</x:v>
      </x:c>
      <x:c r="E360" s="17" t="n">
        <x:v>1427</x:v>
      </x:c>
      <x:c r="F360" s="18" t="n">
        <x:v>12237.27</x:v>
      </x:c>
    </x:row>
    <x:row r="361">
      <x:c r="A361" s="14" t="str">
        <x:v>店长</x:v>
      </x:c>
      <x:c r="B361" s="15" t="str">
        <x:v>樊永鹏</x:v>
      </x:c>
      <x:c r="C361" s="16" t="n">
        <x:v>46150</x:v>
      </x:c>
      <x:c r="D361" s="17" t="n">
        <x:v>856</x:v>
      </x:c>
      <x:c r="E361" s="17" t="n">
        <x:v>1717</x:v>
      </x:c>
      <x:c r="F361" s="18" t="n">
        <x:v>13583.99</x:v>
      </x:c>
    </x:row>
    <x:row r="362">
      <x:c r="A362" s="14" t="str">
        <x:v>店长</x:v>
      </x:c>
      <x:c r="B362" s="15" t="str">
        <x:v>樊永鹏</x:v>
      </x:c>
      <x:c r="C362" s="16" t="n">
        <x:v>46151</x:v>
      </x:c>
      <x:c r="D362" s="17" t="n">
        <x:v>750</x:v>
      </x:c>
      <x:c r="E362" s="17" t="n">
        <x:v>1233</x:v>
      </x:c>
      <x:c r="F362" s="18" t="n">
        <x:v>11219.88</x:v>
      </x:c>
    </x:row>
    <x:row r="363">
      <x:c r="A363" s="14" t="str">
        <x:v>店长</x:v>
      </x:c>
      <x:c r="B363" s="15" t="str">
        <x:v>樊永鹏</x:v>
      </x:c>
      <x:c r="C363" s="16" t="n">
        <x:v>46152</x:v>
      </x:c>
      <x:c r="D363" s="17" t="n">
        <x:v>527</x:v>
      </x:c>
      <x:c r="E363" s="17" t="n">
        <x:v>773</x:v>
      </x:c>
      <x:c r="F363" s="18" t="n">
        <x:v>6985.52</x:v>
      </x:c>
    </x:row>
    <x:row r="364">
      <x:c r="A364" s="14" t="str">
        <x:v>店长</x:v>
      </x:c>
      <x:c r="B364" s="15" t="str">
        <x:v>樊永鹏</x:v>
      </x:c>
      <x:c r="C364" s="16" t="n">
        <x:v>46153</x:v>
      </x:c>
      <x:c r="D364" s="17" t="n">
        <x:v>611</x:v>
      </x:c>
      <x:c r="E364" s="17" t="n">
        <x:v>889</x:v>
      </x:c>
      <x:c r="F364" s="18" t="n">
        <x:v>8703.17</x:v>
      </x:c>
    </x:row>
    <x:row r="365">
      <x:c r="A365" s="14" t="str">
        <x:v>店长</x:v>
      </x:c>
      <x:c r="B365" s="15" t="str">
        <x:v>樊永鹏</x:v>
      </x:c>
      <x:c r="C365" s="16" t="n">
        <x:v>46154</x:v>
      </x:c>
      <x:c r="D365" s="17" t="n">
        <x:v>483</x:v>
      </x:c>
      <x:c r="E365" s="17" t="n">
        <x:v>738</x:v>
      </x:c>
      <x:c r="F365" s="18" t="n">
        <x:v>6789.72</x:v>
      </x:c>
    </x:row>
    <x:row r="366">
      <x:c r="A366" s="14" t="str">
        <x:v>店长</x:v>
      </x:c>
      <x:c r="B366" s="15" t="str">
        <x:v>樊永鹏</x:v>
      </x:c>
      <x:c r="C366" s="16" t="n">
        <x:v>46155</x:v>
      </x:c>
      <x:c r="D366" s="17" t="n">
        <x:v>607</x:v>
      </x:c>
      <x:c r="E366" s="17" t="n">
        <x:v>904</x:v>
      </x:c>
      <x:c r="F366" s="18" t="n">
        <x:v>7923.87</x:v>
      </x:c>
    </x:row>
    <x:row r="367">
      <x:c r="A367" s="14" t="str">
        <x:v>店长</x:v>
      </x:c>
      <x:c r="B367" s="15" t="str">
        <x:v>樊永鹏</x:v>
      </x:c>
      <x:c r="C367" s="16" t="n">
        <x:v>46156</x:v>
      </x:c>
      <x:c r="D367" s="17" t="n">
        <x:v>625</x:v>
      </x:c>
      <x:c r="E367" s="17" t="n">
        <x:v>922</x:v>
      </x:c>
      <x:c r="F367" s="18" t="n">
        <x:v>8376.19</x:v>
      </x:c>
    </x:row>
    <x:row r="368">
      <x:c r="A368" s="14" t="str">
        <x:v>店长</x:v>
      </x:c>
      <x:c r="B368" s="15" t="str">
        <x:v>樊永鹏</x:v>
      </x:c>
      <x:c r="C368" s="16" t="n">
        <x:v>46157</x:v>
      </x:c>
      <x:c r="D368" s="17" t="n">
        <x:v>627</x:v>
      </x:c>
      <x:c r="E368" s="17" t="n">
        <x:v>987</x:v>
      </x:c>
      <x:c r="F368" s="18" t="n">
        <x:v>8904.22</x:v>
      </x:c>
    </x:row>
    <x:row r="369">
      <x:c r="A369" s="14" t="str">
        <x:v>店长</x:v>
      </x:c>
      <x:c r="B369" s="15" t="str">
        <x:v>樊永鹏</x:v>
      </x:c>
      <x:c r="C369" s="16" t="n">
        <x:v>46158</x:v>
      </x:c>
      <x:c r="D369" s="17" t="n">
        <x:v>620</x:v>
      </x:c>
      <x:c r="E369" s="17" t="n">
        <x:v>859</x:v>
      </x:c>
      <x:c r="F369" s="18" t="n">
        <x:v>8607.99</x:v>
      </x:c>
    </x:row>
    <x:row r="370">
      <x:c r="A370" s="14" t="str">
        <x:v>店长</x:v>
      </x:c>
      <x:c r="B370" s="15" t="str">
        <x:v>樊永鹏</x:v>
      </x:c>
      <x:c r="C370" s="16" t="n">
        <x:v>46159</x:v>
      </x:c>
      <x:c r="D370" s="17" t="n">
        <x:v>727</x:v>
      </x:c>
      <x:c r="E370" s="17" t="n">
        <x:v>1151</x:v>
      </x:c>
      <x:c r="F370" s="18" t="n">
        <x:v>10385.24</x:v>
      </x:c>
    </x:row>
    <x:row r="371">
      <x:c r="A371" s="14" t="str">
        <x:v>店长</x:v>
      </x:c>
      <x:c r="B371" s="15" t="str">
        <x:v>樊永鹏</x:v>
      </x:c>
      <x:c r="C371" s="16" t="n">
        <x:v>46160</x:v>
      </x:c>
      <x:c r="D371" s="17" t="n">
        <x:v>550</x:v>
      </x:c>
      <x:c r="E371" s="17" t="n">
        <x:v>798</x:v>
      </x:c>
      <x:c r="F371" s="18" t="n">
        <x:v>7894.13</x:v>
      </x:c>
    </x:row>
    <x:row r="372">
      <x:c r="A372" s="14" t="str">
        <x:v>店长</x:v>
      </x:c>
      <x:c r="B372" s="15" t="str">
        <x:v>樊永鹏</x:v>
      </x:c>
      <x:c r="C372" s="16" t="n">
        <x:v>46161</x:v>
      </x:c>
      <x:c r="D372" s="17" t="n">
        <x:v>601</x:v>
      </x:c>
      <x:c r="E372" s="17" t="n">
        <x:v>852</x:v>
      </x:c>
      <x:c r="F372" s="18" t="n">
        <x:v>8343.66</x:v>
      </x:c>
    </x:row>
    <x:row r="373">
      <x:c r="A373" s="14" t="str">
        <x:v>店长</x:v>
      </x:c>
      <x:c r="B373" s="15" t="str">
        <x:v>樊永鹏</x:v>
      </x:c>
      <x:c r="C373" s="16" t="n">
        <x:v>46162</x:v>
      </x:c>
      <x:c r="D373" s="17" t="n">
        <x:v>565</x:v>
      </x:c>
      <x:c r="E373" s="17" t="n">
        <x:v>1163</x:v>
      </x:c>
      <x:c r="F373" s="18" t="n">
        <x:v>9759.53</x:v>
      </x:c>
    </x:row>
    <x:row r="374">
      <x:c r="A374" s="14" t="str">
        <x:v>店长</x:v>
      </x:c>
      <x:c r="B374" s="15" t="str">
        <x:v>樊永鹏</x:v>
      </x:c>
      <x:c r="C374" s="16" t="n">
        <x:v>46163</x:v>
      </x:c>
      <x:c r="D374" s="17" t="n">
        <x:v>606</x:v>
      </x:c>
      <x:c r="E374" s="17" t="n">
        <x:v>884</x:v>
      </x:c>
      <x:c r="F374" s="18" t="n">
        <x:v>8282.21</x:v>
      </x:c>
    </x:row>
    <x:row r="375">
      <x:c r="A375" s="14" t="str">
        <x:v>店长</x:v>
      </x:c>
      <x:c r="B375" s="15" t="str">
        <x:v>樊永鹏</x:v>
      </x:c>
      <x:c r="C375" s="16" t="n">
        <x:v>46164</x:v>
      </x:c>
      <x:c r="D375" s="17" t="n">
        <x:v>637</x:v>
      </x:c>
      <x:c r="E375" s="17" t="n">
        <x:v>977</x:v>
      </x:c>
      <x:c r="F375" s="18" t="n">
        <x:v>8664.45</x:v>
      </x:c>
    </x:row>
    <x:row r="376">
      <x:c r="A376" s="14" t="str">
        <x:v>店长</x:v>
      </x:c>
      <x:c r="B376" s="15" t="str">
        <x:v>樊永鹏</x:v>
      </x:c>
      <x:c r="C376" s="16" t="n">
        <x:v>46165</x:v>
      </x:c>
      <x:c r="D376" s="17" t="n">
        <x:v>688</x:v>
      </x:c>
      <x:c r="E376" s="17" t="n">
        <x:v>991</x:v>
      </x:c>
      <x:c r="F376" s="18" t="n">
        <x:v>9161.43</x:v>
      </x:c>
    </x:row>
    <x:row r="377">
      <x:c r="A377" s="14" t="str">
        <x:v>店长</x:v>
      </x:c>
      <x:c r="B377" s="15" t="str">
        <x:v>樊永鹏</x:v>
      </x:c>
      <x:c r="C377" s="16" t="n">
        <x:v>46166</x:v>
      </x:c>
      <x:c r="D377" s="17" t="n">
        <x:v>560</x:v>
      </x:c>
      <x:c r="E377" s="17" t="n">
        <x:v>817</x:v>
      </x:c>
      <x:c r="F377" s="18" t="n">
        <x:v>7708.05</x:v>
      </x:c>
    </x:row>
    <x:row r="378">
      <x:c r="A378" s="14" t="str">
        <x:v>店长</x:v>
      </x:c>
      <x:c r="B378" s="15" t="str">
        <x:v>樊永鹏</x:v>
      </x:c>
      <x:c r="C378" s="16" t="n">
        <x:v>46167</x:v>
      </x:c>
      <x:c r="D378" s="17" t="n">
        <x:v>676</x:v>
      </x:c>
      <x:c r="E378" s="17" t="n">
        <x:v>963</x:v>
      </x:c>
      <x:c r="F378" s="18" t="n">
        <x:v>9301.1</x:v>
      </x:c>
    </x:row>
    <x:row r="379">
      <x:c r="A379" s="14" t="str">
        <x:v>店长</x:v>
      </x:c>
      <x:c r="B379" s="15" t="str">
        <x:v>樊永鹏</x:v>
      </x:c>
      <x:c r="C379" s="16" t="n">
        <x:v>46168</x:v>
      </x:c>
      <x:c r="D379" s="17" t="n">
        <x:v>653</x:v>
      </x:c>
      <x:c r="E379" s="17" t="n">
        <x:v>1426</x:v>
      </x:c>
      <x:c r="F379" s="18" t="n">
        <x:v>12067.03</x:v>
      </x:c>
    </x:row>
    <x:row r="380">
      <x:c r="A380" s="14" t="str">
        <x:v>店长</x:v>
      </x:c>
      <x:c r="B380" s="15" t="str">
        <x:v>樊永鹏</x:v>
      </x:c>
      <x:c r="C380" s="16" t="n">
        <x:v>46169</x:v>
      </x:c>
      <x:c r="D380" s="17" t="n">
        <x:v>479</x:v>
      </x:c>
      <x:c r="E380" s="17" t="n">
        <x:v>716</x:v>
      </x:c>
      <x:c r="F380" s="18" t="n">
        <x:v>6885.82</x:v>
      </x:c>
    </x:row>
    <x:row r="381">
      <x:c r="A381" s="14" t="str">
        <x:v>店长</x:v>
      </x:c>
      <x:c r="B381" s="15" t="str">
        <x:v>樊永鹏</x:v>
      </x:c>
      <x:c r="C381" s="16" t="n">
        <x:v>46170</x:v>
      </x:c>
      <x:c r="D381" s="17" t="n">
        <x:v>586</x:v>
      </x:c>
      <x:c r="E381" s="17" t="n">
        <x:v>864</x:v>
      </x:c>
      <x:c r="F381" s="18" t="n">
        <x:v>8434.03</x:v>
      </x:c>
    </x:row>
    <x:row r="382">
      <x:c r="A382" s="14" t="str">
        <x:v>店长</x:v>
      </x:c>
      <x:c r="B382" s="15" t="str">
        <x:v>樊永鹏</x:v>
      </x:c>
      <x:c r="C382" s="16" t="n">
        <x:v>46171</x:v>
      </x:c>
      <x:c r="D382" s="17" t="n">
        <x:v>654</x:v>
      </x:c>
      <x:c r="E382" s="17" t="n">
        <x:v>971</x:v>
      </x:c>
      <x:c r="F382" s="18" t="n">
        <x:v>9493.46</x:v>
      </x:c>
    </x:row>
    <x:row r="383">
      <x:c r="A383" s="14" t="str">
        <x:v>店长</x:v>
      </x:c>
      <x:c r="B383" s="15" t="str">
        <x:v>樊永鹏</x:v>
      </x:c>
      <x:c r="C383" s="16" t="n">
        <x:v>46172</x:v>
      </x:c>
      <x:c r="D383" s="17" t="n">
        <x:v>668</x:v>
      </x:c>
      <x:c r="E383" s="17" t="n">
        <x:v>999</x:v>
      </x:c>
      <x:c r="F383" s="18" t="n">
        <x:v>9405.06</x:v>
      </x:c>
    </x:row>
    <x:row r="384">
      <x:c r="A384" s="14" t="str">
        <x:v>店长</x:v>
      </x:c>
      <x:c r="B384" s="15" t="str">
        <x:v>樊永鹏</x:v>
      </x:c>
      <x:c r="C384" s="16" t="n">
        <x:v>46173</x:v>
      </x:c>
      <x:c r="D384" s="17" t="n">
        <x:v>628</x:v>
      </x:c>
      <x:c r="E384" s="17" t="n">
        <x:v>920</x:v>
      </x:c>
      <x:c r="F384" s="18" t="n">
        <x:v>8683.08</x:v>
      </x:c>
    </x:row>
    <x:row r="385">
      <x:c r="A385" s="14" t="str">
        <x:v>店长</x:v>
      </x:c>
      <x:c r="B385" s="15" t="str">
        <x:v>樊永鹏</x:v>
      </x:c>
      <x:c r="C385" s="16" t="n">
        <x:v>46174</x:v>
      </x:c>
      <x:c r="D385" s="17" t="n">
        <x:v>819</x:v>
      </x:c>
      <x:c r="E385" s="17" t="n">
        <x:v>1193</x:v>
      </x:c>
      <x:c r="F385" s="18" t="n">
        <x:v>11388.12</x:v>
      </x:c>
    </x:row>
    <x:row r="386">
      <x:c r="A386" s="14" t="str">
        <x:v>店长</x:v>
      </x:c>
      <x:c r="B386" s="15" t="str">
        <x:v>樊永鹏</x:v>
      </x:c>
      <x:c r="C386" s="16" t="n">
        <x:v>46175</x:v>
      </x:c>
      <x:c r="D386" s="17" t="n">
        <x:v>886</x:v>
      </x:c>
      <x:c r="E386" s="17" t="n">
        <x:v>1255</x:v>
      </x:c>
      <x:c r="F386" s="18" t="n">
        <x:v>11848.74</x:v>
      </x:c>
    </x:row>
    <x:row r="387">
      <x:c r="A387" s="14" t="str">
        <x:v>店长</x:v>
      </x:c>
      <x:c r="B387" s="15" t="str">
        <x:v>樊永鹏</x:v>
      </x:c>
      <x:c r="C387" s="16" t="n">
        <x:v>46176</x:v>
      </x:c>
      <x:c r="D387" s="17" t="n">
        <x:v>778</x:v>
      </x:c>
      <x:c r="E387" s="17" t="n">
        <x:v>1153</x:v>
      </x:c>
      <x:c r="F387" s="18" t="n">
        <x:v>10802.81</x:v>
      </x:c>
    </x:row>
    <x:row r="388">
      <x:c r="A388" s="14" t="str">
        <x:v>店长</x:v>
      </x:c>
      <x:c r="B388" s="15" t="str">
        <x:v>樊永鹏</x:v>
      </x:c>
      <x:c r="C388" s="16" t="n">
        <x:v>46177</x:v>
      </x:c>
      <x:c r="D388" s="17" t="n">
        <x:v>1127</x:v>
      </x:c>
      <x:c r="E388" s="17" t="n">
        <x:v>1537</x:v>
      </x:c>
      <x:c r="F388" s="18" t="n">
        <x:v>15663.36</x:v>
      </x:c>
    </x:row>
    <x:row r="389">
      <x:c r="A389" s="14" t="str">
        <x:v>店长</x:v>
      </x:c>
      <x:c r="B389" s="15" t="str">
        <x:v>樊永鹏</x:v>
      </x:c>
      <x:c r="C389" s="16" t="n">
        <x:v>46178</x:v>
      </x:c>
      <x:c r="D389" s="17" t="n">
        <x:v>863</x:v>
      </x:c>
      <x:c r="E389" s="17" t="n">
        <x:v>1297</x:v>
      </x:c>
      <x:c r="F389" s="18" t="n">
        <x:v>12272.78</x:v>
      </x:c>
    </x:row>
    <x:row r="390">
      <x:c r="A390" s="14" t="str">
        <x:v>店长</x:v>
      </x:c>
      <x:c r="B390" s="15" t="str">
        <x:v>樊永鹏</x:v>
      </x:c>
      <x:c r="C390" s="16" t="n">
        <x:v>46179</x:v>
      </x:c>
      <x:c r="D390" s="17" t="n">
        <x:v>975</x:v>
      </x:c>
      <x:c r="E390" s="17" t="n">
        <x:v>1365</x:v>
      </x:c>
      <x:c r="F390" s="18" t="n">
        <x:v>13614.45</x:v>
      </x:c>
    </x:row>
    <x:row r="391">
      <x:c r="A391" s="14" t="str">
        <x:v>店长</x:v>
      </x:c>
      <x:c r="B391" s="15" t="str">
        <x:v>樊永鹏</x:v>
      </x:c>
      <x:c r="C391" s="16" t="n">
        <x:v>46180</x:v>
      </x:c>
      <x:c r="D391" s="17" t="n">
        <x:v>991</x:v>
      </x:c>
      <x:c r="E391" s="17" t="n">
        <x:v>1527</x:v>
      </x:c>
      <x:c r="F391" s="18" t="n">
        <x:v>14499.64</x:v>
      </x:c>
    </x:row>
    <x:row r="392">
      <x:c r="A392" s="14" t="str">
        <x:v>店长</x:v>
      </x:c>
      <x:c r="B392" s="15" t="str">
        <x:v>樊永鹏</x:v>
      </x:c>
      <x:c r="C392" s="16" t="n">
        <x:v>46181</x:v>
      </x:c>
      <x:c r="D392" s="17" t="n">
        <x:v>857</x:v>
      </x:c>
      <x:c r="E392" s="17" t="n">
        <x:v>1292</x:v>
      </x:c>
      <x:c r="F392" s="18" t="n">
        <x:v>11948.5</x:v>
      </x:c>
    </x:row>
    <x:row r="393">
      <x:c r="A393" s="14" t="str">
        <x:v>店长</x:v>
      </x:c>
      <x:c r="B393" s="15" t="str">
        <x:v>樊永鹏</x:v>
      </x:c>
      <x:c r="C393" s="16" t="n">
        <x:v>46182</x:v>
      </x:c>
      <x:c r="D393" s="17" t="n">
        <x:v>1052</x:v>
      </x:c>
      <x:c r="E393" s="17" t="n">
        <x:v>1606</x:v>
      </x:c>
      <x:c r="F393" s="18" t="n">
        <x:v>15268.08</x:v>
      </x:c>
    </x:row>
    <x:row r="394">
      <x:c r="A394" s="14" t="str">
        <x:v>店长</x:v>
      </x:c>
      <x:c r="B394" s="15" t="str">
        <x:v>樊永鹏</x:v>
      </x:c>
      <x:c r="C394" s="16" t="n">
        <x:v>46183</x:v>
      </x:c>
      <x:c r="D394" s="17" t="n">
        <x:v>978</x:v>
      </x:c>
      <x:c r="E394" s="17" t="n">
        <x:v>1540</x:v>
      </x:c>
      <x:c r="F394" s="18" t="n">
        <x:v>14007.58</x:v>
      </x:c>
    </x:row>
    <x:row r="395">
      <x:c r="A395" s="14" t="str">
        <x:v>店长</x:v>
      </x:c>
      <x:c r="B395" s="15" t="str">
        <x:v>樊永鹏</x:v>
      </x:c>
      <x:c r="C395" s="16" t="n">
        <x:v>46184</x:v>
      </x:c>
      <x:c r="D395" s="17" t="n">
        <x:v>934</x:v>
      </x:c>
      <x:c r="E395" s="17" t="n">
        <x:v>1480</x:v>
      </x:c>
      <x:c r="F395" s="18" t="n">
        <x:v>13528.86</x:v>
      </x:c>
    </x:row>
    <x:row r="396">
      <x:c r="A396" s="14" t="str">
        <x:v>店长</x:v>
      </x:c>
      <x:c r="B396" s="15" t="str">
        <x:v>樊永鹏</x:v>
      </x:c>
      <x:c r="C396" s="16" t="n">
        <x:v>46185</x:v>
      </x:c>
      <x:c r="D396" s="17" t="n">
        <x:v>1146</x:v>
      </x:c>
      <x:c r="E396" s="17" t="n">
        <x:v>1767</x:v>
      </x:c>
      <x:c r="F396" s="18" t="n">
        <x:v>16200.6</x:v>
      </x:c>
    </x:row>
    <x:row r="397">
      <x:c r="A397" s="14" t="str">
        <x:v>店长</x:v>
      </x:c>
      <x:c r="B397" s="15" t="str">
        <x:v>樊永鹏</x:v>
      </x:c>
      <x:c r="C397" s="16" t="n">
        <x:v>46186</x:v>
      </x:c>
      <x:c r="D397" s="17" t="n">
        <x:v>1118</x:v>
      </x:c>
      <x:c r="E397" s="17" t="n">
        <x:v>1783</x:v>
      </x:c>
      <x:c r="F397" s="18" t="n">
        <x:v>15379.02</x:v>
      </x:c>
    </x:row>
    <x:row r="398">
      <x:c r="A398" s="14" t="str">
        <x:v>店长</x:v>
      </x:c>
      <x:c r="B398" s="15" t="str">
        <x:v>樊永鹏</x:v>
      </x:c>
      <x:c r="C398" s="16" t="n">
        <x:v>46187</x:v>
      </x:c>
      <x:c r="D398" s="17" t="n">
        <x:v>1020</x:v>
      </x:c>
      <x:c r="E398" s="17" t="n">
        <x:v>1610</x:v>
      </x:c>
      <x:c r="F398" s="18" t="n">
        <x:v>13782.24</x:v>
      </x:c>
    </x:row>
    <x:row r="399">
      <x:c r="A399" s="14" t="str">
        <x:v>店长</x:v>
      </x:c>
      <x:c r="B399" s="15" t="str">
        <x:v>樊永鹏</x:v>
      </x:c>
      <x:c r="C399" s="16" t="n">
        <x:v>46188</x:v>
      </x:c>
      <x:c r="D399" s="17" t="n">
        <x:v>1099</x:v>
      </x:c>
      <x:c r="E399" s="17" t="n">
        <x:v>1695</x:v>
      </x:c>
      <x:c r="F399" s="18" t="n">
        <x:v>15050.87</x:v>
      </x:c>
    </x:row>
    <x:row r="400">
      <x:c r="A400" s="14" t="str">
        <x:v>店长</x:v>
      </x:c>
      <x:c r="B400" s="15" t="str">
        <x:v>樊永鹏</x:v>
      </x:c>
      <x:c r="C400" s="16" t="n">
        <x:v>46189</x:v>
      </x:c>
      <x:c r="D400" s="17" t="n">
        <x:v>1109</x:v>
      </x:c>
      <x:c r="E400" s="17" t="n">
        <x:v>1721</x:v>
      </x:c>
      <x:c r="F400" s="18" t="n">
        <x:v>14943.31</x:v>
      </x:c>
    </x:row>
    <x:row r="401">
      <x:c r="A401" s="14" t="str">
        <x:v>店长</x:v>
      </x:c>
      <x:c r="B401" s="15" t="str">
        <x:v>樊永鹏</x:v>
      </x:c>
      <x:c r="C401" s="16" t="n">
        <x:v>46190</x:v>
      </x:c>
      <x:c r="D401" s="17" t="n">
        <x:v>1018</x:v>
      </x:c>
      <x:c r="E401" s="17" t="n">
        <x:v>1641</x:v>
      </x:c>
      <x:c r="F401" s="18" t="n">
        <x:v>14481.67</x:v>
      </x:c>
    </x:row>
    <x:row r="402">
      <x:c r="A402" s="14" t="str">
        <x:v>店长</x:v>
      </x:c>
      <x:c r="B402" s="15" t="str">
        <x:v>樊永鹏</x:v>
      </x:c>
      <x:c r="C402" s="16" t="n">
        <x:v>46191</x:v>
      </x:c>
      <x:c r="D402" s="17" t="n">
        <x:v>1060</x:v>
      </x:c>
      <x:c r="E402" s="17" t="n">
        <x:v>1706</x:v>
      </x:c>
      <x:c r="F402" s="18" t="n">
        <x:v>14703.72</x:v>
      </x:c>
    </x:row>
    <x:row r="403">
      <x:c r="A403" s="14" t="str">
        <x:v>店长</x:v>
      </x:c>
      <x:c r="B403" s="15" t="str">
        <x:v>樊永鹏</x:v>
      </x:c>
      <x:c r="C403" s="16" t="n">
        <x:v>46192</x:v>
      </x:c>
      <x:c r="D403" s="17" t="n">
        <x:v>1006</x:v>
      </x:c>
      <x:c r="E403" s="17" t="n">
        <x:v>1675</x:v>
      </x:c>
      <x:c r="F403" s="18" t="n">
        <x:v>14657.09</x:v>
      </x:c>
    </x:row>
    <x:row r="404">
      <x:c r="A404" s="14" t="str">
        <x:v>店长</x:v>
      </x:c>
      <x:c r="B404" s="15" t="str">
        <x:v>樊永鹏</x:v>
      </x:c>
      <x:c r="C404" s="16" t="n">
        <x:v>46193</x:v>
      </x:c>
      <x:c r="D404" s="17" t="n">
        <x:v>822</x:v>
      </x:c>
      <x:c r="E404" s="17" t="n">
        <x:v>1325</x:v>
      </x:c>
      <x:c r="F404" s="18" t="n">
        <x:v>11710.54</x:v>
      </x:c>
    </x:row>
    <x:row r="405">
      <x:c r="A405" s="14" t="str">
        <x:v>店长</x:v>
      </x:c>
      <x:c r="B405" s="15" t="str">
        <x:v>樊永鹏</x:v>
      </x:c>
      <x:c r="C405" s="16" t="n">
        <x:v>46194</x:v>
      </x:c>
      <x:c r="D405" s="17" t="n">
        <x:v>937</x:v>
      </x:c>
      <x:c r="E405" s="17" t="n">
        <x:v>1579</x:v>
      </x:c>
      <x:c r="F405" s="18" t="n">
        <x:v>13687.29</x:v>
      </x:c>
    </x:row>
    <x:row r="406">
      <x:c r="A406" s="14" t="str">
        <x:v>店长</x:v>
      </x:c>
      <x:c r="B406" s="15" t="str">
        <x:v>樊永鹏</x:v>
      </x:c>
      <x:c r="C406" s="16" t="n">
        <x:v>46195</x:v>
      </x:c>
      <x:c r="D406" s="17" t="n">
        <x:v>852</x:v>
      </x:c>
      <x:c r="E406" s="17" t="n">
        <x:v>1390</x:v>
      </x:c>
      <x:c r="F406" s="18" t="n">
        <x:v>12644.62</x:v>
      </x:c>
    </x:row>
    <x:row r="407">
      <x:c r="A407" s="14" t="str">
        <x:v>店长</x:v>
      </x:c>
      <x:c r="B407" s="15" t="str">
        <x:v>樊永鹏</x:v>
      </x:c>
      <x:c r="C407" s="16" t="n">
        <x:v>46196</x:v>
      </x:c>
      <x:c r="D407" s="17" t="n">
        <x:v>748</x:v>
      </x:c>
      <x:c r="E407" s="17" t="n">
        <x:v>1303</x:v>
      </x:c>
      <x:c r="F407" s="18" t="n">
        <x:v>11644.36</x:v>
      </x:c>
    </x:row>
    <x:row r="408">
      <x:c r="A408" s="14" t="str">
        <x:v>店长</x:v>
      </x:c>
      <x:c r="B408" s="15" t="str">
        <x:v>樊永鹏</x:v>
      </x:c>
      <x:c r="C408" s="16" t="n">
        <x:v>46197</x:v>
      </x:c>
      <x:c r="D408" s="17" t="n">
        <x:v>791</x:v>
      </x:c>
      <x:c r="E408" s="17" t="n">
        <x:v>1331</x:v>
      </x:c>
      <x:c r="F408" s="18" t="n">
        <x:v>11853.28</x:v>
      </x:c>
    </x:row>
    <x:row r="409">
      <x:c r="A409" s="14" t="str">
        <x:v>店长</x:v>
      </x:c>
      <x:c r="B409" s="15" t="str">
        <x:v>樊永鹏</x:v>
      </x:c>
      <x:c r="C409" s="16" t="n">
        <x:v>46198</x:v>
      </x:c>
      <x:c r="D409" s="17" t="n">
        <x:v>676</x:v>
      </x:c>
      <x:c r="E409" s="17" t="n">
        <x:v>1153</x:v>
      </x:c>
      <x:c r="F409" s="18" t="n">
        <x:v>9880.59</x:v>
      </x:c>
    </x:row>
    <x:row r="410">
      <x:c r="A410" s="14" t="str">
        <x:v>店长</x:v>
      </x:c>
      <x:c r="B410" s="15" t="str">
        <x:v>樊永鹏</x:v>
      </x:c>
      <x:c r="C410" s="16" t="n">
        <x:v>46199</x:v>
      </x:c>
      <x:c r="D410" s="17" t="n">
        <x:v>807</x:v>
      </x:c>
      <x:c r="E410" s="17" t="n">
        <x:v>1331</x:v>
      </x:c>
      <x:c r="F410" s="18" t="n">
        <x:v>11744</x:v>
      </x:c>
    </x:row>
    <x:row r="411">
      <x:c r="A411" s="14" t="str">
        <x:v>店长</x:v>
      </x:c>
      <x:c r="B411" s="15" t="str">
        <x:v>樊永鹏</x:v>
      </x:c>
      <x:c r="C411" s="16" t="n">
        <x:v>46200</x:v>
      </x:c>
      <x:c r="D411" s="17" t="n">
        <x:v>711</x:v>
      </x:c>
      <x:c r="E411" s="17" t="n">
        <x:v>1237</x:v>
      </x:c>
      <x:c r="F411" s="18" t="n">
        <x:v>10379.96</x:v>
      </x:c>
    </x:row>
    <x:row r="412">
      <x:c r="A412" s="14" t="str">
        <x:v>店长</x:v>
      </x:c>
      <x:c r="B412" s="15" t="str">
        <x:v>樊永鹏</x:v>
      </x:c>
      <x:c r="C412" s="16" t="n">
        <x:v>46201</x:v>
      </x:c>
      <x:c r="D412" s="17" t="n">
        <x:v>626</x:v>
      </x:c>
      <x:c r="E412" s="17" t="n">
        <x:v>1041</x:v>
      </x:c>
      <x:c r="F412" s="18" t="n">
        <x:v>8800.03</x:v>
      </x:c>
    </x:row>
    <x:row r="413">
      <x:c r="A413" s="14" t="str">
        <x:v>店长</x:v>
      </x:c>
      <x:c r="B413" s="15" t="str">
        <x:v>樊永鹏</x:v>
      </x:c>
      <x:c r="C413" s="16" t="n">
        <x:v>46202</x:v>
      </x:c>
      <x:c r="D413" s="17" t="n">
        <x:v>748</x:v>
      </x:c>
      <x:c r="E413" s="17" t="n">
        <x:v>1257</x:v>
      </x:c>
      <x:c r="F413" s="18" t="n">
        <x:v>11031.12</x:v>
      </x:c>
    </x:row>
    <x:row r="414">
      <x:c r="A414" s="14" t="str">
        <x:v>店长</x:v>
      </x:c>
      <x:c r="B414" s="15" t="str">
        <x:v>樊永鹏</x:v>
      </x:c>
      <x:c r="C414" s="16" t="n">
        <x:v>46203</x:v>
      </x:c>
      <x:c r="D414" s="17" t="n">
        <x:v>782</x:v>
      </x:c>
      <x:c r="E414" s="17" t="n">
        <x:v>1326</x:v>
      </x:c>
      <x:c r="F414" s="18" t="n">
        <x:v>11294.39</x:v>
      </x:c>
    </x:row>
    <x:row r="415">
      <x:c r="A415" s="14" t="str">
        <x:v>店长</x:v>
      </x:c>
      <x:c r="B415" s="15" t="str">
        <x:v>樊永鹏</x:v>
      </x:c>
      <x:c r="C415" s="16" t="n">
        <x:v>46204</x:v>
      </x:c>
      <x:c r="D415" s="17" t="n">
        <x:v>691</x:v>
      </x:c>
      <x:c r="E415" s="17" t="n">
        <x:v>1196</x:v>
      </x:c>
      <x:c r="F415" s="18" t="n">
        <x:v>10372.58</x:v>
      </x:c>
    </x:row>
    <x:row r="416">
      <x:c r="A416" s="14" t="str">
        <x:v>店长</x:v>
      </x:c>
      <x:c r="B416" s="15" t="str">
        <x:v>樊永鹏</x:v>
      </x:c>
      <x:c r="C416" s="16" t="n">
        <x:v>46205</x:v>
      </x:c>
      <x:c r="D416" s="17" t="n">
        <x:v>830</x:v>
      </x:c>
      <x:c r="E416" s="17" t="n">
        <x:v>1404</x:v>
      </x:c>
      <x:c r="F416" s="18" t="n">
        <x:v>12279.29</x:v>
      </x:c>
    </x:row>
    <x:row r="417">
      <x:c r="A417" s="14" t="str">
        <x:v>店长</x:v>
      </x:c>
      <x:c r="B417" s="15" t="str">
        <x:v>樊永鹏</x:v>
      </x:c>
      <x:c r="C417" s="16" t="n">
        <x:v>46206</x:v>
      </x:c>
      <x:c r="D417" s="17" t="n">
        <x:v>746</x:v>
      </x:c>
      <x:c r="E417" s="17" t="n">
        <x:v>1244</x:v>
      </x:c>
      <x:c r="F417" s="18" t="n">
        <x:v>11278.51</x:v>
      </x:c>
    </x:row>
    <x:row r="418">
      <x:c r="A418" s="14" t="str">
        <x:v>店长</x:v>
      </x:c>
      <x:c r="B418" s="15" t="str">
        <x:v>樊永鹏</x:v>
      </x:c>
      <x:c r="C418" s="16" t="n">
        <x:v>46207</x:v>
      </x:c>
      <x:c r="D418" s="17" t="n">
        <x:v>684</x:v>
      </x:c>
      <x:c r="E418" s="17" t="n">
        <x:v>1137</x:v>
      </x:c>
      <x:c r="F418" s="18" t="n">
        <x:v>10168.23</x:v>
      </x:c>
    </x:row>
    <x:row r="419">
      <x:c r="A419" s="14" t="str">
        <x:v>店长</x:v>
      </x:c>
      <x:c r="B419" s="15" t="str">
        <x:v>樊永鹏</x:v>
      </x:c>
      <x:c r="C419" s="16" t="n">
        <x:v>46208</x:v>
      </x:c>
      <x:c r="D419" s="17" t="n">
        <x:v>574</x:v>
      </x:c>
      <x:c r="E419" s="17" t="n">
        <x:v>936</x:v>
      </x:c>
      <x:c r="F419" s="18" t="n">
        <x:v>8681.65</x:v>
      </x:c>
    </x:row>
    <x:row r="420">
      <x:c r="A420" s="14" t="str">
        <x:v>店长</x:v>
      </x:c>
      <x:c r="B420" s="15" t="str">
        <x:v>樊永鹏</x:v>
      </x:c>
      <x:c r="C420" s="16" t="n">
        <x:v>46209</x:v>
      </x:c>
      <x:c r="D420" s="17" t="n">
        <x:v>618</x:v>
      </x:c>
      <x:c r="E420" s="17" t="n">
        <x:v>998</x:v>
      </x:c>
      <x:c r="F420" s="18" t="n">
        <x:v>9773.73</x:v>
      </x:c>
    </x:row>
    <x:row r="421">
      <x:c r="A421" s="14" t="str">
        <x:v>店长</x:v>
      </x:c>
      <x:c r="B421" s="15" t="str">
        <x:v>樊永鹏</x:v>
      </x:c>
      <x:c r="C421" s="16" t="n">
        <x:v>46210</x:v>
      </x:c>
      <x:c r="D421" s="17" t="n">
        <x:v>724</x:v>
      </x:c>
      <x:c r="E421" s="17" t="n">
        <x:v>1100</x:v>
      </x:c>
      <x:c r="F421" s="18" t="n">
        <x:v>11001.4</x:v>
      </x:c>
    </x:row>
    <x:row r="422">
      <x:c r="A422" s="14" t="str">
        <x:v>店长</x:v>
      </x:c>
      <x:c r="B422" s="15" t="str">
        <x:v>樊永鹏</x:v>
      </x:c>
      <x:c r="C422" s="16" t="n">
        <x:v>46211</x:v>
      </x:c>
      <x:c r="D422" s="17" t="n">
        <x:v>562</x:v>
      </x:c>
      <x:c r="E422" s="17" t="n">
        <x:v>1071</x:v>
      </x:c>
      <x:c r="F422" s="18" t="n">
        <x:v>8790.67</x:v>
      </x:c>
    </x:row>
    <x:row r="423">
      <x:c r="A423" s="14" t="str">
        <x:v>店长</x:v>
      </x:c>
      <x:c r="B423" s="15" t="str">
        <x:v>樊永鹏</x:v>
      </x:c>
      <x:c r="C423" s="16" t="n">
        <x:v>46212</x:v>
      </x:c>
      <x:c r="D423" s="17" t="n">
        <x:v>747</x:v>
      </x:c>
      <x:c r="E423" s="17" t="n">
        <x:v>1377</x:v>
      </x:c>
      <x:c r="F423" s="18" t="n">
        <x:v>10340.17</x:v>
      </x:c>
    </x:row>
    <x:row r="424">
      <x:c r="A424" s="14" t="str">
        <x:v>店长</x:v>
      </x:c>
      <x:c r="B424" s="15" t="str">
        <x:v>樊永鹏</x:v>
      </x:c>
      <x:c r="C424" s="16" t="n">
        <x:v>46213</x:v>
      </x:c>
      <x:c r="D424" s="17" t="n">
        <x:v>757</x:v>
      </x:c>
      <x:c r="E424" s="17" t="n">
        <x:v>1514</x:v>
      </x:c>
      <x:c r="F424" s="18" t="n">
        <x:v>10720.5</x:v>
      </x:c>
    </x:row>
    <x:row r="425">
      <x:c r="A425" s="14" t="str">
        <x:v>店长</x:v>
      </x:c>
      <x:c r="B425" s="15" t="str">
        <x:v>樊永鹏</x:v>
      </x:c>
      <x:c r="C425" s="16" t="n">
        <x:v>46214</x:v>
      </x:c>
      <x:c r="D425" s="17" t="n">
        <x:v>671</x:v>
      </x:c>
      <x:c r="E425" s="17" t="n">
        <x:v>1258</x:v>
      </x:c>
      <x:c r="F425" s="18" t="n">
        <x:v>9359.85</x:v>
      </x:c>
    </x:row>
    <x:row r="426">
      <x:c r="A426" s="14" t="str">
        <x:v>店长</x:v>
      </x:c>
      <x:c r="B426" s="15" t="str">
        <x:v>樊永鹏</x:v>
      </x:c>
      <x:c r="C426" s="16" t="n">
        <x:v>46215</x:v>
      </x:c>
      <x:c r="D426" s="17" t="n">
        <x:v>507</x:v>
      </x:c>
      <x:c r="E426" s="17" t="n">
        <x:v>987</x:v>
      </x:c>
      <x:c r="F426" s="18" t="n">
        <x:v>7141.39</x:v>
      </x:c>
    </x:row>
    <x:row r="427">
      <x:c r="A427" s="14" t="str">
        <x:v>店长</x:v>
      </x:c>
      <x:c r="B427" s="15" t="str">
        <x:v>樊永鹏</x:v>
      </x:c>
      <x:c r="C427" s="16" t="n">
        <x:v>46216</x:v>
      </x:c>
      <x:c r="D427" s="17" t="n">
        <x:v>616</x:v>
      </x:c>
      <x:c r="E427" s="17" t="n">
        <x:v>1159</x:v>
      </x:c>
      <x:c r="F427" s="18" t="n">
        <x:v>8833.76</x:v>
      </x:c>
    </x:row>
    <x:row r="428">
      <x:c r="A428" s="14" t="str">
        <x:v>店长</x:v>
      </x:c>
      <x:c r="B428" s="15" t="str">
        <x:v>樊永鹏</x:v>
      </x:c>
      <x:c r="C428" s="16" t="n">
        <x:v>46217</x:v>
      </x:c>
      <x:c r="D428" s="17" t="n">
        <x:v>503</x:v>
      </x:c>
      <x:c r="E428" s="17" t="n">
        <x:v>885</x:v>
      </x:c>
      <x:c r="F428" s="18" t="n">
        <x:v>6847.4</x:v>
      </x:c>
    </x:row>
    <x:row r="429">
      <x:c r="A429" s="14" t="str">
        <x:v>店长</x:v>
      </x:c>
      <x:c r="B429" s="15" t="str">
        <x:v>樊永鹏</x:v>
      </x:c>
      <x:c r="C429" s="16" t="n">
        <x:v>46218</x:v>
      </x:c>
      <x:c r="D429" s="17" t="n">
        <x:v>583</x:v>
      </x:c>
      <x:c r="E429" s="17" t="n">
        <x:v>1086</x:v>
      </x:c>
      <x:c r="F429" s="18" t="n">
        <x:v>8209.2</x:v>
      </x:c>
    </x:row>
    <x:row r="430">
      <x:c r="A430" s="14" t="str">
        <x:v>店长</x:v>
      </x:c>
      <x:c r="B430" s="15" t="str">
        <x:v>樊永鹏</x:v>
      </x:c>
      <x:c r="C430" s="16" t="n">
        <x:v>46219</x:v>
      </x:c>
      <x:c r="D430" s="17" t="n">
        <x:v>619</x:v>
      </x:c>
      <x:c r="E430" s="17" t="n">
        <x:v>1164</x:v>
      </x:c>
      <x:c r="F430" s="18" t="n">
        <x:v>8033.28</x:v>
      </x:c>
    </x:row>
    <x:row r="431">
      <x:c r="A431" s="14" t="str">
        <x:v>店长</x:v>
      </x:c>
      <x:c r="B431" s="15" t="str">
        <x:v>樊永鹏</x:v>
      </x:c>
      <x:c r="C431" s="16" t="n">
        <x:v>46220</x:v>
      </x:c>
      <x:c r="D431" s="17" t="n">
        <x:v>659</x:v>
      </x:c>
      <x:c r="E431" s="17" t="n">
        <x:v>1242</x:v>
      </x:c>
      <x:c r="F431" s="18" t="n">
        <x:v>9091.65</x:v>
      </x:c>
    </x:row>
    <x:row r="432">
      <x:c r="A432" s="14" t="str">
        <x:v>店长</x:v>
      </x:c>
      <x:c r="B432" s="15" t="str">
        <x:v>樊永鹏</x:v>
      </x:c>
      <x:c r="C432" s="16" t="n">
        <x:v>46221</x:v>
      </x:c>
      <x:c r="D432" s="17" t="n">
        <x:v>521</x:v>
      </x:c>
      <x:c r="E432" s="17" t="n">
        <x:v>998</x:v>
      </x:c>
      <x:c r="F432" s="18" t="n">
        <x:v>7278.82</x:v>
      </x:c>
    </x:row>
    <x:row r="433">
      <x:c r="A433" s="14" t="str">
        <x:v>店长</x:v>
      </x:c>
      <x:c r="B433" s="15" t="str">
        <x:v>樊永鹏</x:v>
      </x:c>
      <x:c r="C433" s="16" t="n">
        <x:v>46222</x:v>
      </x:c>
      <x:c r="D433" s="17" t="n">
        <x:v>581</x:v>
      </x:c>
      <x:c r="E433" s="17" t="n">
        <x:v>1066</x:v>
      </x:c>
      <x:c r="F433" s="18" t="n">
        <x:v>8051.18</x:v>
      </x:c>
    </x:row>
    <x:row r="434">
      <x:c r="A434" s="14" t="str">
        <x:v>店长</x:v>
      </x:c>
      <x:c r="B434" s="15" t="str">
        <x:v>樊永鹏</x:v>
      </x:c>
      <x:c r="C434" s="16" t="n">
        <x:v>46223</x:v>
      </x:c>
      <x:c r="D434" s="17" t="n">
        <x:v>583</x:v>
      </x:c>
      <x:c r="E434" s="17" t="n">
        <x:v>1044</x:v>
      </x:c>
      <x:c r="F434" s="18" t="n">
        <x:v>8101.25</x:v>
      </x:c>
    </x:row>
    <x:row r="435">
      <x:c r="A435" s="14" t="str">
        <x:v>店长</x:v>
      </x:c>
      <x:c r="B435" s="15" t="str">
        <x:v>樊永鹏</x:v>
      </x:c>
      <x:c r="C435" s="16" t="n">
        <x:v>46224</x:v>
      </x:c>
      <x:c r="D435" s="17" t="n">
        <x:v>627</x:v>
      </x:c>
      <x:c r="E435" s="17" t="n">
        <x:v>1187</x:v>
      </x:c>
      <x:c r="F435" s="18" t="n">
        <x:v>9230.73</x:v>
      </x:c>
    </x:row>
    <x:row r="436">
      <x:c r="A436" s="14" t="str">
        <x:v>店长</x:v>
      </x:c>
      <x:c r="B436" s="15" t="str">
        <x:v>樊永鹏</x:v>
      </x:c>
      <x:c r="C436" s="16" t="n">
        <x:v>46225</x:v>
      </x:c>
      <x:c r="D436" s="17" t="n">
        <x:v>626</x:v>
      </x:c>
      <x:c r="E436" s="17" t="n">
        <x:v>1145</x:v>
      </x:c>
      <x:c r="F436" s="18" t="n">
        <x:v>8810.34</x:v>
      </x:c>
    </x:row>
    <x:row r="437">
      <x:c r="A437" s="14" t="str">
        <x:v>店长</x:v>
      </x:c>
      <x:c r="B437" s="15" t="str">
        <x:v>樊永鹏</x:v>
      </x:c>
      <x:c r="C437" s="16" t="n">
        <x:v>46226</x:v>
      </x:c>
      <x:c r="D437" s="17" t="n">
        <x:v>631</x:v>
      </x:c>
      <x:c r="E437" s="17" t="n">
        <x:v>1162</x:v>
      </x:c>
      <x:c r="F437" s="18" t="n">
        <x:v>9556.05</x:v>
      </x:c>
    </x:row>
    <x:row r="438">
      <x:c r="A438" s="14" t="str">
        <x:v>店长</x:v>
      </x:c>
      <x:c r="B438" s="15" t="str">
        <x:v>樊永鹏</x:v>
      </x:c>
      <x:c r="C438" s="16" t="n">
        <x:v>46227</x:v>
      </x:c>
      <x:c r="D438" s="17" t="n">
        <x:v>1086</x:v>
      </x:c>
      <x:c r="E438" s="17" t="n">
        <x:v>2117</x:v>
      </x:c>
      <x:c r="F438" s="18" t="n">
        <x:v>15496.24</x:v>
      </x:c>
    </x:row>
    <x:row r="439">
      <x:c r="A439" s="14" t="str">
        <x:v>店长</x:v>
      </x:c>
      <x:c r="B439" s="15" t="str">
        <x:v>樊永鹏</x:v>
      </x:c>
      <x:c r="C439" s="16" t="n">
        <x:v>46228</x:v>
      </x:c>
      <x:c r="D439" s="17" t="n">
        <x:v>809</x:v>
      </x:c>
      <x:c r="E439" s="17" t="n">
        <x:v>1262</x:v>
      </x:c>
      <x:c r="F439" s="18" t="n">
        <x:v>11409.46</x:v>
      </x:c>
    </x:row>
    <x:row r="440">
      <x:c r="A440" s="14" t="str">
        <x:v>店长</x:v>
      </x:c>
      <x:c r="B440" s="15" t="str">
        <x:v>樊永鹏</x:v>
      </x:c>
      <x:c r="C440" s="16" t="n">
        <x:v>46229</x:v>
      </x:c>
      <x:c r="D440" s="17" t="n">
        <x:v>855</x:v>
      </x:c>
      <x:c r="E440" s="17" t="n">
        <x:v>1559</x:v>
      </x:c>
      <x:c r="F440" s="18" t="n">
        <x:v>12218.1</x:v>
      </x:c>
    </x:row>
    <x:row r="441">
      <x:c r="A441" s="14" t="str">
        <x:v>店长</x:v>
      </x:c>
      <x:c r="B441" s="15" t="str">
        <x:v>樊永鹏</x:v>
      </x:c>
      <x:c r="C441" s="16" t="n">
        <x:v>46230</x:v>
      </x:c>
      <x:c r="D441" s="17" t="n">
        <x:v>1000</x:v>
      </x:c>
      <x:c r="E441" s="17" t="n">
        <x:v>1950</x:v>
      </x:c>
      <x:c r="F441" s="18" t="n">
        <x:v>16141.88</x:v>
      </x:c>
    </x:row>
    <x:row r="442">
      <x:c r="A442" s="14" t="str">
        <x:v>店长</x:v>
      </x:c>
      <x:c r="B442" s="15" t="str">
        <x:v>樊永鹏</x:v>
      </x:c>
      <x:c r="C442" s="16" t="n">
        <x:v>46231</x:v>
      </x:c>
      <x:c r="D442" s="17" t="n">
        <x:v>731</x:v>
      </x:c>
      <x:c r="E442" s="17" t="n">
        <x:v>1315</x:v>
      </x:c>
      <x:c r="F442" s="18" t="n">
        <x:v>10870.48</x:v>
      </x:c>
    </x:row>
    <x:row r="443">
      <x:c r="A443" s="14" t="str">
        <x:v>店长</x:v>
      </x:c>
      <x:c r="B443" s="15" t="str">
        <x:v>樊永鹏</x:v>
      </x:c>
      <x:c r="C443" s="16" t="n">
        <x:v>46232</x:v>
      </x:c>
      <x:c r="D443" s="17" t="n">
        <x:v>759</x:v>
      </x:c>
      <x:c r="E443" s="17" t="n">
        <x:v>1313</x:v>
      </x:c>
      <x:c r="F443" s="18" t="n">
        <x:v>10507.11</x:v>
      </x:c>
    </x:row>
    <x:row r="444">
      <x:c r="A444" s="14" t="str">
        <x:v>店长</x:v>
      </x:c>
      <x:c r="B444" s="15" t="str">
        <x:v>樊永鹏</x:v>
      </x:c>
      <x:c r="C444" s="16" t="n">
        <x:v>46233</x:v>
      </x:c>
      <x:c r="D444" s="17" t="n">
        <x:v>790</x:v>
      </x:c>
      <x:c r="E444" s="17" t="n">
        <x:v>1388</x:v>
      </x:c>
      <x:c r="F444" s="18" t="n">
        <x:v>11118.71</x:v>
      </x:c>
    </x:row>
    <x:row r="445">
      <x:c r="A445" s="14" t="str">
        <x:v>店长</x:v>
      </x:c>
      <x:c r="B445" s="15" t="str">
        <x:v>樊永鹏</x:v>
      </x:c>
      <x:c r="C445" s="16" t="n">
        <x:v>46234</x:v>
      </x:c>
      <x:c r="D445" s="17" t="n">
        <x:v>881</x:v>
      </x:c>
      <x:c r="E445" s="17" t="n">
        <x:v>1614</x:v>
      </x:c>
      <x:c r="F445" s="18" t="n">
        <x:v>12659.84</x:v>
      </x:c>
    </x:row>
    <x:row r="446">
      <x:c r="A446" s="14" t="str">
        <x:v>店长</x:v>
      </x:c>
      <x:c r="B446" s="15" t="str">
        <x:v>樊永鹏</x:v>
      </x:c>
      <x:c r="C446" s="16" t="n">
        <x:v>46235</x:v>
      </x:c>
      <x:c r="D446" s="17" t="n">
        <x:v>877</x:v>
      </x:c>
      <x:c r="E446" s="17" t="n">
        <x:v>1524</x:v>
      </x:c>
      <x:c r="F446" s="18" t="n">
        <x:v>12393.6</x:v>
      </x:c>
    </x:row>
    <x:row r="447">
      <x:c r="A447" s="14" t="str">
        <x:v>店长</x:v>
      </x:c>
      <x:c r="B447" s="15" t="str">
        <x:v>樊永鹏</x:v>
      </x:c>
      <x:c r="C447" s="16" t="n">
        <x:v>46236</x:v>
      </x:c>
      <x:c r="D447" s="17" t="n">
        <x:v>980</x:v>
      </x:c>
      <x:c r="E447" s="17" t="n">
        <x:v>1705</x:v>
      </x:c>
      <x:c r="F447" s="18" t="n">
        <x:v>13484.42</x:v>
      </x:c>
    </x:row>
    <x:row r="448">
      <x:c r="A448" s="14" t="str">
        <x:v>店长</x:v>
      </x:c>
      <x:c r="B448" s="15" t="str">
        <x:v>樊永鹏</x:v>
      </x:c>
      <x:c r="C448" s="16" t="n">
        <x:v>46237</x:v>
      </x:c>
      <x:c r="D448" s="17" t="n">
        <x:v>985</x:v>
      </x:c>
      <x:c r="E448" s="17" t="n">
        <x:v>1723</x:v>
      </x:c>
      <x:c r="F448" s="18" t="n">
        <x:v>14199.12</x:v>
      </x:c>
    </x:row>
    <x:row r="449">
      <x:c r="A449" s="14" t="str">
        <x:v>店长</x:v>
      </x:c>
      <x:c r="B449" s="15" t="str">
        <x:v>樊永鹏</x:v>
      </x:c>
      <x:c r="C449" s="16" t="n">
        <x:v>46238</x:v>
      </x:c>
      <x:c r="D449" s="17" t="n">
        <x:v>724</x:v>
      </x:c>
      <x:c r="E449" s="17" t="n">
        <x:v>1338</x:v>
      </x:c>
      <x:c r="F449" s="18" t="n">
        <x:v>10248.01</x:v>
      </x:c>
    </x:row>
    <x:row r="450">
      <x:c r="A450" s="14" t="str">
        <x:v>店长</x:v>
      </x:c>
      <x:c r="B450" s="15" t="str">
        <x:v>樊永鹏</x:v>
      </x:c>
      <x:c r="C450" s="16" t="n">
        <x:v>46239</x:v>
      </x:c>
      <x:c r="D450" s="17" t="n">
        <x:v>926</x:v>
      </x:c>
      <x:c r="E450" s="17" t="n">
        <x:v>1604</x:v>
      </x:c>
      <x:c r="F450" s="18" t="n">
        <x:v>13032.46</x:v>
      </x:c>
    </x:row>
    <x:row r="451">
      <x:c r="A451" s="14" t="str">
        <x:v>店长</x:v>
      </x:c>
      <x:c r="B451" s="15" t="str">
        <x:v>樊永鹏</x:v>
      </x:c>
      <x:c r="C451" s="16" t="n">
        <x:v>46240</x:v>
      </x:c>
      <x:c r="D451" s="17" t="n">
        <x:v>820</x:v>
      </x:c>
      <x:c r="E451" s="17" t="n">
        <x:v>1405</x:v>
      </x:c>
      <x:c r="F451" s="18" t="n">
        <x:v>11450.86</x:v>
      </x:c>
    </x:row>
    <x:row r="452">
      <x:c r="A452" s="14" t="str">
        <x:v>店长</x:v>
      </x:c>
      <x:c r="B452" s="15" t="str">
        <x:v>樊永鹏</x:v>
      </x:c>
      <x:c r="C452" s="16" t="n">
        <x:v>46241</x:v>
      </x:c>
      <x:c r="D452" s="17" t="n">
        <x:v>952</x:v>
      </x:c>
      <x:c r="E452" s="17" t="n">
        <x:v>1675</x:v>
      </x:c>
      <x:c r="F452" s="18" t="n">
        <x:v>13686.52</x:v>
      </x:c>
    </x:row>
    <x:row r="453">
      <x:c r="A453" s="14" t="str">
        <x:v>店长</x:v>
      </x:c>
      <x:c r="B453" s="15" t="str">
        <x:v>樊永鹏</x:v>
      </x:c>
      <x:c r="C453" s="16" t="n">
        <x:v>46242</x:v>
      </x:c>
      <x:c r="D453" s="17" t="n">
        <x:v>1075</x:v>
      </x:c>
      <x:c r="E453" s="17" t="n">
        <x:v>1839</x:v>
      </x:c>
      <x:c r="F453" s="18" t="n">
        <x:v>15175.11</x:v>
      </x:c>
    </x:row>
    <x:row r="454">
      <x:c r="A454" s="14" t="str">
        <x:v>店长</x:v>
      </x:c>
      <x:c r="B454" s="15" t="str">
        <x:v>樊永鹏</x:v>
      </x:c>
      <x:c r="C454" s="16" t="n">
        <x:v>46243</x:v>
      </x:c>
      <x:c r="D454" s="17" t="n">
        <x:v>1080</x:v>
      </x:c>
      <x:c r="E454" s="17" t="n">
        <x:v>1705</x:v>
      </x:c>
      <x:c r="F454" s="18" t="n">
        <x:v>15117.88</x:v>
      </x:c>
    </x:row>
    <x:row r="455">
      <x:c r="A455" s="14" t="str">
        <x:v>店长</x:v>
      </x:c>
      <x:c r="B455" s="15" t="str">
        <x:v>樊永鹏</x:v>
      </x:c>
      <x:c r="C455" s="16" t="n">
        <x:v>46244</x:v>
      </x:c>
      <x:c r="D455" s="17" t="n">
        <x:v>828</x:v>
      </x:c>
      <x:c r="E455" s="17" t="n">
        <x:v>1376</x:v>
      </x:c>
      <x:c r="F455" s="18" t="n">
        <x:v>12016.28</x:v>
      </x:c>
    </x:row>
    <x:row r="456">
      <x:c r="A456" s="14" t="str">
        <x:v>店长</x:v>
      </x:c>
      <x:c r="B456" s="15" t="str">
        <x:v>樊永鹏</x:v>
      </x:c>
      <x:c r="C456" s="16" t="n">
        <x:v>46245</x:v>
      </x:c>
      <x:c r="D456" s="17" t="n">
        <x:v>925</x:v>
      </x:c>
      <x:c r="E456" s="17" t="n">
        <x:v>1533</x:v>
      </x:c>
      <x:c r="F456" s="18" t="n">
        <x:v>13049.8</x:v>
      </x:c>
    </x:row>
    <x:row r="457">
      <x:c r="A457" s="14" t="str">
        <x:v>店长</x:v>
      </x:c>
      <x:c r="B457" s="15" t="str">
        <x:v>樊永鹏</x:v>
      </x:c>
      <x:c r="C457" s="16" t="n">
        <x:v>46246</x:v>
      </x:c>
      <x:c r="D457" s="17" t="n">
        <x:v>888</x:v>
      </x:c>
      <x:c r="E457" s="17" t="n">
        <x:v>1449</x:v>
      </x:c>
      <x:c r="F457" s="18" t="n">
        <x:v>12472.89</x:v>
      </x:c>
    </x:row>
    <x:row r="458">
      <x:c r="A458" s="14" t="str">
        <x:v>店长</x:v>
      </x:c>
      <x:c r="B458" s="15" t="str">
        <x:v>樊永鹏</x:v>
      </x:c>
      <x:c r="C458" s="16" t="n">
        <x:v>46247</x:v>
      </x:c>
      <x:c r="D458" s="17" t="n">
        <x:v>913</x:v>
      </x:c>
      <x:c r="E458" s="17" t="n">
        <x:v>1484</x:v>
      </x:c>
      <x:c r="F458" s="18" t="n">
        <x:v>12511.25</x:v>
      </x:c>
    </x:row>
    <x:row r="459">
      <x:c r="A459" s="14" t="str">
        <x:v>店长</x:v>
      </x:c>
      <x:c r="B459" s="15" t="str">
        <x:v>樊永鹏</x:v>
      </x:c>
      <x:c r="C459" s="16" t="n">
        <x:v>46248</x:v>
      </x:c>
      <x:c r="D459" s="17" t="n">
        <x:v>1085</x:v>
      </x:c>
      <x:c r="E459" s="17" t="n">
        <x:v>1862</x:v>
      </x:c>
      <x:c r="F459" s="18" t="n">
        <x:v>14663.36</x:v>
      </x:c>
    </x:row>
    <x:row r="460">
      <x:c r="A460" s="14" t="str">
        <x:v>店长</x:v>
      </x:c>
      <x:c r="B460" s="15" t="str">
        <x:v>樊永鹏</x:v>
      </x:c>
      <x:c r="C460" s="16" t="n">
        <x:v>46249</x:v>
      </x:c>
      <x:c r="D460" s="17" t="n">
        <x:v>870</x:v>
      </x:c>
      <x:c r="E460" s="17" t="n">
        <x:v>1478</x:v>
      </x:c>
      <x:c r="F460" s="18" t="n">
        <x:v>11932.98</x:v>
      </x:c>
    </x:row>
    <x:row r="461">
      <x:c r="A461" s="14" t="str">
        <x:v>店长</x:v>
      </x:c>
      <x:c r="B461" s="15" t="str">
        <x:v>樊永鹏</x:v>
      </x:c>
      <x:c r="C461" s="16" t="n">
        <x:v>46250</x:v>
      </x:c>
      <x:c r="D461" s="17" t="n">
        <x:v>617</x:v>
      </x:c>
      <x:c r="E461" s="17" t="n">
        <x:v>1077</x:v>
      </x:c>
      <x:c r="F461" s="18" t="n">
        <x:v>8874.95</x:v>
      </x:c>
    </x:row>
    <x:row r="462">
      <x:c r="A462" s="14" t="str">
        <x:v>店长</x:v>
      </x:c>
      <x:c r="B462" s="15" t="str">
        <x:v>樊永鹏</x:v>
      </x:c>
      <x:c r="C462" s="16" t="n">
        <x:v>46251</x:v>
      </x:c>
      <x:c r="D462" s="17" t="n">
        <x:v>862</x:v>
      </x:c>
      <x:c r="E462" s="17" t="n">
        <x:v>1509</x:v>
      </x:c>
      <x:c r="F462" s="18" t="n">
        <x:v>12535.55</x:v>
      </x:c>
    </x:row>
    <x:row r="463">
      <x:c r="A463" s="14" t="str">
        <x:v>店长</x:v>
      </x:c>
      <x:c r="B463" s="15" t="str">
        <x:v>樊永鹏</x:v>
      </x:c>
      <x:c r="C463" s="16" t="n">
        <x:v>46252</x:v>
      </x:c>
      <x:c r="D463" s="17" t="n">
        <x:v>817</x:v>
      </x:c>
      <x:c r="E463" s="17" t="n">
        <x:v>1365</x:v>
      </x:c>
      <x:c r="F463" s="18" t="n">
        <x:v>11524.6</x:v>
      </x:c>
    </x:row>
    <x:row r="464">
      <x:c r="A464" s="14" t="str">
        <x:v>店长</x:v>
      </x:c>
      <x:c r="B464" s="15" t="str">
        <x:v>樊永鹏</x:v>
      </x:c>
      <x:c r="C464" s="16" t="n">
        <x:v>46253</x:v>
      </x:c>
      <x:c r="D464" s="17" t="n">
        <x:v>746</x:v>
      </x:c>
      <x:c r="E464" s="17" t="n">
        <x:v>1307</x:v>
      </x:c>
      <x:c r="F464" s="18" t="n">
        <x:v>10514.26</x:v>
      </x:c>
    </x:row>
    <x:row r="465">
      <x:c r="A465" s="14" t="str">
        <x:v>店长</x:v>
      </x:c>
      <x:c r="B465" s="15" t="str">
        <x:v>樊永鹏</x:v>
      </x:c>
      <x:c r="C465" s="16" t="n">
        <x:v>46254</x:v>
      </x:c>
      <x:c r="D465" s="17" t="n">
        <x:v>555</x:v>
      </x:c>
      <x:c r="E465" s="17" t="n">
        <x:v>962</x:v>
      </x:c>
      <x:c r="F465" s="18" t="n">
        <x:v>8428.89</x:v>
      </x:c>
    </x:row>
    <x:row r="466">
      <x:c r="A466" s="14" t="str">
        <x:v>店长</x:v>
      </x:c>
      <x:c r="B466" s="15" t="str">
        <x:v>侯兴华</x:v>
      </x:c>
      <x:c r="C466" s="16" t="n">
        <x:v>46023</x:v>
      </x:c>
      <x:c r="D466" s="17" t="n">
        <x:v>905</x:v>
      </x:c>
      <x:c r="E466" s="17" t="n">
        <x:v>1938</x:v>
      </x:c>
      <x:c r="F466" s="18" t="n">
        <x:v>11864.65</x:v>
      </x:c>
    </x:row>
    <x:row r="467">
      <x:c r="A467" s="14" t="str">
        <x:v>店长</x:v>
      </x:c>
      <x:c r="B467" s="15" t="str">
        <x:v>侯兴华</x:v>
      </x:c>
      <x:c r="C467" s="16" t="n">
        <x:v>46024</x:v>
      </x:c>
      <x:c r="D467" s="17" t="n">
        <x:v>1529</x:v>
      </x:c>
      <x:c r="E467" s="17" t="n">
        <x:v>3253</x:v>
      </x:c>
      <x:c r="F467" s="18" t="n">
        <x:v>22543.75</x:v>
      </x:c>
    </x:row>
    <x:row r="468">
      <x:c r="A468" s="14" t="str">
        <x:v>店长</x:v>
      </x:c>
      <x:c r="B468" s="15" t="str">
        <x:v>侯兴华</x:v>
      </x:c>
      <x:c r="C468" s="16" t="n">
        <x:v>46025</x:v>
      </x:c>
      <x:c r="D468" s="17" t="n">
        <x:v>929</x:v>
      </x:c>
      <x:c r="E468" s="17" t="n">
        <x:v>2027</x:v>
      </x:c>
      <x:c r="F468" s="18" t="n">
        <x:v>12145.47</x:v>
      </x:c>
    </x:row>
    <x:row r="469">
      <x:c r="A469" s="14" t="str">
        <x:v>店长</x:v>
      </x:c>
      <x:c r="B469" s="15" t="str">
        <x:v>侯兴华</x:v>
      </x:c>
      <x:c r="C469" s="16" t="n">
        <x:v>46026</x:v>
      </x:c>
      <x:c r="D469" s="17" t="n">
        <x:v>1076</x:v>
      </x:c>
      <x:c r="E469" s="17" t="n">
        <x:v>2313</x:v>
      </x:c>
      <x:c r="F469" s="18" t="n">
        <x:v>16193.54</x:v>
      </x:c>
    </x:row>
    <x:row r="470">
      <x:c r="A470" s="14" t="str">
        <x:v>店长</x:v>
      </x:c>
      <x:c r="B470" s="15" t="str">
        <x:v>侯兴华</x:v>
      </x:c>
      <x:c r="C470" s="16" t="n">
        <x:v>46027</x:v>
      </x:c>
      <x:c r="D470" s="17" t="n">
        <x:v>1007</x:v>
      </x:c>
      <x:c r="E470" s="17" t="n">
        <x:v>2184</x:v>
      </x:c>
      <x:c r="F470" s="18" t="n">
        <x:v>13644.41</x:v>
      </x:c>
    </x:row>
    <x:row r="471">
      <x:c r="A471" s="14" t="str">
        <x:v>店长</x:v>
      </x:c>
      <x:c r="B471" s="15" t="str">
        <x:v>侯兴华</x:v>
      </x:c>
      <x:c r="C471" s="16" t="n">
        <x:v>46028</x:v>
      </x:c>
      <x:c r="D471" s="17" t="n">
        <x:v>1110</x:v>
      </x:c>
      <x:c r="E471" s="17" t="n">
        <x:v>2488</x:v>
      </x:c>
      <x:c r="F471" s="18" t="n">
        <x:v>15645.57</x:v>
      </x:c>
    </x:row>
    <x:row r="472">
      <x:c r="A472" s="14" t="str">
        <x:v>店长</x:v>
      </x:c>
      <x:c r="B472" s="15" t="str">
        <x:v>侯兴华</x:v>
      </x:c>
      <x:c r="C472" s="16" t="n">
        <x:v>46029</x:v>
      </x:c>
      <x:c r="D472" s="17" t="n">
        <x:v>1121</x:v>
      </x:c>
      <x:c r="E472" s="17" t="n">
        <x:v>2556</x:v>
      </x:c>
      <x:c r="F472" s="18" t="n">
        <x:v>15571.99</x:v>
      </x:c>
    </x:row>
    <x:row r="473">
      <x:c r="A473" s="14" t="str">
        <x:v>店长</x:v>
      </x:c>
      <x:c r="B473" s="15" t="str">
        <x:v>侯兴华</x:v>
      </x:c>
      <x:c r="C473" s="16" t="n">
        <x:v>46030</x:v>
      </x:c>
      <x:c r="D473" s="17" t="n">
        <x:v>1293</x:v>
      </x:c>
      <x:c r="E473" s="17" t="n">
        <x:v>2929</x:v>
      </x:c>
      <x:c r="F473" s="18" t="n">
        <x:v>18778.87</x:v>
      </x:c>
    </x:row>
    <x:row r="474">
      <x:c r="A474" s="14" t="str">
        <x:v>店长</x:v>
      </x:c>
      <x:c r="B474" s="15" t="str">
        <x:v>侯兴华</x:v>
      </x:c>
      <x:c r="C474" s="16" t="n">
        <x:v>46031</x:v>
      </x:c>
      <x:c r="D474" s="17" t="n">
        <x:v>1588</x:v>
      </x:c>
      <x:c r="E474" s="17" t="n">
        <x:v>3703</x:v>
      </x:c>
      <x:c r="F474" s="18" t="n">
        <x:v>18488.38</x:v>
      </x:c>
    </x:row>
    <x:row r="475">
      <x:c r="A475" s="14" t="str">
        <x:v>店长</x:v>
      </x:c>
      <x:c r="B475" s="15" t="str">
        <x:v>侯兴华</x:v>
      </x:c>
      <x:c r="C475" s="16" t="n">
        <x:v>46032</x:v>
      </x:c>
      <x:c r="D475" s="17" t="n">
        <x:v>1478</x:v>
      </x:c>
      <x:c r="E475" s="17" t="n">
        <x:v>3390</x:v>
      </x:c>
      <x:c r="F475" s="18" t="n">
        <x:v>17116.22</x:v>
      </x:c>
    </x:row>
    <x:row r="476">
      <x:c r="A476" s="14" t="str">
        <x:v>店长</x:v>
      </x:c>
      <x:c r="B476" s="15" t="str">
        <x:v>侯兴华</x:v>
      </x:c>
      <x:c r="C476" s="16" t="n">
        <x:v>46033</x:v>
      </x:c>
      <x:c r="D476" s="17" t="n">
        <x:v>1178</x:v>
      </x:c>
      <x:c r="E476" s="17" t="n">
        <x:v>2714</x:v>
      </x:c>
      <x:c r="F476" s="18" t="n">
        <x:v>14155.35</x:v>
      </x:c>
    </x:row>
    <x:row r="477">
      <x:c r="A477" s="14" t="str">
        <x:v>店长</x:v>
      </x:c>
      <x:c r="B477" s="15" t="str">
        <x:v>侯兴华</x:v>
      </x:c>
      <x:c r="C477" s="16" t="n">
        <x:v>46034</x:v>
      </x:c>
      <x:c r="D477" s="17" t="n">
        <x:v>1211</x:v>
      </x:c>
      <x:c r="E477" s="17" t="n">
        <x:v>2767</x:v>
      </x:c>
      <x:c r="F477" s="18" t="n">
        <x:v>14915.43</x:v>
      </x:c>
    </x:row>
    <x:row r="478">
      <x:c r="A478" s="14" t="str">
        <x:v>店长</x:v>
      </x:c>
      <x:c r="B478" s="15" t="str">
        <x:v>侯兴华</x:v>
      </x:c>
      <x:c r="C478" s="16" t="n">
        <x:v>46035</x:v>
      </x:c>
      <x:c r="D478" s="17" t="n">
        <x:v>1289</x:v>
      </x:c>
      <x:c r="E478" s="17" t="n">
        <x:v>2926</x:v>
      </x:c>
      <x:c r="F478" s="18" t="n">
        <x:v>15848.58</x:v>
      </x:c>
    </x:row>
    <x:row r="479">
      <x:c r="A479" s="14" t="str">
        <x:v>店长</x:v>
      </x:c>
      <x:c r="B479" s="15" t="str">
        <x:v>侯兴华</x:v>
      </x:c>
      <x:c r="C479" s="16" t="n">
        <x:v>46036</x:v>
      </x:c>
      <x:c r="D479" s="17" t="n">
        <x:v>1226</x:v>
      </x:c>
      <x:c r="E479" s="17" t="n">
        <x:v>2819</x:v>
      </x:c>
      <x:c r="F479" s="18" t="n">
        <x:v>15613.41</x:v>
      </x:c>
    </x:row>
    <x:row r="480">
      <x:c r="A480" s="14" t="str">
        <x:v>店长</x:v>
      </x:c>
      <x:c r="B480" s="15" t="str">
        <x:v>侯兴华</x:v>
      </x:c>
      <x:c r="C480" s="16" t="n">
        <x:v>46037</x:v>
      </x:c>
      <x:c r="D480" s="17" t="n">
        <x:v>1226</x:v>
      </x:c>
      <x:c r="E480" s="17" t="n">
        <x:v>2781</x:v>
      </x:c>
      <x:c r="F480" s="18" t="n">
        <x:v>16589.24</x:v>
      </x:c>
    </x:row>
    <x:row r="481">
      <x:c r="A481" s="14" t="str">
        <x:v>店长</x:v>
      </x:c>
      <x:c r="B481" s="15" t="str">
        <x:v>侯兴华</x:v>
      </x:c>
      <x:c r="C481" s="16" t="n">
        <x:v>46038</x:v>
      </x:c>
      <x:c r="D481" s="17" t="n">
        <x:v>1040</x:v>
      </x:c>
      <x:c r="E481" s="17" t="n">
        <x:v>2440</x:v>
      </x:c>
      <x:c r="F481" s="18" t="n">
        <x:v>12208.08</x:v>
      </x:c>
    </x:row>
    <x:row r="482">
      <x:c r="A482" s="14" t="str">
        <x:v>店长</x:v>
      </x:c>
      <x:c r="B482" s="15" t="str">
        <x:v>侯兴华</x:v>
      </x:c>
      <x:c r="C482" s="16" t="n">
        <x:v>46039</x:v>
      </x:c>
      <x:c r="D482" s="17" t="n">
        <x:v>1097</x:v>
      </x:c>
      <x:c r="E482" s="17" t="n">
        <x:v>2531</x:v>
      </x:c>
      <x:c r="F482" s="18" t="n">
        <x:v>12602.8</x:v>
      </x:c>
    </x:row>
    <x:row r="483">
      <x:c r="A483" s="14" t="str">
        <x:v>店长</x:v>
      </x:c>
      <x:c r="B483" s="15" t="str">
        <x:v>侯兴华</x:v>
      </x:c>
      <x:c r="C483" s="16" t="n">
        <x:v>46040</x:v>
      </x:c>
      <x:c r="D483" s="17" t="n">
        <x:v>907</x:v>
      </x:c>
      <x:c r="E483" s="17" t="n">
        <x:v>2105</x:v>
      </x:c>
      <x:c r="F483" s="18" t="n">
        <x:v>13403.18</x:v>
      </x:c>
    </x:row>
    <x:row r="484">
      <x:c r="A484" s="14" t="str">
        <x:v>店长</x:v>
      </x:c>
      <x:c r="B484" s="15" t="str">
        <x:v>侯兴华</x:v>
      </x:c>
      <x:c r="C484" s="16" t="n">
        <x:v>46041</x:v>
      </x:c>
      <x:c r="D484" s="17" t="n">
        <x:v>834</x:v>
      </x:c>
      <x:c r="E484" s="17" t="n">
        <x:v>1962</x:v>
      </x:c>
      <x:c r="F484" s="18" t="n">
        <x:v>14347.9</x:v>
      </x:c>
    </x:row>
    <x:row r="485">
      <x:c r="A485" s="14" t="str">
        <x:v>店长</x:v>
      </x:c>
      <x:c r="B485" s="15" t="str">
        <x:v>侯兴华</x:v>
      </x:c>
      <x:c r="C485" s="16" t="n">
        <x:v>46042</x:v>
      </x:c>
      <x:c r="D485" s="17" t="n">
        <x:v>880</x:v>
      </x:c>
      <x:c r="E485" s="17" t="n">
        <x:v>1979</x:v>
      </x:c>
      <x:c r="F485" s="18" t="n">
        <x:v>14607.51</x:v>
      </x:c>
    </x:row>
    <x:row r="486">
      <x:c r="A486" s="14" t="str">
        <x:v>店长</x:v>
      </x:c>
      <x:c r="B486" s="15" t="str">
        <x:v>侯兴华</x:v>
      </x:c>
      <x:c r="C486" s="16" t="n">
        <x:v>46043</x:v>
      </x:c>
      <x:c r="D486" s="17" t="n">
        <x:v>829</x:v>
      </x:c>
      <x:c r="E486" s="17" t="n">
        <x:v>1872</x:v>
      </x:c>
      <x:c r="F486" s="18" t="n">
        <x:v>13120.76</x:v>
      </x:c>
    </x:row>
    <x:row r="487">
      <x:c r="A487" s="14" t="str">
        <x:v>店长</x:v>
      </x:c>
      <x:c r="B487" s="15" t="str">
        <x:v>侯兴华</x:v>
      </x:c>
      <x:c r="C487" s="16" t="n">
        <x:v>46044</x:v>
      </x:c>
      <x:c r="D487" s="17" t="n">
        <x:v>845</x:v>
      </x:c>
      <x:c r="E487" s="17" t="n">
        <x:v>1884</x:v>
      </x:c>
      <x:c r="F487" s="18" t="n">
        <x:v>13929.14</x:v>
      </x:c>
    </x:row>
    <x:row r="488">
      <x:c r="A488" s="14" t="str">
        <x:v>店长</x:v>
      </x:c>
      <x:c r="B488" s="15" t="str">
        <x:v>侯兴华</x:v>
      </x:c>
      <x:c r="C488" s="16" t="n">
        <x:v>46045</x:v>
      </x:c>
      <x:c r="D488" s="17" t="n">
        <x:v>768</x:v>
      </x:c>
      <x:c r="E488" s="17" t="n">
        <x:v>1817</x:v>
      </x:c>
      <x:c r="F488" s="18" t="n">
        <x:v>12924.6</x:v>
      </x:c>
    </x:row>
    <x:row r="489">
      <x:c r="A489" s="14" t="str">
        <x:v>店长</x:v>
      </x:c>
      <x:c r="B489" s="15" t="str">
        <x:v>侯兴华</x:v>
      </x:c>
      <x:c r="C489" s="16" t="n">
        <x:v>46046</x:v>
      </x:c>
      <x:c r="D489" s="17" t="n">
        <x:v>846</x:v>
      </x:c>
      <x:c r="E489" s="17" t="n">
        <x:v>2035</x:v>
      </x:c>
      <x:c r="F489" s="18" t="n">
        <x:v>14648.54</x:v>
      </x:c>
    </x:row>
    <x:row r="490">
      <x:c r="A490" s="14" t="str">
        <x:v>店长</x:v>
      </x:c>
      <x:c r="B490" s="15" t="str">
        <x:v>侯兴华</x:v>
      </x:c>
      <x:c r="C490" s="16" t="n">
        <x:v>46047</x:v>
      </x:c>
      <x:c r="D490" s="17" t="n">
        <x:v>1011</x:v>
      </x:c>
      <x:c r="E490" s="17" t="n">
        <x:v>2471</x:v>
      </x:c>
      <x:c r="F490" s="18" t="n">
        <x:v>14953.14</x:v>
      </x:c>
    </x:row>
    <x:row r="491">
      <x:c r="A491" s="14" t="str">
        <x:v>店长</x:v>
      </x:c>
      <x:c r="B491" s="15" t="str">
        <x:v>侯兴华</x:v>
      </x:c>
      <x:c r="C491" s="16" t="n">
        <x:v>46048</x:v>
      </x:c>
      <x:c r="D491" s="17" t="n">
        <x:v>1097</x:v>
      </x:c>
      <x:c r="E491" s="17" t="n">
        <x:v>2582</x:v>
      </x:c>
      <x:c r="F491" s="18" t="n">
        <x:v>16399.89</x:v>
      </x:c>
    </x:row>
    <x:row r="492">
      <x:c r="A492" s="14" t="str">
        <x:v>店长</x:v>
      </x:c>
      <x:c r="B492" s="15" t="str">
        <x:v>侯兴华</x:v>
      </x:c>
      <x:c r="C492" s="16" t="n">
        <x:v>46049</x:v>
      </x:c>
      <x:c r="D492" s="17" t="n">
        <x:v>1155</x:v>
      </x:c>
      <x:c r="E492" s="17" t="n">
        <x:v>2721</x:v>
      </x:c>
      <x:c r="F492" s="18" t="n">
        <x:v>17880.78</x:v>
      </x:c>
    </x:row>
    <x:row r="493">
      <x:c r="A493" s="14" t="str">
        <x:v>店长</x:v>
      </x:c>
      <x:c r="B493" s="15" t="str">
        <x:v>侯兴华</x:v>
      </x:c>
      <x:c r="C493" s="16" t="n">
        <x:v>46050</x:v>
      </x:c>
      <x:c r="D493" s="17" t="n">
        <x:v>1045</x:v>
      </x:c>
      <x:c r="E493" s="17" t="n">
        <x:v>2422</x:v>
      </x:c>
      <x:c r="F493" s="18" t="n">
        <x:v>16969.26</x:v>
      </x:c>
    </x:row>
    <x:row r="494">
      <x:c r="A494" s="14" t="str">
        <x:v>店长</x:v>
      </x:c>
      <x:c r="B494" s="15" t="str">
        <x:v>侯兴华</x:v>
      </x:c>
      <x:c r="C494" s="16" t="n">
        <x:v>46051</x:v>
      </x:c>
      <x:c r="D494" s="17" t="n">
        <x:v>1271</x:v>
      </x:c>
      <x:c r="E494" s="17" t="n">
        <x:v>2877</x:v>
      </x:c>
      <x:c r="F494" s="18" t="n">
        <x:v>20801.03</x:v>
      </x:c>
    </x:row>
    <x:row r="495">
      <x:c r="A495" s="14" t="str">
        <x:v>店长</x:v>
      </x:c>
      <x:c r="B495" s="15" t="str">
        <x:v>侯兴华</x:v>
      </x:c>
      <x:c r="C495" s="16" t="n">
        <x:v>46052</x:v>
      </x:c>
      <x:c r="D495" s="17" t="n">
        <x:v>1244</x:v>
      </x:c>
      <x:c r="E495" s="17" t="n">
        <x:v>2801</x:v>
      </x:c>
      <x:c r="F495" s="18" t="n">
        <x:v>19574.67</x:v>
      </x:c>
    </x:row>
    <x:row r="496">
      <x:c r="A496" s="14" t="str">
        <x:v>店长</x:v>
      </x:c>
      <x:c r="B496" s="15" t="str">
        <x:v>侯兴华</x:v>
      </x:c>
      <x:c r="C496" s="16" t="n">
        <x:v>46053</x:v>
      </x:c>
      <x:c r="D496" s="17" t="n">
        <x:v>1220</x:v>
      </x:c>
      <x:c r="E496" s="17" t="n">
        <x:v>2693</x:v>
      </x:c>
      <x:c r="F496" s="18" t="n">
        <x:v>13751.6</x:v>
      </x:c>
    </x:row>
    <x:row r="497">
      <x:c r="A497" s="14" t="str">
        <x:v>店长</x:v>
      </x:c>
      <x:c r="B497" s="15" t="str">
        <x:v>侯兴华</x:v>
      </x:c>
      <x:c r="C497" s="16" t="n">
        <x:v>46054</x:v>
      </x:c>
      <x:c r="D497" s="17" t="n">
        <x:v>1137</x:v>
      </x:c>
      <x:c r="E497" s="17" t="n">
        <x:v>2514</x:v>
      </x:c>
      <x:c r="F497" s="18" t="n">
        <x:v>17302.08</x:v>
      </x:c>
    </x:row>
    <x:row r="498">
      <x:c r="A498" s="14" t="str">
        <x:v>店长</x:v>
      </x:c>
      <x:c r="B498" s="15" t="str">
        <x:v>侯兴华</x:v>
      </x:c>
      <x:c r="C498" s="16" t="n">
        <x:v>46055</x:v>
      </x:c>
      <x:c r="D498" s="17" t="n">
        <x:v>1299</x:v>
      </x:c>
      <x:c r="E498" s="17" t="n">
        <x:v>2875</x:v>
      </x:c>
      <x:c r="F498" s="18" t="n">
        <x:v>20456.84</x:v>
      </x:c>
    </x:row>
    <x:row r="499">
      <x:c r="A499" s="14" t="str">
        <x:v>店长</x:v>
      </x:c>
      <x:c r="B499" s="15" t="str">
        <x:v>侯兴华</x:v>
      </x:c>
      <x:c r="C499" s="16" t="n">
        <x:v>46056</x:v>
      </x:c>
      <x:c r="D499" s="17" t="n">
        <x:v>1020</x:v>
      </x:c>
      <x:c r="E499" s="17" t="n">
        <x:v>2440</x:v>
      </x:c>
      <x:c r="F499" s="18" t="n">
        <x:v>16661.46</x:v>
      </x:c>
    </x:row>
    <x:row r="500">
      <x:c r="A500" s="14" t="str">
        <x:v>店长</x:v>
      </x:c>
      <x:c r="B500" s="15" t="str">
        <x:v>侯兴华</x:v>
      </x:c>
      <x:c r="C500" s="16" t="n">
        <x:v>46057</x:v>
      </x:c>
      <x:c r="D500" s="17" t="n">
        <x:v>1071</x:v>
      </x:c>
      <x:c r="E500" s="17" t="n">
        <x:v>2547</x:v>
      </x:c>
      <x:c r="F500" s="18" t="n">
        <x:v>16192.66</x:v>
      </x:c>
    </x:row>
    <x:row r="501">
      <x:c r="A501" s="14" t="str">
        <x:v>店长</x:v>
      </x:c>
      <x:c r="B501" s="15" t="str">
        <x:v>侯兴华</x:v>
      </x:c>
      <x:c r="C501" s="16" t="n">
        <x:v>46058</x:v>
      </x:c>
      <x:c r="D501" s="17" t="n">
        <x:v>1294</x:v>
      </x:c>
      <x:c r="E501" s="17" t="n">
        <x:v>3025</x:v>
      </x:c>
      <x:c r="F501" s="18" t="n">
        <x:v>19330.78</x:v>
      </x:c>
    </x:row>
    <x:row r="502">
      <x:c r="A502" s="14" t="str">
        <x:v>店长</x:v>
      </x:c>
      <x:c r="B502" s="15" t="str">
        <x:v>侯兴华</x:v>
      </x:c>
      <x:c r="C502" s="16" t="n">
        <x:v>46059</x:v>
      </x:c>
      <x:c r="D502" s="17" t="n">
        <x:v>1238</x:v>
      </x:c>
      <x:c r="E502" s="17" t="n">
        <x:v>2851</x:v>
      </x:c>
      <x:c r="F502" s="18" t="n">
        <x:v>18210.95</x:v>
      </x:c>
    </x:row>
    <x:row r="503">
      <x:c r="A503" s="14" t="str">
        <x:v>店长</x:v>
      </x:c>
      <x:c r="B503" s="15" t="str">
        <x:v>侯兴华</x:v>
      </x:c>
      <x:c r="C503" s="16" t="n">
        <x:v>46060</x:v>
      </x:c>
      <x:c r="D503" s="17" t="n">
        <x:v>1051</x:v>
      </x:c>
      <x:c r="E503" s="17" t="n">
        <x:v>2464</x:v>
      </x:c>
      <x:c r="F503" s="18" t="n">
        <x:v>18409.7</x:v>
      </x:c>
    </x:row>
    <x:row r="504">
      <x:c r="A504" s="14" t="str">
        <x:v>店长</x:v>
      </x:c>
      <x:c r="B504" s="15" t="str">
        <x:v>侯兴华</x:v>
      </x:c>
      <x:c r="C504" s="16" t="n">
        <x:v>46061</x:v>
      </x:c>
      <x:c r="D504" s="17" t="n">
        <x:v>1160</x:v>
      </x:c>
      <x:c r="E504" s="17" t="n">
        <x:v>2520</x:v>
      </x:c>
      <x:c r="F504" s="18" t="n">
        <x:v>19295.63</x:v>
      </x:c>
    </x:row>
    <x:row r="505">
      <x:c r="A505" s="14" t="str">
        <x:v>店长</x:v>
      </x:c>
      <x:c r="B505" s="15" t="str">
        <x:v>侯兴华</x:v>
      </x:c>
      <x:c r="C505" s="16" t="n">
        <x:v>46062</x:v>
      </x:c>
      <x:c r="D505" s="17" t="n">
        <x:v>1102</x:v>
      </x:c>
      <x:c r="E505" s="17" t="n">
        <x:v>2438</x:v>
      </x:c>
      <x:c r="F505" s="18" t="n">
        <x:v>17727.02</x:v>
      </x:c>
    </x:row>
    <x:row r="506">
      <x:c r="A506" s="14" t="str">
        <x:v>店长</x:v>
      </x:c>
      <x:c r="B506" s="15" t="str">
        <x:v>侯兴华</x:v>
      </x:c>
      <x:c r="C506" s="16" t="n">
        <x:v>46063</x:v>
      </x:c>
      <x:c r="D506" s="17" t="n">
        <x:v>893</x:v>
      </x:c>
      <x:c r="E506" s="17" t="n">
        <x:v>2005</x:v>
      </x:c>
      <x:c r="F506" s="18" t="n">
        <x:v>13590.93</x:v>
      </x:c>
    </x:row>
    <x:row r="507">
      <x:c r="A507" s="14" t="str">
        <x:v>店长</x:v>
      </x:c>
      <x:c r="B507" s="15" t="str">
        <x:v>侯兴华</x:v>
      </x:c>
      <x:c r="C507" s="16" t="n">
        <x:v>46064</x:v>
      </x:c>
      <x:c r="D507" s="17" t="n">
        <x:v>949</x:v>
      </x:c>
      <x:c r="E507" s="17" t="n">
        <x:v>2108</x:v>
      </x:c>
      <x:c r="F507" s="18" t="n">
        <x:v>14202.99</x:v>
      </x:c>
    </x:row>
    <x:row r="508">
      <x:c r="A508" s="14" t="str">
        <x:v>店长</x:v>
      </x:c>
      <x:c r="B508" s="15" t="str">
        <x:v>侯兴华</x:v>
      </x:c>
      <x:c r="C508" s="16" t="n">
        <x:v>46065</x:v>
      </x:c>
      <x:c r="D508" s="17" t="n">
        <x:v>944</x:v>
      </x:c>
      <x:c r="E508" s="17" t="n">
        <x:v>2087</x:v>
      </x:c>
      <x:c r="F508" s="18" t="n">
        <x:v>13879.41</x:v>
      </x:c>
    </x:row>
    <x:row r="509">
      <x:c r="A509" s="14" t="str">
        <x:v>店长</x:v>
      </x:c>
      <x:c r="B509" s="15" t="str">
        <x:v>侯兴华</x:v>
      </x:c>
      <x:c r="C509" s="16" t="n">
        <x:v>46066</x:v>
      </x:c>
      <x:c r="D509" s="17" t="n">
        <x:v>739</x:v>
      </x:c>
      <x:c r="E509" s="17" t="n">
        <x:v>1626</x:v>
      </x:c>
      <x:c r="F509" s="18" t="n">
        <x:v>11105.69</x:v>
      </x:c>
    </x:row>
    <x:row r="510">
      <x:c r="A510" s="14" t="str">
        <x:v>店长</x:v>
      </x:c>
      <x:c r="B510" s="15" t="str">
        <x:v>侯兴华</x:v>
      </x:c>
      <x:c r="C510" s="16" t="n">
        <x:v>46067</x:v>
      </x:c>
      <x:c r="D510" s="17" t="n">
        <x:v>896</x:v>
      </x:c>
      <x:c r="E510" s="17" t="n">
        <x:v>1925</x:v>
      </x:c>
      <x:c r="F510" s="18" t="n">
        <x:v>12098.1</x:v>
      </x:c>
    </x:row>
    <x:row r="511">
      <x:c r="A511" s="14" t="str">
        <x:v>店长</x:v>
      </x:c>
      <x:c r="B511" s="15" t="str">
        <x:v>侯兴华</x:v>
      </x:c>
      <x:c r="C511" s="16" t="n">
        <x:v>46068</x:v>
      </x:c>
      <x:c r="D511" s="17" t="n">
        <x:v>772</x:v>
      </x:c>
      <x:c r="E511" s="17" t="n">
        <x:v>1685</x:v>
      </x:c>
      <x:c r="F511" s="18" t="n">
        <x:v>10580.98</x:v>
      </x:c>
    </x:row>
    <x:row r="512">
      <x:c r="A512" s="14" t="str">
        <x:v>店长</x:v>
      </x:c>
      <x:c r="B512" s="15" t="str">
        <x:v>侯兴华</x:v>
      </x:c>
      <x:c r="C512" s="16" t="n">
        <x:v>46069</x:v>
      </x:c>
      <x:c r="D512" s="17" t="n">
        <x:v>901</x:v>
      </x:c>
      <x:c r="E512" s="17" t="n">
        <x:v>1954</x:v>
      </x:c>
      <x:c r="F512" s="18" t="n">
        <x:v>13513.49</x:v>
      </x:c>
    </x:row>
    <x:row r="513">
      <x:c r="A513" s="14" t="str">
        <x:v>店长</x:v>
      </x:c>
      <x:c r="B513" s="15" t="str">
        <x:v>侯兴华</x:v>
      </x:c>
      <x:c r="C513" s="16" t="n">
        <x:v>46070</x:v>
      </x:c>
      <x:c r="D513" s="17" t="n">
        <x:v>739</x:v>
      </x:c>
      <x:c r="E513" s="17" t="n">
        <x:v>1534</x:v>
      </x:c>
      <x:c r="F513" s="18" t="n">
        <x:v>10657.37</x:v>
      </x:c>
    </x:row>
    <x:row r="514">
      <x:c r="A514" s="14" t="str">
        <x:v>店长</x:v>
      </x:c>
      <x:c r="B514" s="15" t="str">
        <x:v>侯兴华</x:v>
      </x:c>
      <x:c r="C514" s="16" t="n">
        <x:v>46071</x:v>
      </x:c>
      <x:c r="D514" s="17" t="n">
        <x:v>813</x:v>
      </x:c>
      <x:c r="E514" s="17" t="n">
        <x:v>1818</x:v>
      </x:c>
      <x:c r="F514" s="18" t="n">
        <x:v>12666.96</x:v>
      </x:c>
    </x:row>
    <x:row r="515">
      <x:c r="A515" s="14" t="str">
        <x:v>店长</x:v>
      </x:c>
      <x:c r="B515" s="15" t="str">
        <x:v>侯兴华</x:v>
      </x:c>
      <x:c r="C515" s="16" t="n">
        <x:v>46072</x:v>
      </x:c>
      <x:c r="D515" s="17" t="n">
        <x:v>800</x:v>
      </x:c>
      <x:c r="E515" s="17" t="n">
        <x:v>1742</x:v>
      </x:c>
      <x:c r="F515" s="18" t="n">
        <x:v>11855.67</x:v>
      </x:c>
    </x:row>
    <x:row r="516">
      <x:c r="A516" s="14" t="str">
        <x:v>店长</x:v>
      </x:c>
      <x:c r="B516" s="15" t="str">
        <x:v>侯兴华</x:v>
      </x:c>
      <x:c r="C516" s="16" t="n">
        <x:v>46073</x:v>
      </x:c>
      <x:c r="D516" s="17" t="n">
        <x:v>687</x:v>
      </x:c>
      <x:c r="E516" s="17" t="n">
        <x:v>1466</x:v>
      </x:c>
      <x:c r="F516" s="18" t="n">
        <x:v>10745.6</x:v>
      </x:c>
    </x:row>
    <x:row r="517">
      <x:c r="A517" s="14" t="str">
        <x:v>店长</x:v>
      </x:c>
      <x:c r="B517" s="15" t="str">
        <x:v>侯兴华</x:v>
      </x:c>
      <x:c r="C517" s="16" t="n">
        <x:v>46074</x:v>
      </x:c>
      <x:c r="D517" s="17" t="n">
        <x:v>902</x:v>
      </x:c>
      <x:c r="E517" s="17" t="n">
        <x:v>1911</x:v>
      </x:c>
      <x:c r="F517" s="18" t="n">
        <x:v>13024.14</x:v>
      </x:c>
    </x:row>
    <x:row r="518">
      <x:c r="A518" s="14" t="str">
        <x:v>店长</x:v>
      </x:c>
      <x:c r="B518" s="15" t="str">
        <x:v>侯兴华</x:v>
      </x:c>
      <x:c r="C518" s="16" t="n">
        <x:v>46075</x:v>
      </x:c>
      <x:c r="D518" s="17" t="n">
        <x:v>812</x:v>
      </x:c>
      <x:c r="E518" s="17" t="n">
        <x:v>1788</x:v>
      </x:c>
      <x:c r="F518" s="18" t="n">
        <x:v>13414.55</x:v>
      </x:c>
    </x:row>
    <x:row r="519">
      <x:c r="A519" s="14" t="str">
        <x:v>店长</x:v>
      </x:c>
      <x:c r="B519" s="15" t="str">
        <x:v>侯兴华</x:v>
      </x:c>
      <x:c r="C519" s="16" t="n">
        <x:v>46076</x:v>
      </x:c>
      <x:c r="D519" s="17" t="n">
        <x:v>895</x:v>
      </x:c>
      <x:c r="E519" s="17" t="n">
        <x:v>1934</x:v>
      </x:c>
      <x:c r="F519" s="18" t="n">
        <x:v>13678.28</x:v>
      </x:c>
    </x:row>
    <x:row r="520">
      <x:c r="A520" s="14" t="str">
        <x:v>店长</x:v>
      </x:c>
      <x:c r="B520" s="15" t="str">
        <x:v>侯兴华</x:v>
      </x:c>
      <x:c r="C520" s="16" t="n">
        <x:v>46077</x:v>
      </x:c>
      <x:c r="D520" s="17" t="n">
        <x:v>935</x:v>
      </x:c>
      <x:c r="E520" s="17" t="n">
        <x:v>1997</x:v>
      </x:c>
      <x:c r="F520" s="18" t="n">
        <x:v>15008.09</x:v>
      </x:c>
    </x:row>
    <x:row r="521">
      <x:c r="A521" s="14" t="str">
        <x:v>店长</x:v>
      </x:c>
      <x:c r="B521" s="15" t="str">
        <x:v>侯兴华</x:v>
      </x:c>
      <x:c r="C521" s="16" t="n">
        <x:v>46078</x:v>
      </x:c>
      <x:c r="D521" s="17" t="n">
        <x:v>1197</x:v>
      </x:c>
      <x:c r="E521" s="17" t="n">
        <x:v>2481</x:v>
      </x:c>
      <x:c r="F521" s="18" t="n">
        <x:v>23479.59</x:v>
      </x:c>
    </x:row>
    <x:row r="522">
      <x:c r="A522" s="14" t="str">
        <x:v>店长</x:v>
      </x:c>
      <x:c r="B522" s="15" t="str">
        <x:v>侯兴华</x:v>
      </x:c>
      <x:c r="C522" s="16" t="n">
        <x:v>46079</x:v>
      </x:c>
      <x:c r="D522" s="17" t="n">
        <x:v>745</x:v>
      </x:c>
      <x:c r="E522" s="17" t="n">
        <x:v>1542</x:v>
      </x:c>
      <x:c r="F522" s="18" t="n">
        <x:v>11328.35</x:v>
      </x:c>
    </x:row>
    <x:row r="523">
      <x:c r="A523" s="14" t="str">
        <x:v>店长</x:v>
      </x:c>
      <x:c r="B523" s="15" t="str">
        <x:v>侯兴华</x:v>
      </x:c>
      <x:c r="C523" s="16" t="n">
        <x:v>46080</x:v>
      </x:c>
      <x:c r="D523" s="17" t="n">
        <x:v>1327</x:v>
      </x:c>
      <x:c r="E523" s="17" t="n">
        <x:v>2725</x:v>
      </x:c>
      <x:c r="F523" s="18" t="n">
        <x:v>18840.47</x:v>
      </x:c>
    </x:row>
    <x:row r="524">
      <x:c r="A524" s="14" t="str">
        <x:v>店长</x:v>
      </x:c>
      <x:c r="B524" s="15" t="str">
        <x:v>侯兴华</x:v>
      </x:c>
      <x:c r="C524" s="16" t="n">
        <x:v>46081</x:v>
      </x:c>
      <x:c r="D524" s="17" t="n">
        <x:v>1112</x:v>
      </x:c>
      <x:c r="E524" s="17" t="n">
        <x:v>2248</x:v>
      </x:c>
      <x:c r="F524" s="18" t="n">
        <x:v>15861.76</x:v>
      </x:c>
    </x:row>
    <x:row r="525">
      <x:c r="A525" s="14" t="str">
        <x:v>店长</x:v>
      </x:c>
      <x:c r="B525" s="15" t="str">
        <x:v>侯兴华</x:v>
      </x:c>
      <x:c r="C525" s="16" t="n">
        <x:v>46082</x:v>
      </x:c>
      <x:c r="D525" s="17" t="n">
        <x:v>1054</x:v>
      </x:c>
      <x:c r="E525" s="17" t="n">
        <x:v>2172</x:v>
      </x:c>
      <x:c r="F525" s="18" t="n">
        <x:v>14275.65</x:v>
      </x:c>
    </x:row>
    <x:row r="526">
      <x:c r="A526" s="14" t="str">
        <x:v>店长</x:v>
      </x:c>
      <x:c r="B526" s="15" t="str">
        <x:v>侯兴华</x:v>
      </x:c>
      <x:c r="C526" s="16" t="n">
        <x:v>46083</x:v>
      </x:c>
      <x:c r="D526" s="17" t="n">
        <x:v>832</x:v>
      </x:c>
      <x:c r="E526" s="17" t="n">
        <x:v>1719</x:v>
      </x:c>
      <x:c r="F526" s="18" t="n">
        <x:v>11043.2</x:v>
      </x:c>
    </x:row>
    <x:row r="527">
      <x:c r="A527" s="14" t="str">
        <x:v>店长</x:v>
      </x:c>
      <x:c r="B527" s="15" t="str">
        <x:v>侯兴华</x:v>
      </x:c>
      <x:c r="C527" s="16" t="n">
        <x:v>46084</x:v>
      </x:c>
      <x:c r="D527" s="17" t="n">
        <x:v>904</x:v>
      </x:c>
      <x:c r="E527" s="17" t="n">
        <x:v>1865</x:v>
      </x:c>
      <x:c r="F527" s="18" t="n">
        <x:v>11880.05</x:v>
      </x:c>
    </x:row>
    <x:row r="528">
      <x:c r="A528" s="14" t="str">
        <x:v>店长</x:v>
      </x:c>
      <x:c r="B528" s="15" t="str">
        <x:v>侯兴华</x:v>
      </x:c>
      <x:c r="C528" s="16" t="n">
        <x:v>46085</x:v>
      </x:c>
      <x:c r="D528" s="17" t="n">
        <x:v>878</x:v>
      </x:c>
      <x:c r="E528" s="17" t="n">
        <x:v>1774</x:v>
      </x:c>
      <x:c r="F528" s="18" t="n">
        <x:v>12432.33</x:v>
      </x:c>
    </x:row>
    <x:row r="529">
      <x:c r="A529" s="14" t="str">
        <x:v>店长</x:v>
      </x:c>
      <x:c r="B529" s="15" t="str">
        <x:v>侯兴华</x:v>
      </x:c>
      <x:c r="C529" s="16" t="n">
        <x:v>46086</x:v>
      </x:c>
      <x:c r="D529" s="17" t="n">
        <x:v>734</x:v>
      </x:c>
      <x:c r="E529" s="17" t="n">
        <x:v>1507</x:v>
      </x:c>
      <x:c r="F529" s="18" t="n">
        <x:v>9571.63</x:v>
      </x:c>
    </x:row>
    <x:row r="530">
      <x:c r="A530" s="14" t="str">
        <x:v>店长</x:v>
      </x:c>
      <x:c r="B530" s="15" t="str">
        <x:v>侯兴华</x:v>
      </x:c>
      <x:c r="C530" s="16" t="n">
        <x:v>46087</x:v>
      </x:c>
      <x:c r="D530" s="17" t="n">
        <x:v>770</x:v>
      </x:c>
      <x:c r="E530" s="17" t="n">
        <x:v>1580</x:v>
      </x:c>
      <x:c r="F530" s="18" t="n">
        <x:v>10409.61</x:v>
      </x:c>
    </x:row>
    <x:row r="531">
      <x:c r="A531" s="14" t="str">
        <x:v>店长</x:v>
      </x:c>
      <x:c r="B531" s="15" t="str">
        <x:v>侯兴华</x:v>
      </x:c>
      <x:c r="C531" s="16" t="n">
        <x:v>46088</x:v>
      </x:c>
      <x:c r="D531" s="17" t="n">
        <x:v>717</x:v>
      </x:c>
      <x:c r="E531" s="17" t="n">
        <x:v>1479</x:v>
      </x:c>
      <x:c r="F531" s="18" t="n">
        <x:v>9052.98</x:v>
      </x:c>
    </x:row>
    <x:row r="532">
      <x:c r="A532" s="14" t="str">
        <x:v>店长</x:v>
      </x:c>
      <x:c r="B532" s="15" t="str">
        <x:v>侯兴华</x:v>
      </x:c>
      <x:c r="C532" s="16" t="n">
        <x:v>46089</x:v>
      </x:c>
      <x:c r="D532" s="17" t="n">
        <x:v>809</x:v>
      </x:c>
      <x:c r="E532" s="17" t="n">
        <x:v>1659</x:v>
      </x:c>
      <x:c r="F532" s="18" t="n">
        <x:v>11079.39</x:v>
      </x:c>
    </x:row>
    <x:row r="533">
      <x:c r="A533" s="14" t="str">
        <x:v>店长</x:v>
      </x:c>
      <x:c r="B533" s="15" t="str">
        <x:v>侯兴华</x:v>
      </x:c>
      <x:c r="C533" s="16" t="n">
        <x:v>46090</x:v>
      </x:c>
      <x:c r="D533" s="17" t="n">
        <x:v>585</x:v>
      </x:c>
      <x:c r="E533" s="17" t="n">
        <x:v>1206</x:v>
      </x:c>
      <x:c r="F533" s="18" t="n">
        <x:v>7461.53</x:v>
      </x:c>
    </x:row>
    <x:row r="534">
      <x:c r="A534" s="14" t="str">
        <x:v>店长</x:v>
      </x:c>
      <x:c r="B534" s="15" t="str">
        <x:v>侯兴华</x:v>
      </x:c>
      <x:c r="C534" s="16" t="n">
        <x:v>46091</x:v>
      </x:c>
      <x:c r="D534" s="17" t="n">
        <x:v>708</x:v>
      </x:c>
      <x:c r="E534" s="17" t="n">
        <x:v>1433</x:v>
      </x:c>
      <x:c r="F534" s="18" t="n">
        <x:v>8839.68</x:v>
      </x:c>
    </x:row>
    <x:row r="535">
      <x:c r="A535" s="14" t="str">
        <x:v>店长</x:v>
      </x:c>
      <x:c r="B535" s="15" t="str">
        <x:v>侯兴华</x:v>
      </x:c>
      <x:c r="C535" s="16" t="n">
        <x:v>46092</x:v>
      </x:c>
      <x:c r="D535" s="17" t="n">
        <x:v>652</x:v>
      </x:c>
      <x:c r="E535" s="17" t="n">
        <x:v>1300</x:v>
      </x:c>
      <x:c r="F535" s="18" t="n">
        <x:v>7747.02</x:v>
      </x:c>
    </x:row>
    <x:row r="536">
      <x:c r="A536" s="14" t="str">
        <x:v>店长</x:v>
      </x:c>
      <x:c r="B536" s="15" t="str">
        <x:v>侯兴华</x:v>
      </x:c>
      <x:c r="C536" s="16" t="n">
        <x:v>46093</x:v>
      </x:c>
      <x:c r="D536" s="17" t="n">
        <x:v>617</x:v>
      </x:c>
      <x:c r="E536" s="17" t="n">
        <x:v>1245</x:v>
      </x:c>
      <x:c r="F536" s="18" t="n">
        <x:v>7870.33</x:v>
      </x:c>
    </x:row>
    <x:row r="537">
      <x:c r="A537" s="14" t="str">
        <x:v>店长</x:v>
      </x:c>
      <x:c r="B537" s="15" t="str">
        <x:v>侯兴华</x:v>
      </x:c>
      <x:c r="C537" s="16" t="n">
        <x:v>46094</x:v>
      </x:c>
      <x:c r="D537" s="17" t="n">
        <x:v>559</x:v>
      </x:c>
      <x:c r="E537" s="17" t="n">
        <x:v>1136</x:v>
      </x:c>
      <x:c r="F537" s="18" t="n">
        <x:v>7508.45</x:v>
      </x:c>
    </x:row>
    <x:row r="538">
      <x:c r="A538" s="14" t="str">
        <x:v>店长</x:v>
      </x:c>
      <x:c r="B538" s="15" t="str">
        <x:v>侯兴华</x:v>
      </x:c>
      <x:c r="C538" s="16" t="n">
        <x:v>46095</x:v>
      </x:c>
      <x:c r="D538" s="17" t="n">
        <x:v>440</x:v>
      </x:c>
      <x:c r="E538" s="17" t="n">
        <x:v>928</x:v>
      </x:c>
      <x:c r="F538" s="18" t="n">
        <x:v>5414.38</x:v>
      </x:c>
    </x:row>
    <x:row r="539">
      <x:c r="A539" s="14" t="str">
        <x:v>店长</x:v>
      </x:c>
      <x:c r="B539" s="15" t="str">
        <x:v>侯兴华</x:v>
      </x:c>
      <x:c r="C539" s="16" t="n">
        <x:v>46096</x:v>
      </x:c>
      <x:c r="D539" s="17" t="n">
        <x:v>528</x:v>
      </x:c>
      <x:c r="E539" s="17" t="n">
        <x:v>1124</x:v>
      </x:c>
      <x:c r="F539" s="18" t="n">
        <x:v>7361.28</x:v>
      </x:c>
    </x:row>
    <x:row r="540">
      <x:c r="A540" s="14" t="str">
        <x:v>店长</x:v>
      </x:c>
      <x:c r="B540" s="15" t="str">
        <x:v>侯兴华</x:v>
      </x:c>
      <x:c r="C540" s="16" t="n">
        <x:v>46097</x:v>
      </x:c>
      <x:c r="D540" s="17" t="n">
        <x:v>456</x:v>
      </x:c>
      <x:c r="E540" s="17" t="n">
        <x:v>990</x:v>
      </x:c>
      <x:c r="F540" s="18" t="n">
        <x:v>5405.42</x:v>
      </x:c>
    </x:row>
    <x:row r="541">
      <x:c r="A541" s="14" t="str">
        <x:v>店长</x:v>
      </x:c>
      <x:c r="B541" s="15" t="str">
        <x:v>侯兴华</x:v>
      </x:c>
      <x:c r="C541" s="16" t="n">
        <x:v>46098</x:v>
      </x:c>
      <x:c r="D541" s="17" t="n">
        <x:v>496</x:v>
      </x:c>
      <x:c r="E541" s="17" t="n">
        <x:v>1103</x:v>
      </x:c>
      <x:c r="F541" s="18" t="n">
        <x:v>6861.9</x:v>
      </x:c>
    </x:row>
    <x:row r="542">
      <x:c r="A542" s="14" t="str">
        <x:v>店长</x:v>
      </x:c>
      <x:c r="B542" s="15" t="str">
        <x:v>侯兴华</x:v>
      </x:c>
      <x:c r="C542" s="16" t="n">
        <x:v>46099</x:v>
      </x:c>
      <x:c r="D542" s="17" t="n">
        <x:v>451</x:v>
      </x:c>
      <x:c r="E542" s="17" t="n">
        <x:v>1014</x:v>
      </x:c>
      <x:c r="F542" s="18" t="n">
        <x:v>5668.05</x:v>
      </x:c>
    </x:row>
    <x:row r="543">
      <x:c r="A543" s="14" t="str">
        <x:v>店长</x:v>
      </x:c>
      <x:c r="B543" s="15" t="str">
        <x:v>侯兴华</x:v>
      </x:c>
      <x:c r="C543" s="16" t="n">
        <x:v>46100</x:v>
      </x:c>
      <x:c r="D543" s="17" t="n">
        <x:v>389</x:v>
      </x:c>
      <x:c r="E543" s="17" t="n">
        <x:v>883</x:v>
      </x:c>
      <x:c r="F543" s="18" t="n">
        <x:v>4833.54</x:v>
      </x:c>
    </x:row>
    <x:row r="544">
      <x:c r="A544" s="14" t="str">
        <x:v>店长</x:v>
      </x:c>
      <x:c r="B544" s="15" t="str">
        <x:v>侯兴华</x:v>
      </x:c>
      <x:c r="C544" s="16" t="n">
        <x:v>46101</x:v>
      </x:c>
      <x:c r="D544" s="17" t="n">
        <x:v>488</x:v>
      </x:c>
      <x:c r="E544" s="17" t="n">
        <x:v>1097</x:v>
      </x:c>
      <x:c r="F544" s="18" t="n">
        <x:v>6017.37</x:v>
      </x:c>
    </x:row>
    <x:row r="545">
      <x:c r="A545" s="14" t="str">
        <x:v>店长</x:v>
      </x:c>
      <x:c r="B545" s="15" t="str">
        <x:v>侯兴华</x:v>
      </x:c>
      <x:c r="C545" s="16" t="n">
        <x:v>46102</x:v>
      </x:c>
      <x:c r="D545" s="17" t="n">
        <x:v>457</x:v>
      </x:c>
      <x:c r="E545" s="17" t="n">
        <x:v>945</x:v>
      </x:c>
      <x:c r="F545" s="18" t="n">
        <x:v>5522.18</x:v>
      </x:c>
    </x:row>
    <x:row r="546">
      <x:c r="A546" s="14" t="str">
        <x:v>店长</x:v>
      </x:c>
      <x:c r="B546" s="15" t="str">
        <x:v>侯兴华</x:v>
      </x:c>
      <x:c r="C546" s="16" t="n">
        <x:v>46103</x:v>
      </x:c>
      <x:c r="D546" s="17" t="n">
        <x:v>599</x:v>
      </x:c>
      <x:c r="E546" s="17" t="n">
        <x:v>1127</x:v>
      </x:c>
      <x:c r="F546" s="18" t="n">
        <x:v>6956.42</x:v>
      </x:c>
    </x:row>
    <x:row r="547">
      <x:c r="A547" s="14" t="str">
        <x:v>店长</x:v>
      </x:c>
      <x:c r="B547" s="15" t="str">
        <x:v>侯兴华</x:v>
      </x:c>
      <x:c r="C547" s="16" t="n">
        <x:v>46104</x:v>
      </x:c>
      <x:c r="D547" s="17" t="n">
        <x:v>818</x:v>
      </x:c>
      <x:c r="E547" s="17" t="n">
        <x:v>1785</x:v>
      </x:c>
      <x:c r="F547" s="18" t="n">
        <x:v>9597.82</x:v>
      </x:c>
    </x:row>
    <x:row r="548">
      <x:c r="A548" s="14" t="str">
        <x:v>店长</x:v>
      </x:c>
      <x:c r="B548" s="15" t="str">
        <x:v>侯兴华</x:v>
      </x:c>
      <x:c r="C548" s="16" t="n">
        <x:v>46105</x:v>
      </x:c>
      <x:c r="D548" s="17" t="n">
        <x:v>795</x:v>
      </x:c>
      <x:c r="E548" s="17" t="n">
        <x:v>1705</x:v>
      </x:c>
      <x:c r="F548" s="18" t="n">
        <x:v>9003.1</x:v>
      </x:c>
    </x:row>
    <x:row r="549">
      <x:c r="A549" s="14" t="str">
        <x:v>店长</x:v>
      </x:c>
      <x:c r="B549" s="15" t="str">
        <x:v>侯兴华</x:v>
      </x:c>
      <x:c r="C549" s="16" t="n">
        <x:v>46106</x:v>
      </x:c>
      <x:c r="D549" s="17" t="n">
        <x:v>798</x:v>
      </x:c>
      <x:c r="E549" s="17" t="n">
        <x:v>1650</x:v>
      </x:c>
      <x:c r="F549" s="18" t="n">
        <x:v>8894.24</x:v>
      </x:c>
    </x:row>
    <x:row r="550">
      <x:c r="A550" s="14" t="str">
        <x:v>店长</x:v>
      </x:c>
      <x:c r="B550" s="15" t="str">
        <x:v>侯兴华</x:v>
      </x:c>
      <x:c r="C550" s="16" t="n">
        <x:v>46107</x:v>
      </x:c>
      <x:c r="D550" s="17" t="n">
        <x:v>811</x:v>
      </x:c>
      <x:c r="E550" s="17" t="n">
        <x:v>1726</x:v>
      </x:c>
      <x:c r="F550" s="18" t="n">
        <x:v>8993.45</x:v>
      </x:c>
    </x:row>
    <x:row r="551">
      <x:c r="A551" s="14" t="str">
        <x:v>店长</x:v>
      </x:c>
      <x:c r="B551" s="15" t="str">
        <x:v>侯兴华</x:v>
      </x:c>
      <x:c r="C551" s="16" t="n">
        <x:v>46108</x:v>
      </x:c>
      <x:c r="D551" s="17" t="n">
        <x:v>756</x:v>
      </x:c>
      <x:c r="E551" s="17" t="n">
        <x:v>1594</x:v>
      </x:c>
      <x:c r="F551" s="18" t="n">
        <x:v>9155.23</x:v>
      </x:c>
    </x:row>
    <x:row r="552">
      <x:c r="A552" s="14" t="str">
        <x:v>店长</x:v>
      </x:c>
      <x:c r="B552" s="15" t="str">
        <x:v>侯兴华</x:v>
      </x:c>
      <x:c r="C552" s="16" t="n">
        <x:v>46109</x:v>
      </x:c>
      <x:c r="D552" s="17" t="n">
        <x:v>651</x:v>
      </x:c>
      <x:c r="E552" s="17" t="n">
        <x:v>1342</x:v>
      </x:c>
      <x:c r="F552" s="18" t="n">
        <x:v>7592.56</x:v>
      </x:c>
    </x:row>
    <x:row r="553">
      <x:c r="A553" s="14" t="str">
        <x:v>店长</x:v>
      </x:c>
      <x:c r="B553" s="15" t="str">
        <x:v>侯兴华</x:v>
      </x:c>
      <x:c r="C553" s="16" t="n">
        <x:v>46110</x:v>
      </x:c>
      <x:c r="D553" s="17" t="n">
        <x:v>858</x:v>
      </x:c>
      <x:c r="E553" s="17" t="n">
        <x:v>1690</x:v>
      </x:c>
      <x:c r="F553" s="18" t="n">
        <x:v>9539.74</x:v>
      </x:c>
    </x:row>
    <x:row r="554">
      <x:c r="A554" s="14" t="str">
        <x:v>店长</x:v>
      </x:c>
      <x:c r="B554" s="15" t="str">
        <x:v>侯兴华</x:v>
      </x:c>
      <x:c r="C554" s="16" t="n">
        <x:v>46111</x:v>
      </x:c>
      <x:c r="D554" s="17" t="n">
        <x:v>895</x:v>
      </x:c>
      <x:c r="E554" s="17" t="n">
        <x:v>1365</x:v>
      </x:c>
      <x:c r="F554" s="18" t="n">
        <x:v>10387.74</x:v>
      </x:c>
    </x:row>
    <x:row r="555">
      <x:c r="A555" s="14" t="str">
        <x:v>店长</x:v>
      </x:c>
      <x:c r="B555" s="15" t="str">
        <x:v>侯兴华</x:v>
      </x:c>
      <x:c r="C555" s="16" t="n">
        <x:v>46112</x:v>
      </x:c>
      <x:c r="D555" s="17" t="n">
        <x:v>773</x:v>
      </x:c>
      <x:c r="E555" s="17" t="n">
        <x:v>1252</x:v>
      </x:c>
      <x:c r="F555" s="18" t="n">
        <x:v>9567.28</x:v>
      </x:c>
    </x:row>
    <x:row r="556">
      <x:c r="A556" s="14" t="str">
        <x:v>店长</x:v>
      </x:c>
      <x:c r="B556" s="15" t="str">
        <x:v>侯兴华</x:v>
      </x:c>
      <x:c r="C556" s="16" t="n">
        <x:v>46113</x:v>
      </x:c>
      <x:c r="D556" s="17" t="n">
        <x:v>813</x:v>
      </x:c>
      <x:c r="E556" s="17" t="n">
        <x:v>1226</x:v>
      </x:c>
      <x:c r="F556" s="18" t="n">
        <x:v>9588.15</x:v>
      </x:c>
    </x:row>
    <x:row r="557">
      <x:c r="A557" s="14" t="str">
        <x:v>店长</x:v>
      </x:c>
      <x:c r="B557" s="15" t="str">
        <x:v>侯兴华</x:v>
      </x:c>
      <x:c r="C557" s="16" t="n">
        <x:v>46114</x:v>
      </x:c>
      <x:c r="D557" s="17" t="n">
        <x:v>654</x:v>
      </x:c>
      <x:c r="E557" s="17" t="n">
        <x:v>744</x:v>
      </x:c>
      <x:c r="F557" s="18" t="n">
        <x:v>6625.02</x:v>
      </x:c>
    </x:row>
    <x:row r="558">
      <x:c r="A558" s="14" t="str">
        <x:v>店长</x:v>
      </x:c>
      <x:c r="B558" s="15" t="str">
        <x:v>侯兴华</x:v>
      </x:c>
      <x:c r="C558" s="16" t="n">
        <x:v>46115</x:v>
      </x:c>
      <x:c r="D558" s="17" t="n">
        <x:v>661</x:v>
      </x:c>
      <x:c r="E558" s="17" t="n">
        <x:v>753</x:v>
      </x:c>
      <x:c r="F558" s="18" t="n">
        <x:v>6752.18</x:v>
      </x:c>
    </x:row>
    <x:row r="559">
      <x:c r="A559" s="14" t="str">
        <x:v>店长</x:v>
      </x:c>
      <x:c r="B559" s="15" t="str">
        <x:v>侯兴华</x:v>
      </x:c>
      <x:c r="C559" s="16" t="n">
        <x:v>46116</x:v>
      </x:c>
      <x:c r="D559" s="17" t="n">
        <x:v>1637</x:v>
      </x:c>
      <x:c r="E559" s="17" t="n">
        <x:v>2564</x:v>
      </x:c>
      <x:c r="F559" s="18" t="n">
        <x:v>23797.11</x:v>
      </x:c>
    </x:row>
    <x:row r="560">
      <x:c r="A560" s="14" t="str">
        <x:v>店长</x:v>
      </x:c>
      <x:c r="B560" s="15" t="str">
        <x:v>侯兴华</x:v>
      </x:c>
      <x:c r="C560" s="16" t="n">
        <x:v>46117</x:v>
      </x:c>
      <x:c r="D560" s="17" t="n">
        <x:v>1216</x:v>
      </x:c>
      <x:c r="E560" s="17" t="n">
        <x:v>1588</x:v>
      </x:c>
      <x:c r="F560" s="18" t="n">
        <x:v>16735.96</x:v>
      </x:c>
    </x:row>
    <x:row r="561">
      <x:c r="A561" s="14" t="str">
        <x:v>店长</x:v>
      </x:c>
      <x:c r="B561" s="15" t="str">
        <x:v>侯兴华</x:v>
      </x:c>
      <x:c r="C561" s="16" t="n">
        <x:v>46118</x:v>
      </x:c>
      <x:c r="D561" s="17" t="n">
        <x:v>978</x:v>
      </x:c>
      <x:c r="E561" s="17" t="n">
        <x:v>1434</x:v>
      </x:c>
      <x:c r="F561" s="18" t="n">
        <x:v>11740.86</x:v>
      </x:c>
    </x:row>
    <x:row r="562">
      <x:c r="A562" s="14" t="str">
        <x:v>店长</x:v>
      </x:c>
      <x:c r="B562" s="15" t="str">
        <x:v>侯兴华</x:v>
      </x:c>
      <x:c r="C562" s="16" t="n">
        <x:v>46119</x:v>
      </x:c>
      <x:c r="D562" s="17" t="n">
        <x:v>974</x:v>
      </x:c>
      <x:c r="E562" s="17" t="n">
        <x:v>1345</x:v>
      </x:c>
      <x:c r="F562" s="18" t="n">
        <x:v>10855.13</x:v>
      </x:c>
    </x:row>
    <x:row r="563">
      <x:c r="A563" s="14" t="str">
        <x:v>店长</x:v>
      </x:c>
      <x:c r="B563" s="15" t="str">
        <x:v>侯兴华</x:v>
      </x:c>
      <x:c r="C563" s="16" t="n">
        <x:v>46120</x:v>
      </x:c>
      <x:c r="D563" s="17" t="n">
        <x:v>2410</x:v>
      </x:c>
      <x:c r="E563" s="17" t="n">
        <x:v>2814</x:v>
      </x:c>
      <x:c r="F563" s="18" t="n">
        <x:v>24192.64</x:v>
      </x:c>
    </x:row>
    <x:row r="564">
      <x:c r="A564" s="14" t="str">
        <x:v>店长</x:v>
      </x:c>
      <x:c r="B564" s="15" t="str">
        <x:v>侯兴华</x:v>
      </x:c>
      <x:c r="C564" s="16" t="n">
        <x:v>46121</x:v>
      </x:c>
      <x:c r="D564" s="17" t="n">
        <x:v>3881</x:v>
      </x:c>
      <x:c r="E564" s="17" t="n">
        <x:v>5789</x:v>
      </x:c>
      <x:c r="F564" s="18" t="n">
        <x:v>42502.71</x:v>
      </x:c>
    </x:row>
    <x:row r="565">
      <x:c r="A565" s="14" t="str">
        <x:v>店长</x:v>
      </x:c>
      <x:c r="B565" s="15" t="str">
        <x:v>侯兴华</x:v>
      </x:c>
      <x:c r="C565" s="16" t="n">
        <x:v>46122</x:v>
      </x:c>
      <x:c r="D565" s="17" t="n">
        <x:v>6065</x:v>
      </x:c>
      <x:c r="E565" s="17" t="n">
        <x:v>8382</x:v>
      </x:c>
      <x:c r="F565" s="18" t="n">
        <x:v>62939.65</x:v>
      </x:c>
    </x:row>
    <x:row r="566">
      <x:c r="A566" s="14" t="str">
        <x:v>店长</x:v>
      </x:c>
      <x:c r="B566" s="15" t="str">
        <x:v>侯兴华</x:v>
      </x:c>
      <x:c r="C566" s="16" t="n">
        <x:v>46123</x:v>
      </x:c>
      <x:c r="D566" s="17" t="n">
        <x:v>3922</x:v>
      </x:c>
      <x:c r="E566" s="17" t="n">
        <x:v>4561</x:v>
      </x:c>
      <x:c r="F566" s="18" t="n">
        <x:v>38190.28</x:v>
      </x:c>
    </x:row>
    <x:row r="567">
      <x:c r="A567" s="14" t="str">
        <x:v>店长</x:v>
      </x:c>
      <x:c r="B567" s="15" t="str">
        <x:v>侯兴华</x:v>
      </x:c>
      <x:c r="C567" s="16" t="n">
        <x:v>46124</x:v>
      </x:c>
      <x:c r="D567" s="17" t="n">
        <x:v>846</x:v>
      </x:c>
      <x:c r="E567" s="17" t="n">
        <x:v>1355</x:v>
      </x:c>
      <x:c r="F567" s="18" t="n">
        <x:v>9978.1</x:v>
      </x:c>
    </x:row>
    <x:row r="568">
      <x:c r="A568" s="14" t="str">
        <x:v>店长</x:v>
      </x:c>
      <x:c r="B568" s="15" t="str">
        <x:v>侯兴华</x:v>
      </x:c>
      <x:c r="C568" s="16" t="n">
        <x:v>46125</x:v>
      </x:c>
      <x:c r="D568" s="17" t="n">
        <x:v>969</x:v>
      </x:c>
      <x:c r="E568" s="17" t="n">
        <x:v>1554</x:v>
      </x:c>
      <x:c r="F568" s="18" t="n">
        <x:v>11335.53</x:v>
      </x:c>
    </x:row>
    <x:row r="569">
      <x:c r="A569" s="14" t="str">
        <x:v>店长</x:v>
      </x:c>
      <x:c r="B569" s="15" t="str">
        <x:v>侯兴华</x:v>
      </x:c>
      <x:c r="C569" s="16" t="n">
        <x:v>46126</x:v>
      </x:c>
      <x:c r="D569" s="17" t="n">
        <x:v>875</x:v>
      </x:c>
      <x:c r="E569" s="17" t="n">
        <x:v>1507</x:v>
      </x:c>
      <x:c r="F569" s="18" t="n">
        <x:v>11036.86</x:v>
      </x:c>
    </x:row>
    <x:row r="570">
      <x:c r="A570" s="14" t="str">
        <x:v>店长</x:v>
      </x:c>
      <x:c r="B570" s="15" t="str">
        <x:v>侯兴华</x:v>
      </x:c>
      <x:c r="C570" s="16" t="n">
        <x:v>46127</x:v>
      </x:c>
      <x:c r="D570" s="17" t="n">
        <x:v>865</x:v>
      </x:c>
      <x:c r="E570" s="17" t="n">
        <x:v>1610</x:v>
      </x:c>
      <x:c r="F570" s="18" t="n">
        <x:v>11589.17</x:v>
      </x:c>
    </x:row>
    <x:row r="571">
      <x:c r="A571" s="14" t="str">
        <x:v>店长</x:v>
      </x:c>
      <x:c r="B571" s="15" t="str">
        <x:v>侯兴华</x:v>
      </x:c>
      <x:c r="C571" s="16" t="n">
        <x:v>46128</x:v>
      </x:c>
      <x:c r="D571" s="17" t="n">
        <x:v>832</x:v>
      </x:c>
      <x:c r="E571" s="17" t="n">
        <x:v>1516</x:v>
      </x:c>
      <x:c r="F571" s="18" t="n">
        <x:v>10627.68</x:v>
      </x:c>
    </x:row>
    <x:row r="572">
      <x:c r="A572" s="14" t="str">
        <x:v>店长</x:v>
      </x:c>
      <x:c r="B572" s="15" t="str">
        <x:v>侯兴华</x:v>
      </x:c>
      <x:c r="C572" s="16" t="n">
        <x:v>46129</x:v>
      </x:c>
      <x:c r="D572" s="17" t="n">
        <x:v>862</x:v>
      </x:c>
      <x:c r="E572" s="17" t="n">
        <x:v>1618</x:v>
      </x:c>
      <x:c r="F572" s="18" t="n">
        <x:v>10464.7</x:v>
      </x:c>
    </x:row>
    <x:row r="573">
      <x:c r="A573" s="14" t="str">
        <x:v>店长</x:v>
      </x:c>
      <x:c r="B573" s="15" t="str">
        <x:v>侯兴华</x:v>
      </x:c>
      <x:c r="C573" s="16" t="n">
        <x:v>46130</x:v>
      </x:c>
      <x:c r="D573" s="17" t="n">
        <x:v>858</x:v>
      </x:c>
      <x:c r="E573" s="17" t="n">
        <x:v>1722</x:v>
      </x:c>
      <x:c r="F573" s="18" t="n">
        <x:v>10663.6</x:v>
      </x:c>
    </x:row>
    <x:row r="574">
      <x:c r="A574" s="14" t="str">
        <x:v>店长</x:v>
      </x:c>
      <x:c r="B574" s="15" t="str">
        <x:v>侯兴华</x:v>
      </x:c>
      <x:c r="C574" s="16" t="n">
        <x:v>46131</x:v>
      </x:c>
      <x:c r="D574" s="17" t="n">
        <x:v>988</x:v>
      </x:c>
      <x:c r="E574" s="17" t="n">
        <x:v>1868</x:v>
      </x:c>
      <x:c r="F574" s="18" t="n">
        <x:v>11905.84</x:v>
      </x:c>
    </x:row>
    <x:row r="575">
      <x:c r="A575" s="14" t="str">
        <x:v>店长</x:v>
      </x:c>
      <x:c r="B575" s="15" t="str">
        <x:v>侯兴华</x:v>
      </x:c>
      <x:c r="C575" s="16" t="n">
        <x:v>46132</x:v>
      </x:c>
      <x:c r="D575" s="17" t="n">
        <x:v>877</x:v>
      </x:c>
      <x:c r="E575" s="17" t="n">
        <x:v>1740</x:v>
      </x:c>
      <x:c r="F575" s="18" t="n">
        <x:v>10690.06</x:v>
      </x:c>
    </x:row>
    <x:row r="576">
      <x:c r="A576" s="14" t="str">
        <x:v>店长</x:v>
      </x:c>
      <x:c r="B576" s="15" t="str">
        <x:v>侯兴华</x:v>
      </x:c>
      <x:c r="C576" s="16" t="n">
        <x:v>46133</x:v>
      </x:c>
      <x:c r="D576" s="17" t="n">
        <x:v>854</x:v>
      </x:c>
      <x:c r="E576" s="17" t="n">
        <x:v>1754</x:v>
      </x:c>
      <x:c r="F576" s="18" t="n">
        <x:v>10761.22</x:v>
      </x:c>
    </x:row>
    <x:row r="577">
      <x:c r="A577" s="14" t="str">
        <x:v>店长</x:v>
      </x:c>
      <x:c r="B577" s="15" t="str">
        <x:v>侯兴华</x:v>
      </x:c>
      <x:c r="C577" s="16" t="n">
        <x:v>46134</x:v>
      </x:c>
      <x:c r="D577" s="17" t="n">
        <x:v>778</x:v>
      </x:c>
      <x:c r="E577" s="17" t="n">
        <x:v>1405</x:v>
      </x:c>
      <x:c r="F577" s="18" t="n">
        <x:v>9662.25</x:v>
      </x:c>
    </x:row>
    <x:row r="578">
      <x:c r="A578" s="14" t="str">
        <x:v>店长</x:v>
      </x:c>
      <x:c r="B578" s="15" t="str">
        <x:v>侯兴华</x:v>
      </x:c>
      <x:c r="C578" s="16" t="n">
        <x:v>46135</x:v>
      </x:c>
      <x:c r="D578" s="17" t="n">
        <x:v>1178</x:v>
      </x:c>
      <x:c r="E578" s="17" t="n">
        <x:v>2287</x:v>
      </x:c>
      <x:c r="F578" s="18" t="n">
        <x:v>14819.9</x:v>
      </x:c>
    </x:row>
    <x:row r="579">
      <x:c r="A579" s="14" t="str">
        <x:v>店长</x:v>
      </x:c>
      <x:c r="B579" s="15" t="str">
        <x:v>侯兴华</x:v>
      </x:c>
      <x:c r="C579" s="16" t="n">
        <x:v>46136</x:v>
      </x:c>
      <x:c r="D579" s="17" t="n">
        <x:v>809</x:v>
      </x:c>
      <x:c r="E579" s="17" t="n">
        <x:v>1404</x:v>
      </x:c>
      <x:c r="F579" s="18" t="n">
        <x:v>9877.09</x:v>
      </x:c>
    </x:row>
    <x:row r="580">
      <x:c r="A580" s="14" t="str">
        <x:v>店长</x:v>
      </x:c>
      <x:c r="B580" s="15" t="str">
        <x:v>侯兴华</x:v>
      </x:c>
      <x:c r="C580" s="16" t="n">
        <x:v>46137</x:v>
      </x:c>
      <x:c r="D580" s="17" t="n">
        <x:v>1021</x:v>
      </x:c>
      <x:c r="E580" s="17" t="n">
        <x:v>1732</x:v>
      </x:c>
      <x:c r="F580" s="18" t="n">
        <x:v>12285.4</x:v>
      </x:c>
    </x:row>
    <x:row r="581">
      <x:c r="A581" s="14" t="str">
        <x:v>店长</x:v>
      </x:c>
      <x:c r="B581" s="15" t="str">
        <x:v>侯兴华</x:v>
      </x:c>
      <x:c r="C581" s="16" t="n">
        <x:v>46138</x:v>
      </x:c>
      <x:c r="D581" s="17" t="n">
        <x:v>829</x:v>
      </x:c>
      <x:c r="E581" s="17" t="n">
        <x:v>1375</x:v>
      </x:c>
      <x:c r="F581" s="18" t="n">
        <x:v>10114.63</x:v>
      </x:c>
    </x:row>
    <x:row r="582">
      <x:c r="A582" s="14" t="str">
        <x:v>店长</x:v>
      </x:c>
      <x:c r="B582" s="15" t="str">
        <x:v>侯兴华</x:v>
      </x:c>
      <x:c r="C582" s="16" t="n">
        <x:v>46139</x:v>
      </x:c>
      <x:c r="D582" s="17" t="n">
        <x:v>623</x:v>
      </x:c>
      <x:c r="E582" s="17" t="n">
        <x:v>1033</x:v>
      </x:c>
      <x:c r="F582" s="18" t="n">
        <x:v>7739.57</x:v>
      </x:c>
    </x:row>
    <x:row r="583">
      <x:c r="A583" s="14" t="str">
        <x:v>店长</x:v>
      </x:c>
      <x:c r="B583" s="15" t="str">
        <x:v>侯兴华</x:v>
      </x:c>
      <x:c r="C583" s="16" t="n">
        <x:v>46140</x:v>
      </x:c>
      <x:c r="D583" s="17" t="n">
        <x:v>719</x:v>
      </x:c>
      <x:c r="E583" s="17" t="n">
        <x:v>1205</x:v>
      </x:c>
      <x:c r="F583" s="18" t="n">
        <x:v>9438.09</x:v>
      </x:c>
    </x:row>
    <x:row r="584">
      <x:c r="A584" s="14" t="str">
        <x:v>店长</x:v>
      </x:c>
      <x:c r="B584" s="15" t="str">
        <x:v>侯兴华</x:v>
      </x:c>
      <x:c r="C584" s="16" t="n">
        <x:v>46141</x:v>
      </x:c>
      <x:c r="D584" s="17" t="n">
        <x:v>839</x:v>
      </x:c>
      <x:c r="E584" s="17" t="n">
        <x:v>1428</x:v>
      </x:c>
      <x:c r="F584" s="18" t="n">
        <x:v>10698.42</x:v>
      </x:c>
    </x:row>
    <x:row r="585">
      <x:c r="A585" s="14" t="str">
        <x:v>店长</x:v>
      </x:c>
      <x:c r="B585" s="15" t="str">
        <x:v>侯兴华</x:v>
      </x:c>
      <x:c r="C585" s="16" t="n">
        <x:v>46142</x:v>
      </x:c>
      <x:c r="D585" s="17" t="n">
        <x:v>786</x:v>
      </x:c>
      <x:c r="E585" s="17" t="n">
        <x:v>1219</x:v>
      </x:c>
      <x:c r="F585" s="18" t="n">
        <x:v>10479.99</x:v>
      </x:c>
    </x:row>
    <x:row r="586">
      <x:c r="A586" s="14" t="str">
        <x:v>店长</x:v>
      </x:c>
      <x:c r="B586" s="15" t="str">
        <x:v>侯兴华</x:v>
      </x:c>
      <x:c r="C586" s="16" t="n">
        <x:v>46143</x:v>
      </x:c>
      <x:c r="D586" s="17" t="n">
        <x:v>837</x:v>
      </x:c>
      <x:c r="E586" s="17" t="n">
        <x:v>1378</x:v>
      </x:c>
      <x:c r="F586" s="18" t="n">
        <x:v>11597.98</x:v>
      </x:c>
    </x:row>
    <x:row r="587">
      <x:c r="A587" s="14" t="str">
        <x:v>店长</x:v>
      </x:c>
      <x:c r="B587" s="15" t="str">
        <x:v>侯兴华</x:v>
      </x:c>
      <x:c r="C587" s="16" t="n">
        <x:v>46144</x:v>
      </x:c>
      <x:c r="D587" s="17" t="n">
        <x:v>897</x:v>
      </x:c>
      <x:c r="E587" s="17" t="n">
        <x:v>1413</x:v>
      </x:c>
      <x:c r="F587" s="18" t="n">
        <x:v>11623.89</x:v>
      </x:c>
    </x:row>
    <x:row r="588">
      <x:c r="A588" s="14" t="str">
        <x:v>店长</x:v>
      </x:c>
      <x:c r="B588" s="15" t="str">
        <x:v>侯兴华</x:v>
      </x:c>
      <x:c r="C588" s="16" t="n">
        <x:v>46145</x:v>
      </x:c>
      <x:c r="D588" s="17" t="n">
        <x:v>677</x:v>
      </x:c>
      <x:c r="E588" s="17" t="n">
        <x:v>1123</x:v>
      </x:c>
      <x:c r="F588" s="18" t="n">
        <x:v>8724.64</x:v>
      </x:c>
    </x:row>
    <x:row r="589">
      <x:c r="A589" s="14" t="str">
        <x:v>店长</x:v>
      </x:c>
      <x:c r="B589" s="15" t="str">
        <x:v>侯兴华</x:v>
      </x:c>
      <x:c r="C589" s="16" t="n">
        <x:v>46146</x:v>
      </x:c>
      <x:c r="D589" s="17" t="n">
        <x:v>704</x:v>
      </x:c>
      <x:c r="E589" s="17" t="n">
        <x:v>1271</x:v>
      </x:c>
      <x:c r="F589" s="18" t="n">
        <x:v>9530.92</x:v>
      </x:c>
    </x:row>
    <x:row r="590">
      <x:c r="A590" s="14" t="str">
        <x:v>店长</x:v>
      </x:c>
      <x:c r="B590" s="15" t="str">
        <x:v>侯兴华</x:v>
      </x:c>
      <x:c r="C590" s="16" t="n">
        <x:v>46147</x:v>
      </x:c>
      <x:c r="D590" s="17" t="n">
        <x:v>896</x:v>
      </x:c>
      <x:c r="E590" s="17" t="n">
        <x:v>1427</x:v>
      </x:c>
      <x:c r="F590" s="18" t="n">
        <x:v>11338.38</x:v>
      </x:c>
    </x:row>
    <x:row r="591">
      <x:c r="A591" s="14" t="str">
        <x:v>店长</x:v>
      </x:c>
      <x:c r="B591" s="15" t="str">
        <x:v>侯兴华</x:v>
      </x:c>
      <x:c r="C591" s="16" t="n">
        <x:v>46148</x:v>
      </x:c>
      <x:c r="D591" s="17" t="n">
        <x:v>837</x:v>
      </x:c>
      <x:c r="E591" s="17" t="n">
        <x:v>1438</x:v>
      </x:c>
      <x:c r="F591" s="18" t="n">
        <x:v>10748.83</x:v>
      </x:c>
    </x:row>
    <x:row r="592">
      <x:c r="A592" s="14" t="str">
        <x:v>店长</x:v>
      </x:c>
      <x:c r="B592" s="15" t="str">
        <x:v>侯兴华</x:v>
      </x:c>
      <x:c r="C592" s="16" t="n">
        <x:v>46149</x:v>
      </x:c>
      <x:c r="D592" s="17" t="n">
        <x:v>762</x:v>
      </x:c>
      <x:c r="E592" s="17" t="n">
        <x:v>1267</x:v>
      </x:c>
      <x:c r="F592" s="18" t="n">
        <x:v>9240.7</x:v>
      </x:c>
    </x:row>
    <x:row r="593">
      <x:c r="A593" s="14" t="str">
        <x:v>店长</x:v>
      </x:c>
      <x:c r="B593" s="15" t="str">
        <x:v>侯兴华</x:v>
      </x:c>
      <x:c r="C593" s="16" t="n">
        <x:v>46150</x:v>
      </x:c>
      <x:c r="D593" s="17" t="n">
        <x:v>693</x:v>
      </x:c>
      <x:c r="E593" s="17" t="n">
        <x:v>1105</x:v>
      </x:c>
      <x:c r="F593" s="18" t="n">
        <x:v>8532.3</x:v>
      </x:c>
    </x:row>
    <x:row r="594">
      <x:c r="A594" s="14" t="str">
        <x:v>店长</x:v>
      </x:c>
      <x:c r="B594" s="15" t="str">
        <x:v>侯兴华</x:v>
      </x:c>
      <x:c r="C594" s="16" t="n">
        <x:v>46151</x:v>
      </x:c>
      <x:c r="D594" s="17" t="n">
        <x:v>855</x:v>
      </x:c>
      <x:c r="E594" s="17" t="n">
        <x:v>1549</x:v>
      </x:c>
      <x:c r="F594" s="18" t="n">
        <x:v>11045.71</x:v>
      </x:c>
    </x:row>
    <x:row r="595">
      <x:c r="A595" s="14" t="str">
        <x:v>店长</x:v>
      </x:c>
      <x:c r="B595" s="15" t="str">
        <x:v>侯兴华</x:v>
      </x:c>
      <x:c r="C595" s="16" t="n">
        <x:v>46152</x:v>
      </x:c>
      <x:c r="D595" s="17" t="n">
        <x:v>688</x:v>
      </x:c>
      <x:c r="E595" s="17" t="n">
        <x:v>1168</x:v>
      </x:c>
      <x:c r="F595" s="18" t="n">
        <x:v>8652.85</x:v>
      </x:c>
    </x:row>
    <x:row r="596">
      <x:c r="A596" s="14" t="str">
        <x:v>店长</x:v>
      </x:c>
      <x:c r="B596" s="15" t="str">
        <x:v>侯兴华</x:v>
      </x:c>
      <x:c r="C596" s="16" t="n">
        <x:v>46153</x:v>
      </x:c>
      <x:c r="D596" s="17" t="n">
        <x:v>748</x:v>
      </x:c>
      <x:c r="E596" s="17" t="n">
        <x:v>1293</x:v>
      </x:c>
      <x:c r="F596" s="18" t="n">
        <x:v>9199.3</x:v>
      </x:c>
    </x:row>
    <x:row r="597">
      <x:c r="A597" s="14" t="str">
        <x:v>店长</x:v>
      </x:c>
      <x:c r="B597" s="15" t="str">
        <x:v>侯兴华</x:v>
      </x:c>
      <x:c r="C597" s="16" t="n">
        <x:v>46154</x:v>
      </x:c>
      <x:c r="D597" s="17" t="n">
        <x:v>715</x:v>
      </x:c>
      <x:c r="E597" s="17" t="n">
        <x:v>1203</x:v>
      </x:c>
      <x:c r="F597" s="18" t="n">
        <x:v>8893.55</x:v>
      </x:c>
    </x:row>
    <x:row r="598">
      <x:c r="A598" s="14" t="str">
        <x:v>店长</x:v>
      </x:c>
      <x:c r="B598" s="15" t="str">
        <x:v>侯兴华</x:v>
      </x:c>
      <x:c r="C598" s="16" t="n">
        <x:v>46155</x:v>
      </x:c>
      <x:c r="D598" s="17" t="n">
        <x:v>804</x:v>
      </x:c>
      <x:c r="E598" s="17" t="n">
        <x:v>1396</x:v>
      </x:c>
      <x:c r="F598" s="18" t="n">
        <x:v>10701.37</x:v>
      </x:c>
    </x:row>
    <x:row r="599">
      <x:c r="A599" s="14" t="str">
        <x:v>店长</x:v>
      </x:c>
      <x:c r="B599" s="15" t="str">
        <x:v>侯兴华</x:v>
      </x:c>
      <x:c r="C599" s="16" t="n">
        <x:v>46156</x:v>
      </x:c>
      <x:c r="D599" s="17" t="n">
        <x:v>863</x:v>
      </x:c>
      <x:c r="E599" s="17" t="n">
        <x:v>1423</x:v>
      </x:c>
      <x:c r="F599" s="18" t="n">
        <x:v>10819.57</x:v>
      </x:c>
    </x:row>
    <x:row r="600">
      <x:c r="A600" s="14" t="str">
        <x:v>店长</x:v>
      </x:c>
      <x:c r="B600" s="15" t="str">
        <x:v>侯兴华</x:v>
      </x:c>
      <x:c r="C600" s="16" t="n">
        <x:v>46157</x:v>
      </x:c>
      <x:c r="D600" s="17" t="n">
        <x:v>1053</x:v>
      </x:c>
      <x:c r="E600" s="17" t="n">
        <x:v>1733</x:v>
      </x:c>
      <x:c r="F600" s="18" t="n">
        <x:v>13439.44</x:v>
      </x:c>
    </x:row>
    <x:row r="601">
      <x:c r="A601" s="14" t="str">
        <x:v>店长</x:v>
      </x:c>
      <x:c r="B601" s="15" t="str">
        <x:v>侯兴华</x:v>
      </x:c>
      <x:c r="C601" s="16" t="n">
        <x:v>46158</x:v>
      </x:c>
      <x:c r="D601" s="17" t="n">
        <x:v>771</x:v>
      </x:c>
      <x:c r="E601" s="17" t="n">
        <x:v>1301</x:v>
      </x:c>
      <x:c r="F601" s="18" t="n">
        <x:v>10104.19</x:v>
      </x:c>
    </x:row>
    <x:row r="602">
      <x:c r="A602" s="14" t="str">
        <x:v>店长</x:v>
      </x:c>
      <x:c r="B602" s="15" t="str">
        <x:v>侯兴华</x:v>
      </x:c>
      <x:c r="C602" s="16" t="n">
        <x:v>46159</x:v>
      </x:c>
      <x:c r="D602" s="17" t="n">
        <x:v>935</x:v>
      </x:c>
      <x:c r="E602" s="17" t="n">
        <x:v>1614</x:v>
      </x:c>
      <x:c r="F602" s="18" t="n">
        <x:v>11813.46</x:v>
      </x:c>
    </x:row>
    <x:row r="603">
      <x:c r="A603" s="14" t="str">
        <x:v>店长</x:v>
      </x:c>
      <x:c r="B603" s="15" t="str">
        <x:v>侯兴华</x:v>
      </x:c>
      <x:c r="C603" s="16" t="n">
        <x:v>46160</x:v>
      </x:c>
      <x:c r="D603" s="17" t="n">
        <x:v>710</x:v>
      </x:c>
      <x:c r="E603" s="17" t="n">
        <x:v>1296</x:v>
      </x:c>
      <x:c r="F603" s="18" t="n">
        <x:v>9600.53</x:v>
      </x:c>
    </x:row>
    <x:row r="604">
      <x:c r="A604" s="14" t="str">
        <x:v>店长</x:v>
      </x:c>
      <x:c r="B604" s="15" t="str">
        <x:v>侯兴华</x:v>
      </x:c>
      <x:c r="C604" s="16" t="n">
        <x:v>46161</x:v>
      </x:c>
      <x:c r="D604" s="17" t="n">
        <x:v>1064</x:v>
      </x:c>
      <x:c r="E604" s="17" t="n">
        <x:v>1716</x:v>
      </x:c>
      <x:c r="F604" s="18" t="n">
        <x:v>13227.28</x:v>
      </x:c>
    </x:row>
    <x:row r="605">
      <x:c r="A605" s="14" t="str">
        <x:v>店长</x:v>
      </x:c>
      <x:c r="B605" s="15" t="str">
        <x:v>侯兴华</x:v>
      </x:c>
      <x:c r="C605" s="16" t="n">
        <x:v>46162</x:v>
      </x:c>
      <x:c r="D605" s="17" t="n">
        <x:v>1085</x:v>
      </x:c>
      <x:c r="E605" s="17" t="n">
        <x:v>1893</x:v>
      </x:c>
      <x:c r="F605" s="18" t="n">
        <x:v>13523.39</x:v>
      </x:c>
    </x:row>
    <x:row r="606">
      <x:c r="A606" s="14" t="str">
        <x:v>店长</x:v>
      </x:c>
      <x:c r="B606" s="15" t="str">
        <x:v>侯兴华</x:v>
      </x:c>
      <x:c r="C606" s="16" t="n">
        <x:v>46163</x:v>
      </x:c>
      <x:c r="D606" s="17" t="n">
        <x:v>1045</x:v>
      </x:c>
      <x:c r="E606" s="17" t="n">
        <x:v>1694</x:v>
      </x:c>
      <x:c r="F606" s="18" t="n">
        <x:v>13199.92</x:v>
      </x:c>
    </x:row>
    <x:row r="607">
      <x:c r="A607" s="14" t="str">
        <x:v>店长</x:v>
      </x:c>
      <x:c r="B607" s="15" t="str">
        <x:v>侯兴华</x:v>
      </x:c>
      <x:c r="C607" s="16" t="n">
        <x:v>46164</x:v>
      </x:c>
      <x:c r="D607" s="17" t="n">
        <x:v>1028</x:v>
      </x:c>
      <x:c r="E607" s="17" t="n">
        <x:v>1656</x:v>
      </x:c>
      <x:c r="F607" s="18" t="n">
        <x:v>12295.92</x:v>
      </x:c>
    </x:row>
    <x:row r="608">
      <x:c r="A608" s="14" t="str">
        <x:v>店长</x:v>
      </x:c>
      <x:c r="B608" s="15" t="str">
        <x:v>侯兴华</x:v>
      </x:c>
      <x:c r="C608" s="16" t="n">
        <x:v>46165</x:v>
      </x:c>
      <x:c r="D608" s="17" t="n">
        <x:v>1044</x:v>
      </x:c>
      <x:c r="E608" s="17" t="n">
        <x:v>1611</x:v>
      </x:c>
      <x:c r="F608" s="18" t="n">
        <x:v>12747.78</x:v>
      </x:c>
    </x:row>
    <x:row r="609">
      <x:c r="A609" s="14" t="str">
        <x:v>店长</x:v>
      </x:c>
      <x:c r="B609" s="15" t="str">
        <x:v>侯兴华</x:v>
      </x:c>
      <x:c r="C609" s="16" t="n">
        <x:v>46166</x:v>
      </x:c>
      <x:c r="D609" s="17" t="n">
        <x:v>1071</x:v>
      </x:c>
      <x:c r="E609" s="17" t="n">
        <x:v>1770</x:v>
      </x:c>
      <x:c r="F609" s="18" t="n">
        <x:v>12352.48</x:v>
      </x:c>
    </x:row>
    <x:row r="610">
      <x:c r="A610" s="14" t="str">
        <x:v>店长</x:v>
      </x:c>
      <x:c r="B610" s="15" t="str">
        <x:v>侯兴华</x:v>
      </x:c>
      <x:c r="C610" s="16" t="n">
        <x:v>46167</x:v>
      </x:c>
      <x:c r="D610" s="17" t="n">
        <x:v>1248</x:v>
      </x:c>
      <x:c r="E610" s="17" t="n">
        <x:v>1896</x:v>
      </x:c>
      <x:c r="F610" s="18" t="n">
        <x:v>14319.79</x:v>
      </x:c>
    </x:row>
    <x:row r="611">
      <x:c r="A611" s="14" t="str">
        <x:v>店长</x:v>
      </x:c>
      <x:c r="B611" s="15" t="str">
        <x:v>侯兴华</x:v>
      </x:c>
      <x:c r="C611" s="16" t="n">
        <x:v>46168</x:v>
      </x:c>
      <x:c r="D611" s="17" t="n">
        <x:v>1155</x:v>
      </x:c>
      <x:c r="E611" s="17" t="n">
        <x:v>1770</x:v>
      </x:c>
      <x:c r="F611" s="18" t="n">
        <x:v>13431.66</x:v>
      </x:c>
    </x:row>
    <x:row r="612">
      <x:c r="A612" s="14" t="str">
        <x:v>店长</x:v>
      </x:c>
      <x:c r="B612" s="15" t="str">
        <x:v>侯兴华</x:v>
      </x:c>
      <x:c r="C612" s="16" t="n">
        <x:v>46169</x:v>
      </x:c>
      <x:c r="D612" s="17" t="n">
        <x:v>1248</x:v>
      </x:c>
      <x:c r="E612" s="17" t="n">
        <x:v>1994</x:v>
      </x:c>
      <x:c r="F612" s="18" t="n">
        <x:v>14574.27</x:v>
      </x:c>
    </x:row>
    <x:row r="613">
      <x:c r="A613" s="14" t="str">
        <x:v>店长</x:v>
      </x:c>
      <x:c r="B613" s="15" t="str">
        <x:v>侯兴华</x:v>
      </x:c>
      <x:c r="C613" s="16" t="n">
        <x:v>46170</x:v>
      </x:c>
      <x:c r="D613" s="17" t="n">
        <x:v>1292</x:v>
      </x:c>
      <x:c r="E613" s="17" t="n">
        <x:v>2179</x:v>
      </x:c>
      <x:c r="F613" s="18" t="n">
        <x:v>15269.65</x:v>
      </x:c>
    </x:row>
    <x:row r="614">
      <x:c r="A614" s="14" t="str">
        <x:v>店长</x:v>
      </x:c>
      <x:c r="B614" s="15" t="str">
        <x:v>侯兴华</x:v>
      </x:c>
      <x:c r="C614" s="16" t="n">
        <x:v>46171</x:v>
      </x:c>
      <x:c r="D614" s="17" t="n">
        <x:v>1355</x:v>
      </x:c>
      <x:c r="E614" s="17" t="n">
        <x:v>2311</x:v>
      </x:c>
      <x:c r="F614" s="18" t="n">
        <x:v>15715.38</x:v>
      </x:c>
    </x:row>
    <x:row r="615">
      <x:c r="A615" s="14" t="str">
        <x:v>店长</x:v>
      </x:c>
      <x:c r="B615" s="15" t="str">
        <x:v>侯兴华</x:v>
      </x:c>
      <x:c r="C615" s="16" t="n">
        <x:v>46172</x:v>
      </x:c>
      <x:c r="D615" s="17" t="n">
        <x:v>1367</x:v>
      </x:c>
      <x:c r="E615" s="17" t="n">
        <x:v>2317</x:v>
      </x:c>
      <x:c r="F615" s="18" t="n">
        <x:v>16125.79</x:v>
      </x:c>
    </x:row>
    <x:row r="616">
      <x:c r="A616" s="14" t="str">
        <x:v>店长</x:v>
      </x:c>
      <x:c r="B616" s="15" t="str">
        <x:v>侯兴华</x:v>
      </x:c>
      <x:c r="C616" s="16" t="n">
        <x:v>46173</x:v>
      </x:c>
      <x:c r="D616" s="17" t="n">
        <x:v>1287</x:v>
      </x:c>
      <x:c r="E616" s="17" t="n">
        <x:v>2165</x:v>
      </x:c>
      <x:c r="F616" s="18" t="n">
        <x:v>15304.77</x:v>
      </x:c>
    </x:row>
    <x:row r="617">
      <x:c r="A617" s="14" t="str">
        <x:v>店长</x:v>
      </x:c>
      <x:c r="B617" s="15" t="str">
        <x:v>侯兴华</x:v>
      </x:c>
      <x:c r="C617" s="16" t="n">
        <x:v>46174</x:v>
      </x:c>
      <x:c r="D617" s="17" t="n">
        <x:v>1127</x:v>
      </x:c>
      <x:c r="E617" s="17" t="n">
        <x:v>2002</x:v>
      </x:c>
      <x:c r="F617" s="18" t="n">
        <x:v>13507.87</x:v>
      </x:c>
    </x:row>
    <x:row r="618">
      <x:c r="A618" s="14" t="str">
        <x:v>店长</x:v>
      </x:c>
      <x:c r="B618" s="15" t="str">
        <x:v>侯兴华</x:v>
      </x:c>
      <x:c r="C618" s="16" t="n">
        <x:v>46175</x:v>
      </x:c>
      <x:c r="D618" s="17" t="n">
        <x:v>949</x:v>
      </x:c>
      <x:c r="E618" s="17" t="n">
        <x:v>1643</x:v>
      </x:c>
      <x:c r="F618" s="18" t="n">
        <x:v>11779.25</x:v>
      </x:c>
    </x:row>
    <x:row r="619">
      <x:c r="A619" s="14" t="str">
        <x:v>店长</x:v>
      </x:c>
      <x:c r="B619" s="15" t="str">
        <x:v>侯兴华</x:v>
      </x:c>
      <x:c r="C619" s="16" t="n">
        <x:v>46176</x:v>
      </x:c>
      <x:c r="D619" s="17" t="n">
        <x:v>936</x:v>
      </x:c>
      <x:c r="E619" s="17" t="n">
        <x:v>1749</x:v>
      </x:c>
      <x:c r="F619" s="18" t="n">
        <x:v>11738.98</x:v>
      </x:c>
    </x:row>
    <x:row r="620">
      <x:c r="A620" s="14" t="str">
        <x:v>店长</x:v>
      </x:c>
      <x:c r="B620" s="15" t="str">
        <x:v>侯兴华</x:v>
      </x:c>
      <x:c r="C620" s="16" t="n">
        <x:v>46177</x:v>
      </x:c>
      <x:c r="D620" s="17" t="n">
        <x:v>1176</x:v>
      </x:c>
      <x:c r="E620" s="17" t="n">
        <x:v>2395</x:v>
      </x:c>
      <x:c r="F620" s="18" t="n">
        <x:v>14595.82</x:v>
      </x:c>
    </x:row>
    <x:row r="621">
      <x:c r="A621" s="14" t="str">
        <x:v>店长</x:v>
      </x:c>
      <x:c r="B621" s="15" t="str">
        <x:v>侯兴华</x:v>
      </x:c>
      <x:c r="C621" s="16" t="n">
        <x:v>46178</x:v>
      </x:c>
      <x:c r="D621" s="17" t="n">
        <x:v>919</x:v>
      </x:c>
      <x:c r="E621" s="17" t="n">
        <x:v>2044</x:v>
      </x:c>
      <x:c r="F621" s="18" t="n">
        <x:v>11979.87</x:v>
      </x:c>
    </x:row>
    <x:row r="622">
      <x:c r="A622" s="14" t="str">
        <x:v>店长</x:v>
      </x:c>
      <x:c r="B622" s="15" t="str">
        <x:v>侯兴华</x:v>
      </x:c>
      <x:c r="C622" s="16" t="n">
        <x:v>46179</x:v>
      </x:c>
      <x:c r="D622" s="17" t="n">
        <x:v>1408</x:v>
      </x:c>
      <x:c r="E622" s="17" t="n">
        <x:v>3197</x:v>
      </x:c>
      <x:c r="F622" s="18" t="n">
        <x:v>18015.34</x:v>
      </x:c>
    </x:row>
    <x:row r="623">
      <x:c r="A623" s="14" t="str">
        <x:v>店长</x:v>
      </x:c>
      <x:c r="B623" s="15" t="str">
        <x:v>侯兴华</x:v>
      </x:c>
      <x:c r="C623" s="16" t="n">
        <x:v>46180</x:v>
      </x:c>
      <x:c r="D623" s="17" t="n">
        <x:v>1525</x:v>
      </x:c>
      <x:c r="E623" s="17" t="n">
        <x:v>3572</x:v>
      </x:c>
      <x:c r="F623" s="18" t="n">
        <x:v>19938.75</x:v>
      </x:c>
    </x:row>
    <x:row r="624">
      <x:c r="A624" s="14" t="str">
        <x:v>店长</x:v>
      </x:c>
      <x:c r="B624" s="15" t="str">
        <x:v>侯兴华</x:v>
      </x:c>
      <x:c r="C624" s="16" t="n">
        <x:v>46181</x:v>
      </x:c>
      <x:c r="D624" s="17" t="n">
        <x:v>1309</x:v>
      </x:c>
      <x:c r="E624" s="17" t="n">
        <x:v>3108</x:v>
      </x:c>
      <x:c r="F624" s="18" t="n">
        <x:v>16606.39</x:v>
      </x:c>
    </x:row>
    <x:row r="625">
      <x:c r="A625" s="14" t="str">
        <x:v>店长</x:v>
      </x:c>
      <x:c r="B625" s="15" t="str">
        <x:v>侯兴华</x:v>
      </x:c>
      <x:c r="C625" s="16" t="n">
        <x:v>46182</x:v>
      </x:c>
      <x:c r="D625" s="17" t="n">
        <x:v>1279</x:v>
      </x:c>
      <x:c r="E625" s="17" t="n">
        <x:v>3038</x:v>
      </x:c>
      <x:c r="F625" s="18" t="n">
        <x:v>16762.63</x:v>
      </x:c>
    </x:row>
    <x:row r="626">
      <x:c r="A626" s="14" t="str">
        <x:v>店长</x:v>
      </x:c>
      <x:c r="B626" s="15" t="str">
        <x:v>侯兴华</x:v>
      </x:c>
      <x:c r="C626" s="16" t="n">
        <x:v>46183</x:v>
      </x:c>
      <x:c r="D626" s="17" t="n">
        <x:v>1218</x:v>
      </x:c>
      <x:c r="E626" s="17" t="n">
        <x:v>2863</x:v>
      </x:c>
      <x:c r="F626" s="18" t="n">
        <x:v>15750.08</x:v>
      </x:c>
    </x:row>
    <x:row r="627">
      <x:c r="A627" s="14" t="str">
        <x:v>店长</x:v>
      </x:c>
      <x:c r="B627" s="15" t="str">
        <x:v>侯兴华</x:v>
      </x:c>
      <x:c r="C627" s="16" t="n">
        <x:v>46184</x:v>
      </x:c>
      <x:c r="D627" s="17" t="n">
        <x:v>1060</x:v>
      </x:c>
      <x:c r="E627" s="17" t="n">
        <x:v>2464</x:v>
      </x:c>
      <x:c r="F627" s="18" t="n">
        <x:v>14129.62</x:v>
      </x:c>
    </x:row>
    <x:row r="628">
      <x:c r="A628" s="14" t="str">
        <x:v>店长</x:v>
      </x:c>
      <x:c r="B628" s="15" t="str">
        <x:v>侯兴华</x:v>
      </x:c>
      <x:c r="C628" s="16" t="n">
        <x:v>46185</x:v>
      </x:c>
      <x:c r="D628" s="17" t="n">
        <x:v>1047</x:v>
      </x:c>
      <x:c r="E628" s="17" t="n">
        <x:v>2463</x:v>
      </x:c>
      <x:c r="F628" s="18" t="n">
        <x:v>14159.8</x:v>
      </x:c>
    </x:row>
    <x:row r="629">
      <x:c r="A629" s="14" t="str">
        <x:v>店长</x:v>
      </x:c>
      <x:c r="B629" s="15" t="str">
        <x:v>侯兴华</x:v>
      </x:c>
      <x:c r="C629" s="16" t="n">
        <x:v>46186</x:v>
      </x:c>
      <x:c r="D629" s="17" t="n">
        <x:v>1111</x:v>
      </x:c>
      <x:c r="E629" s="17" t="n">
        <x:v>2593</x:v>
      </x:c>
      <x:c r="F629" s="18" t="n">
        <x:v>15754.02</x:v>
      </x:c>
    </x:row>
    <x:row r="630">
      <x:c r="A630" s="14" t="str">
        <x:v>店长</x:v>
      </x:c>
      <x:c r="B630" s="15" t="str">
        <x:v>侯兴华</x:v>
      </x:c>
      <x:c r="C630" s="16" t="n">
        <x:v>46187</x:v>
      </x:c>
      <x:c r="D630" s="17" t="n">
        <x:v>1024</x:v>
      </x:c>
      <x:c r="E630" s="17" t="n">
        <x:v>2356</x:v>
      </x:c>
      <x:c r="F630" s="18" t="n">
        <x:v>13924.48</x:v>
      </x:c>
    </x:row>
    <x:row r="631">
      <x:c r="A631" s="14" t="str">
        <x:v>店长</x:v>
      </x:c>
      <x:c r="B631" s="15" t="str">
        <x:v>侯兴华</x:v>
      </x:c>
      <x:c r="C631" s="16" t="n">
        <x:v>46188</x:v>
      </x:c>
      <x:c r="D631" s="17" t="n">
        <x:v>1025</x:v>
      </x:c>
      <x:c r="E631" s="17" t="n">
        <x:v>2404</x:v>
      </x:c>
      <x:c r="F631" s="18" t="n">
        <x:v>14780.18</x:v>
      </x:c>
    </x:row>
    <x:row r="632">
      <x:c r="A632" s="14" t="str">
        <x:v>店长</x:v>
      </x:c>
      <x:c r="B632" s="15" t="str">
        <x:v>侯兴华</x:v>
      </x:c>
      <x:c r="C632" s="16" t="n">
        <x:v>46189</x:v>
      </x:c>
      <x:c r="D632" s="17" t="n">
        <x:v>1051</x:v>
      </x:c>
      <x:c r="E632" s="17" t="n">
        <x:v>2514</x:v>
      </x:c>
      <x:c r="F632" s="18" t="n">
        <x:v>15455.65</x:v>
      </x:c>
    </x:row>
    <x:row r="633">
      <x:c r="A633" s="14" t="str">
        <x:v>店长</x:v>
      </x:c>
      <x:c r="B633" s="15" t="str">
        <x:v>侯兴华</x:v>
      </x:c>
      <x:c r="C633" s="16" t="n">
        <x:v>46190</x:v>
      </x:c>
      <x:c r="D633" s="17" t="n">
        <x:v>1203</x:v>
      </x:c>
      <x:c r="E633" s="17" t="n">
        <x:v>2856</x:v>
      </x:c>
      <x:c r="F633" s="18" t="n">
        <x:v>17345.53</x:v>
      </x:c>
    </x:row>
    <x:row r="634">
      <x:c r="A634" s="14" t="str">
        <x:v>店长</x:v>
      </x:c>
      <x:c r="B634" s="15" t="str">
        <x:v>侯兴华</x:v>
      </x:c>
      <x:c r="C634" s="16" t="n">
        <x:v>46191</x:v>
      </x:c>
      <x:c r="D634" s="17" t="n">
        <x:v>1277</x:v>
      </x:c>
      <x:c r="E634" s="17" t="n">
        <x:v>3058</x:v>
      </x:c>
      <x:c r="F634" s="18" t="n">
        <x:v>18071.79</x:v>
      </x:c>
    </x:row>
    <x:row r="635">
      <x:c r="A635" s="14" t="str">
        <x:v>店长</x:v>
      </x:c>
      <x:c r="B635" s="15" t="str">
        <x:v>侯兴华</x:v>
      </x:c>
      <x:c r="C635" s="16" t="n">
        <x:v>46192</x:v>
      </x:c>
      <x:c r="D635" s="17" t="n">
        <x:v>1137</x:v>
      </x:c>
      <x:c r="E635" s="17" t="n">
        <x:v>2711</x:v>
      </x:c>
      <x:c r="F635" s="18" t="n">
        <x:v>15999.64</x:v>
      </x:c>
    </x:row>
    <x:row r="636">
      <x:c r="A636" s="14" t="str">
        <x:v>店长</x:v>
      </x:c>
      <x:c r="B636" s="15" t="str">
        <x:v>侯兴华</x:v>
      </x:c>
      <x:c r="C636" s="16" t="n">
        <x:v>46193</x:v>
      </x:c>
      <x:c r="D636" s="17" t="n">
        <x:v>1115</x:v>
      </x:c>
      <x:c r="E636" s="17" t="n">
        <x:v>2760</x:v>
      </x:c>
      <x:c r="F636" s="18" t="n">
        <x:v>15111.26</x:v>
      </x:c>
    </x:row>
    <x:row r="637">
      <x:c r="A637" s="14" t="str">
        <x:v>店长</x:v>
      </x:c>
      <x:c r="B637" s="15" t="str">
        <x:v>侯兴华</x:v>
      </x:c>
      <x:c r="C637" s="16" t="n">
        <x:v>46194</x:v>
      </x:c>
      <x:c r="D637" s="17" t="n">
        <x:v>1351</x:v>
      </x:c>
      <x:c r="E637" s="17" t="n">
        <x:v>3233</x:v>
      </x:c>
      <x:c r="F637" s="18" t="n">
        <x:v>18008.07</x:v>
      </x:c>
    </x:row>
    <x:row r="638">
      <x:c r="A638" s="14" t="str">
        <x:v>店长</x:v>
      </x:c>
      <x:c r="B638" s="15" t="str">
        <x:v>侯兴华</x:v>
      </x:c>
      <x:c r="C638" s="16" t="n">
        <x:v>46195</x:v>
      </x:c>
      <x:c r="D638" s="17" t="n">
        <x:v>1103</x:v>
      </x:c>
      <x:c r="E638" s="17" t="n">
        <x:v>2662</x:v>
      </x:c>
      <x:c r="F638" s="18" t="n">
        <x:v>15534.61</x:v>
      </x:c>
    </x:row>
    <x:row r="639">
      <x:c r="A639" s="14" t="str">
        <x:v>店长</x:v>
      </x:c>
      <x:c r="B639" s="15" t="str">
        <x:v>侯兴华</x:v>
      </x:c>
      <x:c r="C639" s="16" t="n">
        <x:v>46196</x:v>
      </x:c>
      <x:c r="D639" s="17" t="n">
        <x:v>1026</x:v>
      </x:c>
      <x:c r="E639" s="17" t="n">
        <x:v>2444</x:v>
      </x:c>
      <x:c r="F639" s="18" t="n">
        <x:v>14620.39</x:v>
      </x:c>
    </x:row>
    <x:row r="640">
      <x:c r="A640" s="14" t="str">
        <x:v>店长</x:v>
      </x:c>
      <x:c r="B640" s="15" t="str">
        <x:v>侯兴华</x:v>
      </x:c>
      <x:c r="C640" s="16" t="n">
        <x:v>46197</x:v>
      </x:c>
      <x:c r="D640" s="17" t="n">
        <x:v>965</x:v>
      </x:c>
      <x:c r="E640" s="17" t="n">
        <x:v>2298</x:v>
      </x:c>
      <x:c r="F640" s="18" t="n">
        <x:v>13050.97</x:v>
      </x:c>
    </x:row>
    <x:row r="641">
      <x:c r="A641" s="14" t="str">
        <x:v>店长</x:v>
      </x:c>
      <x:c r="B641" s="15" t="str">
        <x:v>侯兴华</x:v>
      </x:c>
      <x:c r="C641" s="16" t="n">
        <x:v>46198</x:v>
      </x:c>
      <x:c r="D641" s="17" t="n">
        <x:v>833</x:v>
      </x:c>
      <x:c r="E641" s="17" t="n">
        <x:v>2021</x:v>
      </x:c>
      <x:c r="F641" s="18" t="n">
        <x:v>11951.22</x:v>
      </x:c>
    </x:row>
    <x:row r="642">
      <x:c r="A642" s="14" t="str">
        <x:v>店长</x:v>
      </x:c>
      <x:c r="B642" s="15" t="str">
        <x:v>侯兴华</x:v>
      </x:c>
      <x:c r="C642" s="16" t="n">
        <x:v>46199</x:v>
      </x:c>
      <x:c r="D642" s="17" t="n">
        <x:v>952</x:v>
      </x:c>
      <x:c r="E642" s="17" t="n">
        <x:v>2278</x:v>
      </x:c>
      <x:c r="F642" s="18" t="n">
        <x:v>13806.45</x:v>
      </x:c>
    </x:row>
    <x:row r="643">
      <x:c r="A643" s="14" t="str">
        <x:v>店长</x:v>
      </x:c>
      <x:c r="B643" s="15" t="str">
        <x:v>侯兴华</x:v>
      </x:c>
      <x:c r="C643" s="16" t="n">
        <x:v>46200</x:v>
      </x:c>
      <x:c r="D643" s="17" t="n">
        <x:v>798</x:v>
      </x:c>
      <x:c r="E643" s="17" t="n">
        <x:v>1908</x:v>
      </x:c>
      <x:c r="F643" s="18" t="n">
        <x:v>10931.66</x:v>
      </x:c>
    </x:row>
    <x:row r="644">
      <x:c r="A644" s="14" t="str">
        <x:v>店长</x:v>
      </x:c>
      <x:c r="B644" s="15" t="str">
        <x:v>侯兴华</x:v>
      </x:c>
      <x:c r="C644" s="16" t="n">
        <x:v>46201</x:v>
      </x:c>
      <x:c r="D644" s="17" t="n">
        <x:v>772</x:v>
      </x:c>
      <x:c r="E644" s="17" t="n">
        <x:v>1828</x:v>
      </x:c>
      <x:c r="F644" s="18" t="n">
        <x:v>11266.63</x:v>
      </x:c>
    </x:row>
    <x:row r="645">
      <x:c r="A645" s="14" t="str">
        <x:v>店长</x:v>
      </x:c>
      <x:c r="B645" s="15" t="str">
        <x:v>侯兴华</x:v>
      </x:c>
      <x:c r="C645" s="16" t="n">
        <x:v>46202</x:v>
      </x:c>
      <x:c r="D645" s="17" t="n">
        <x:v>815</x:v>
      </x:c>
      <x:c r="E645" s="17" t="n">
        <x:v>1956</x:v>
      </x:c>
      <x:c r="F645" s="18" t="n">
        <x:v>10953.36</x:v>
      </x:c>
    </x:row>
    <x:row r="646">
      <x:c r="A646" s="14" t="str">
        <x:v>店长</x:v>
      </x:c>
      <x:c r="B646" s="15" t="str">
        <x:v>侯兴华</x:v>
      </x:c>
      <x:c r="C646" s="16" t="n">
        <x:v>46203</x:v>
      </x:c>
      <x:c r="D646" s="17" t="n">
        <x:v>891</x:v>
      </x:c>
      <x:c r="E646" s="17" t="n">
        <x:v>2138</x:v>
      </x:c>
      <x:c r="F646" s="18" t="n">
        <x:v>12897.19</x:v>
      </x:c>
    </x:row>
    <x:row r="647">
      <x:c r="A647" s="14" t="str">
        <x:v>店长</x:v>
      </x:c>
      <x:c r="B647" s="15" t="str">
        <x:v>侯兴华</x:v>
      </x:c>
      <x:c r="C647" s="16" t="n">
        <x:v>46204</x:v>
      </x:c>
      <x:c r="D647" s="17" t="n">
        <x:v>883</x:v>
      </x:c>
      <x:c r="E647" s="17" t="n">
        <x:v>1921</x:v>
      </x:c>
      <x:c r="F647" s="18" t="n">
        <x:v>12275.79</x:v>
      </x:c>
    </x:row>
    <x:row r="648">
      <x:c r="A648" s="14" t="str">
        <x:v>店长</x:v>
      </x:c>
      <x:c r="B648" s="15" t="str">
        <x:v>侯兴华</x:v>
      </x:c>
      <x:c r="C648" s="16" t="n">
        <x:v>46205</x:v>
      </x:c>
      <x:c r="D648" s="17" t="n">
        <x:v>962</x:v>
      </x:c>
      <x:c r="E648" s="17" t="n">
        <x:v>2398</x:v>
      </x:c>
      <x:c r="F648" s="18" t="n">
        <x:v>13252.75</x:v>
      </x:c>
    </x:row>
    <x:row r="649">
      <x:c r="A649" s="14" t="str">
        <x:v>店长</x:v>
      </x:c>
      <x:c r="B649" s="15" t="str">
        <x:v>侯兴华</x:v>
      </x:c>
      <x:c r="C649" s="16" t="n">
        <x:v>46206</x:v>
      </x:c>
      <x:c r="D649" s="17" t="n">
        <x:v>827</x:v>
      </x:c>
      <x:c r="E649" s="17" t="n">
        <x:v>1992</x:v>
      </x:c>
      <x:c r="F649" s="18" t="n">
        <x:v>11541.02</x:v>
      </x:c>
    </x:row>
    <x:row r="650">
      <x:c r="A650" s="14" t="str">
        <x:v>店长</x:v>
      </x:c>
      <x:c r="B650" s="15" t="str">
        <x:v>侯兴华</x:v>
      </x:c>
      <x:c r="C650" s="16" t="n">
        <x:v>46207</x:v>
      </x:c>
      <x:c r="D650" s="17" t="n">
        <x:v>1022</x:v>
      </x:c>
      <x:c r="E650" s="17" t="n">
        <x:v>2482</x:v>
      </x:c>
      <x:c r="F650" s="18" t="n">
        <x:v>14002.55</x:v>
      </x:c>
    </x:row>
    <x:row r="651">
      <x:c r="A651" s="14" t="str">
        <x:v>店长</x:v>
      </x:c>
      <x:c r="B651" s="15" t="str">
        <x:v>侯兴华</x:v>
      </x:c>
      <x:c r="C651" s="16" t="n">
        <x:v>46208</x:v>
      </x:c>
      <x:c r="D651" s="17" t="n">
        <x:v>776</x:v>
      </x:c>
      <x:c r="E651" s="17" t="n">
        <x:v>1821</x:v>
      </x:c>
      <x:c r="F651" s="18" t="n">
        <x:v>10301.85</x:v>
      </x:c>
    </x:row>
    <x:row r="652">
      <x:c r="A652" s="14" t="str">
        <x:v>店长</x:v>
      </x:c>
      <x:c r="B652" s="15" t="str">
        <x:v>侯兴华</x:v>
      </x:c>
      <x:c r="C652" s="16" t="n">
        <x:v>46209</x:v>
      </x:c>
      <x:c r="D652" s="17" t="n">
        <x:v>759</x:v>
      </x:c>
      <x:c r="E652" s="17" t="n">
        <x:v>1712</x:v>
      </x:c>
      <x:c r="F652" s="18" t="n">
        <x:v>10174.93</x:v>
      </x:c>
    </x:row>
    <x:row r="653">
      <x:c r="A653" s="14" t="str">
        <x:v>店长</x:v>
      </x:c>
      <x:c r="B653" s="15" t="str">
        <x:v>侯兴华</x:v>
      </x:c>
      <x:c r="C653" s="16" t="n">
        <x:v>46210</x:v>
      </x:c>
      <x:c r="D653" s="17" t="n">
        <x:v>1082</x:v>
      </x:c>
      <x:c r="E653" s="17" t="n">
        <x:v>2579</x:v>
      </x:c>
      <x:c r="F653" s="18" t="n">
        <x:v>14461.8</x:v>
      </x:c>
    </x:row>
    <x:row r="654">
      <x:c r="A654" s="14" t="str">
        <x:v>店长</x:v>
      </x:c>
      <x:c r="B654" s="15" t="str">
        <x:v>侯兴华</x:v>
      </x:c>
      <x:c r="C654" s="16" t="n">
        <x:v>46211</x:v>
      </x:c>
      <x:c r="D654" s="17" t="n">
        <x:v>832</x:v>
      </x:c>
      <x:c r="E654" s="17" t="n">
        <x:v>1917</x:v>
      </x:c>
      <x:c r="F654" s="18" t="n">
        <x:v>10380.44</x:v>
      </x:c>
    </x:row>
    <x:row r="655">
      <x:c r="A655" s="14" t="str">
        <x:v>店长</x:v>
      </x:c>
      <x:c r="B655" s="15" t="str">
        <x:v>侯兴华</x:v>
      </x:c>
      <x:c r="C655" s="16" t="n">
        <x:v>46212</x:v>
      </x:c>
      <x:c r="D655" s="17" t="n">
        <x:v>675</x:v>
      </x:c>
      <x:c r="E655" s="17" t="n">
        <x:v>1516</x:v>
      </x:c>
      <x:c r="F655" s="18" t="n">
        <x:v>8858.41</x:v>
      </x:c>
    </x:row>
    <x:row r="656">
      <x:c r="A656" s="14" t="str">
        <x:v>店长</x:v>
      </x:c>
      <x:c r="B656" s="15" t="str">
        <x:v>侯兴华</x:v>
      </x:c>
      <x:c r="C656" s="16" t="n">
        <x:v>46213</x:v>
      </x:c>
      <x:c r="D656" s="17" t="n">
        <x:v>725</x:v>
      </x:c>
      <x:c r="E656" s="17" t="n">
        <x:v>1676</x:v>
      </x:c>
      <x:c r="F656" s="18" t="n">
        <x:v>9344.45</x:v>
      </x:c>
    </x:row>
    <x:row r="657">
      <x:c r="A657" s="14" t="str">
        <x:v>店长</x:v>
      </x:c>
      <x:c r="B657" s="15" t="str">
        <x:v>侯兴华</x:v>
      </x:c>
      <x:c r="C657" s="16" t="n">
        <x:v>46214</x:v>
      </x:c>
      <x:c r="D657" s="17" t="n">
        <x:v>696</x:v>
      </x:c>
      <x:c r="E657" s="17" t="n">
        <x:v>1616</x:v>
      </x:c>
      <x:c r="F657" s="18" t="n">
        <x:v>9266.27</x:v>
      </x:c>
    </x:row>
    <x:row r="658">
      <x:c r="A658" s="14" t="str">
        <x:v>店长</x:v>
      </x:c>
      <x:c r="B658" s="15" t="str">
        <x:v>侯兴华</x:v>
      </x:c>
      <x:c r="C658" s="16" t="n">
        <x:v>46215</x:v>
      </x:c>
      <x:c r="D658" s="17" t="n">
        <x:v>657</x:v>
      </x:c>
      <x:c r="E658" s="17" t="n">
        <x:v>1561</x:v>
      </x:c>
      <x:c r="F658" s="18" t="n">
        <x:v>8812.59</x:v>
      </x:c>
    </x:row>
    <x:row r="659">
      <x:c r="A659" s="14" t="str">
        <x:v>店长</x:v>
      </x:c>
      <x:c r="B659" s="15" t="str">
        <x:v>侯兴华</x:v>
      </x:c>
      <x:c r="C659" s="16" t="n">
        <x:v>46216</x:v>
      </x:c>
      <x:c r="D659" s="17" t="n">
        <x:v>684</x:v>
      </x:c>
      <x:c r="E659" s="17" t="n">
        <x:v>1633</x:v>
      </x:c>
      <x:c r="F659" s="18" t="n">
        <x:v>8866.67</x:v>
      </x:c>
    </x:row>
    <x:row r="660">
      <x:c r="A660" s="14" t="str">
        <x:v>店长</x:v>
      </x:c>
      <x:c r="B660" s="15" t="str">
        <x:v>侯兴华</x:v>
      </x:c>
      <x:c r="C660" s="16" t="n">
        <x:v>46217</x:v>
      </x:c>
      <x:c r="D660" s="17" t="n">
        <x:v>650</x:v>
      </x:c>
      <x:c r="E660" s="17" t="n">
        <x:v>1541</x:v>
      </x:c>
      <x:c r="F660" s="18" t="n">
        <x:v>8947.36</x:v>
      </x:c>
    </x:row>
    <x:row r="661">
      <x:c r="A661" s="14" t="str">
        <x:v>店长</x:v>
      </x:c>
      <x:c r="B661" s="15" t="str">
        <x:v>侯兴华</x:v>
      </x:c>
      <x:c r="C661" s="16" t="n">
        <x:v>46218</x:v>
      </x:c>
      <x:c r="D661" s="17" t="n">
        <x:v>645</x:v>
      </x:c>
      <x:c r="E661" s="17" t="n">
        <x:v>1533</x:v>
      </x:c>
      <x:c r="F661" s="18" t="n">
        <x:v>8424.27</x:v>
      </x:c>
    </x:row>
    <x:row r="662">
      <x:c r="A662" s="14" t="str">
        <x:v>店长</x:v>
      </x:c>
      <x:c r="B662" s="15" t="str">
        <x:v>侯兴华</x:v>
      </x:c>
      <x:c r="C662" s="16" t="n">
        <x:v>46219</x:v>
      </x:c>
      <x:c r="D662" s="17" t="n">
        <x:v>708</x:v>
      </x:c>
      <x:c r="E662" s="17" t="n">
        <x:v>1663</x:v>
      </x:c>
      <x:c r="F662" s="18" t="n">
        <x:v>9043.84</x:v>
      </x:c>
    </x:row>
    <x:row r="663">
      <x:c r="A663" s="14" t="str">
        <x:v>店长</x:v>
      </x:c>
      <x:c r="B663" s="15" t="str">
        <x:v>侯兴华</x:v>
      </x:c>
      <x:c r="C663" s="16" t="n">
        <x:v>46220</x:v>
      </x:c>
      <x:c r="D663" s="17" t="n">
        <x:v>816</x:v>
      </x:c>
      <x:c r="E663" s="17" t="n">
        <x:v>1885</x:v>
      </x:c>
      <x:c r="F663" s="18" t="n">
        <x:v>9933.92</x:v>
      </x:c>
    </x:row>
    <x:row r="664">
      <x:c r="A664" s="14" t="str">
        <x:v>店长</x:v>
      </x:c>
      <x:c r="B664" s="15" t="str">
        <x:v>侯兴华</x:v>
      </x:c>
      <x:c r="C664" s="16" t="n">
        <x:v>46221</x:v>
      </x:c>
      <x:c r="D664" s="17" t="n">
        <x:v>662</x:v>
      </x:c>
      <x:c r="E664" s="17" t="n">
        <x:v>1580</x:v>
      </x:c>
      <x:c r="F664" s="18" t="n">
        <x:v>8305.62</x:v>
      </x:c>
    </x:row>
    <x:row r="665">
      <x:c r="A665" s="14" t="str">
        <x:v>店长</x:v>
      </x:c>
      <x:c r="B665" s="15" t="str">
        <x:v>侯兴华</x:v>
      </x:c>
      <x:c r="C665" s="16" t="n">
        <x:v>46222</x:v>
      </x:c>
      <x:c r="D665" s="17" t="n">
        <x:v>650</x:v>
      </x:c>
      <x:c r="E665" s="17" t="n">
        <x:v>1542</x:v>
      </x:c>
      <x:c r="F665" s="18" t="n">
        <x:v>8064.31</x:v>
      </x:c>
    </x:row>
    <x:row r="666">
      <x:c r="A666" s="14" t="str">
        <x:v>店长</x:v>
      </x:c>
      <x:c r="B666" s="15" t="str">
        <x:v>侯兴华</x:v>
      </x:c>
      <x:c r="C666" s="16" t="n">
        <x:v>46223</x:v>
      </x:c>
      <x:c r="D666" s="17" t="n">
        <x:v>717</x:v>
      </x:c>
      <x:c r="E666" s="17" t="n">
        <x:v>1679</x:v>
      </x:c>
      <x:c r="F666" s="18" t="n">
        <x:v>8497.89</x:v>
      </x:c>
    </x:row>
    <x:row r="667">
      <x:c r="A667" s="14" t="str">
        <x:v>店长</x:v>
      </x:c>
      <x:c r="B667" s="15" t="str">
        <x:v>侯兴华</x:v>
      </x:c>
      <x:c r="C667" s="16" t="n">
        <x:v>46224</x:v>
      </x:c>
      <x:c r="D667" s="17" t="n">
        <x:v>613</x:v>
      </x:c>
      <x:c r="E667" s="17" t="n">
        <x:v>1413</x:v>
      </x:c>
      <x:c r="F667" s="18" t="n">
        <x:v>7648.78</x:v>
      </x:c>
    </x:row>
    <x:row r="668">
      <x:c r="A668" s="14" t="str">
        <x:v>店长</x:v>
      </x:c>
      <x:c r="B668" s="15" t="str">
        <x:v>侯兴华</x:v>
      </x:c>
      <x:c r="C668" s="16" t="n">
        <x:v>46225</x:v>
      </x:c>
      <x:c r="D668" s="17" t="n">
        <x:v>707</x:v>
      </x:c>
      <x:c r="E668" s="17" t="n">
        <x:v>1750</x:v>
      </x:c>
      <x:c r="F668" s="18" t="n">
        <x:v>9313.17</x:v>
      </x:c>
    </x:row>
    <x:row r="669">
      <x:c r="A669" s="14" t="str">
        <x:v>店长</x:v>
      </x:c>
      <x:c r="B669" s="15" t="str">
        <x:v>侯兴华</x:v>
      </x:c>
      <x:c r="C669" s="16" t="n">
        <x:v>46226</x:v>
      </x:c>
      <x:c r="D669" s="17" t="n">
        <x:v>749</x:v>
      </x:c>
      <x:c r="E669" s="17" t="n">
        <x:v>1739</x:v>
      </x:c>
      <x:c r="F669" s="18" t="n">
        <x:v>9400.31</x:v>
      </x:c>
    </x:row>
    <x:row r="670">
      <x:c r="A670" s="14" t="str">
        <x:v>店长</x:v>
      </x:c>
      <x:c r="B670" s="15" t="str">
        <x:v>侯兴华</x:v>
      </x:c>
      <x:c r="C670" s="16" t="n">
        <x:v>46227</x:v>
      </x:c>
      <x:c r="D670" s="17" t="n">
        <x:v>1217</x:v>
      </x:c>
      <x:c r="E670" s="17" t="n">
        <x:v>2746</x:v>
      </x:c>
      <x:c r="F670" s="18" t="n">
        <x:v>16480.76</x:v>
      </x:c>
    </x:row>
    <x:row r="671">
      <x:c r="A671" s="14" t="str">
        <x:v>店长</x:v>
      </x:c>
      <x:c r="B671" s="15" t="str">
        <x:v>侯兴华</x:v>
      </x:c>
      <x:c r="C671" s="16" t="n">
        <x:v>46228</x:v>
      </x:c>
      <x:c r="D671" s="17" t="n">
        <x:v>519</x:v>
      </x:c>
      <x:c r="E671" s="17" t="n">
        <x:v>1259</x:v>
      </x:c>
      <x:c r="F671" s="18" t="n">
        <x:v>6270.26</x:v>
      </x:c>
    </x:row>
    <x:row r="672">
      <x:c r="A672" s="14" t="str">
        <x:v>店长</x:v>
      </x:c>
      <x:c r="B672" s="15" t="str">
        <x:v>侯兴华</x:v>
      </x:c>
      <x:c r="C672" s="16" t="n">
        <x:v>46229</x:v>
      </x:c>
      <x:c r="D672" s="17" t="n">
        <x:v>989</x:v>
      </x:c>
      <x:c r="E672" s="17" t="n">
        <x:v>2359</x:v>
      </x:c>
      <x:c r="F672" s="18" t="n">
        <x:v>12969.59</x:v>
      </x:c>
    </x:row>
    <x:row r="673">
      <x:c r="A673" s="14" t="str">
        <x:v>店长</x:v>
      </x:c>
      <x:c r="B673" s="15" t="str">
        <x:v>侯兴华</x:v>
      </x:c>
      <x:c r="C673" s="16" t="n">
        <x:v>46230</x:v>
      </x:c>
      <x:c r="D673" s="17" t="n">
        <x:v>1013</x:v>
      </x:c>
      <x:c r="E673" s="17" t="n">
        <x:v>2105</x:v>
      </x:c>
      <x:c r="F673" s="18" t="n">
        <x:v>13879.18</x:v>
      </x:c>
    </x:row>
    <x:row r="674">
      <x:c r="A674" s="14" t="str">
        <x:v>店长</x:v>
      </x:c>
      <x:c r="B674" s="15" t="str">
        <x:v>侯兴华</x:v>
      </x:c>
      <x:c r="C674" s="16" t="n">
        <x:v>46231</x:v>
      </x:c>
      <x:c r="D674" s="17" t="n">
        <x:v>726</x:v>
      </x:c>
      <x:c r="E674" s="17" t="n">
        <x:v>1727</x:v>
      </x:c>
      <x:c r="F674" s="18" t="n">
        <x:v>10148.9</x:v>
      </x:c>
    </x:row>
    <x:row r="675">
      <x:c r="A675" s="14" t="str">
        <x:v>店长</x:v>
      </x:c>
      <x:c r="B675" s="15" t="str">
        <x:v>侯兴华</x:v>
      </x:c>
      <x:c r="C675" s="16" t="n">
        <x:v>46232</x:v>
      </x:c>
      <x:c r="D675" s="17" t="n">
        <x:v>812</x:v>
      </x:c>
      <x:c r="E675" s="17" t="n">
        <x:v>1945</x:v>
      </x:c>
      <x:c r="F675" s="18" t="n">
        <x:v>11136.86</x:v>
      </x:c>
    </x:row>
    <x:row r="676">
      <x:c r="A676" s="14" t="str">
        <x:v>店长</x:v>
      </x:c>
      <x:c r="B676" s="15" t="str">
        <x:v>侯兴华</x:v>
      </x:c>
      <x:c r="C676" s="16" t="n">
        <x:v>46233</x:v>
      </x:c>
      <x:c r="D676" s="17" t="n">
        <x:v>696</x:v>
      </x:c>
      <x:c r="E676" s="17" t="n">
        <x:v>1696</x:v>
      </x:c>
      <x:c r="F676" s="18" t="n">
        <x:v>9891.82</x:v>
      </x:c>
    </x:row>
    <x:row r="677">
      <x:c r="A677" s="14" t="str">
        <x:v>店长</x:v>
      </x:c>
      <x:c r="B677" s="15" t="str">
        <x:v>侯兴华</x:v>
      </x:c>
      <x:c r="C677" s="16" t="n">
        <x:v>46234</x:v>
      </x:c>
      <x:c r="D677" s="17" t="n">
        <x:v>752</x:v>
      </x:c>
      <x:c r="E677" s="17" t="n">
        <x:v>1825</x:v>
      </x:c>
      <x:c r="F677" s="18" t="n">
        <x:v>10782.92</x:v>
      </x:c>
    </x:row>
    <x:row r="678">
      <x:c r="A678" s="14" t="str">
        <x:v>店长</x:v>
      </x:c>
      <x:c r="B678" s="15" t="str">
        <x:v>侯兴华</x:v>
      </x:c>
      <x:c r="C678" s="16" t="n">
        <x:v>46235</x:v>
      </x:c>
      <x:c r="D678" s="17" t="n">
        <x:v>862</x:v>
      </x:c>
      <x:c r="E678" s="17" t="n">
        <x:v>2090</x:v>
      </x:c>
      <x:c r="F678" s="18" t="n">
        <x:v>11550.72</x:v>
      </x:c>
    </x:row>
    <x:row r="679">
      <x:c r="A679" s="14" t="str">
        <x:v>店长</x:v>
      </x:c>
      <x:c r="B679" s="15" t="str">
        <x:v>侯兴华</x:v>
      </x:c>
      <x:c r="C679" s="16" t="n">
        <x:v>46236</x:v>
      </x:c>
      <x:c r="D679" s="17" t="n">
        <x:v>788</x:v>
      </x:c>
      <x:c r="E679" s="17" t="n">
        <x:v>1912</x:v>
      </x:c>
      <x:c r="F679" s="18" t="n">
        <x:v>11098.05</x:v>
      </x:c>
    </x:row>
    <x:row r="680">
      <x:c r="A680" s="14" t="str">
        <x:v>店长</x:v>
      </x:c>
      <x:c r="B680" s="15" t="str">
        <x:v>侯兴华</x:v>
      </x:c>
      <x:c r="C680" s="16" t="n">
        <x:v>46237</x:v>
      </x:c>
      <x:c r="D680" s="17" t="n">
        <x:v>939</x:v>
      </x:c>
      <x:c r="E680" s="17" t="n">
        <x:v>2325</x:v>
      </x:c>
      <x:c r="F680" s="18" t="n">
        <x:v>13113.81</x:v>
      </x:c>
    </x:row>
    <x:row r="681">
      <x:c r="A681" s="14" t="str">
        <x:v>店长</x:v>
      </x:c>
      <x:c r="B681" s="15" t="str">
        <x:v>侯兴华</x:v>
      </x:c>
      <x:c r="C681" s="16" t="n">
        <x:v>46238</x:v>
      </x:c>
      <x:c r="D681" s="17" t="n">
        <x:v>727</x:v>
      </x:c>
      <x:c r="E681" s="17" t="n">
        <x:v>1812</x:v>
      </x:c>
      <x:c r="F681" s="18" t="n">
        <x:v>10448.78</x:v>
      </x:c>
    </x:row>
    <x:row r="682">
      <x:c r="A682" s="14" t="str">
        <x:v>店长</x:v>
      </x:c>
      <x:c r="B682" s="15" t="str">
        <x:v>侯兴华</x:v>
      </x:c>
      <x:c r="C682" s="16" t="n">
        <x:v>46239</x:v>
      </x:c>
      <x:c r="D682" s="17" t="n">
        <x:v>747</x:v>
      </x:c>
      <x:c r="E682" s="17" t="n">
        <x:v>1857</x:v>
      </x:c>
      <x:c r="F682" s="18" t="n">
        <x:v>11327.89</x:v>
      </x:c>
    </x:row>
    <x:row r="683">
      <x:c r="A683" s="14" t="str">
        <x:v>店长</x:v>
      </x:c>
      <x:c r="B683" s="15" t="str">
        <x:v>侯兴华</x:v>
      </x:c>
      <x:c r="C683" s="16" t="n">
        <x:v>46240</x:v>
      </x:c>
      <x:c r="D683" s="17" t="n">
        <x:v>801</x:v>
      </x:c>
      <x:c r="E683" s="17" t="n">
        <x:v>2034</x:v>
      </x:c>
      <x:c r="F683" s="18" t="n">
        <x:v>12015.32</x:v>
      </x:c>
    </x:row>
    <x:row r="684">
      <x:c r="A684" s="14" t="str">
        <x:v>店长</x:v>
      </x:c>
      <x:c r="B684" s="15" t="str">
        <x:v>侯兴华</x:v>
      </x:c>
      <x:c r="C684" s="16" t="n">
        <x:v>46241</x:v>
      </x:c>
      <x:c r="D684" s="17" t="n">
        <x:v>881</x:v>
      </x:c>
      <x:c r="E684" s="17" t="n">
        <x:v>2246</x:v>
      </x:c>
      <x:c r="F684" s="18" t="n">
        <x:v>12759.24</x:v>
      </x:c>
    </x:row>
    <x:row r="685">
      <x:c r="A685" s="14" t="str">
        <x:v>店长</x:v>
      </x:c>
      <x:c r="B685" s="15" t="str">
        <x:v>侯兴华</x:v>
      </x:c>
      <x:c r="C685" s="16" t="n">
        <x:v>46242</x:v>
      </x:c>
      <x:c r="D685" s="17" t="n">
        <x:v>923</x:v>
      </x:c>
      <x:c r="E685" s="17" t="n">
        <x:v>2354</x:v>
      </x:c>
      <x:c r="F685" s="18" t="n">
        <x:v>14101.97</x:v>
      </x:c>
    </x:row>
    <x:row r="686">
      <x:c r="A686" s="14" t="str">
        <x:v>店长</x:v>
      </x:c>
      <x:c r="B686" s="15" t="str">
        <x:v>侯兴华</x:v>
      </x:c>
      <x:c r="C686" s="16" t="n">
        <x:v>46243</x:v>
      </x:c>
      <x:c r="D686" s="17" t="n">
        <x:v>574</x:v>
      </x:c>
      <x:c r="E686" s="17" t="n">
        <x:v>1449</x:v>
      </x:c>
      <x:c r="F686" s="18" t="n">
        <x:v>8066.91</x:v>
      </x:c>
    </x:row>
    <x:row r="687">
      <x:c r="A687" s="14" t="str">
        <x:v>店长</x:v>
      </x:c>
      <x:c r="B687" s="15" t="str">
        <x:v>侯兴华</x:v>
      </x:c>
      <x:c r="C687" s="16" t="n">
        <x:v>46244</x:v>
      </x:c>
      <x:c r="D687" s="17" t="n">
        <x:v>619</x:v>
      </x:c>
      <x:c r="E687" s="17" t="n">
        <x:v>1524</x:v>
      </x:c>
      <x:c r="F687" s="18" t="n">
        <x:v>9846.29</x:v>
      </x:c>
    </x:row>
    <x:row r="688">
      <x:c r="A688" s="14" t="str">
        <x:v>店长</x:v>
      </x:c>
      <x:c r="B688" s="15" t="str">
        <x:v>侯兴华</x:v>
      </x:c>
      <x:c r="C688" s="16" t="n">
        <x:v>46245</x:v>
      </x:c>
      <x:c r="D688" s="17" t="n">
        <x:v>593</x:v>
      </x:c>
      <x:c r="E688" s="17" t="n">
        <x:v>1469</x:v>
      </x:c>
      <x:c r="F688" s="18" t="n">
        <x:v>8806.29</x:v>
      </x:c>
    </x:row>
    <x:row r="689">
      <x:c r="A689" s="14" t="str">
        <x:v>店长</x:v>
      </x:c>
      <x:c r="B689" s="15" t="str">
        <x:v>侯兴华</x:v>
      </x:c>
      <x:c r="C689" s="16" t="n">
        <x:v>46246</x:v>
      </x:c>
      <x:c r="D689" s="17" t="n">
        <x:v>540</x:v>
      </x:c>
      <x:c r="E689" s="17" t="n">
        <x:v>1414</x:v>
      </x:c>
      <x:c r="F689" s="18" t="n">
        <x:v>7710.44</x:v>
      </x:c>
    </x:row>
    <x:row r="690">
      <x:c r="A690" s="14" t="str">
        <x:v>店长</x:v>
      </x:c>
      <x:c r="B690" s="15" t="str">
        <x:v>侯兴华</x:v>
      </x:c>
      <x:c r="C690" s="16" t="n">
        <x:v>46247</x:v>
      </x:c>
      <x:c r="D690" s="17" t="n">
        <x:v>558</x:v>
      </x:c>
      <x:c r="E690" s="17" t="n">
        <x:v>1373</x:v>
      </x:c>
      <x:c r="F690" s="18" t="n">
        <x:v>8289.76</x:v>
      </x:c>
    </x:row>
    <x:row r="691">
      <x:c r="A691" s="14" t="str">
        <x:v>店长</x:v>
      </x:c>
      <x:c r="B691" s="15" t="str">
        <x:v>侯兴华</x:v>
      </x:c>
      <x:c r="C691" s="16" t="n">
        <x:v>46248</x:v>
      </x:c>
      <x:c r="D691" s="17" t="n">
        <x:v>637</x:v>
      </x:c>
      <x:c r="E691" s="17" t="n">
        <x:v>1574</x:v>
      </x:c>
      <x:c r="F691" s="18" t="n">
        <x:v>9260.21</x:v>
      </x:c>
    </x:row>
    <x:row r="692">
      <x:c r="A692" s="14" t="str">
        <x:v>店长</x:v>
      </x:c>
      <x:c r="B692" s="15" t="str">
        <x:v>侯兴华</x:v>
      </x:c>
      <x:c r="C692" s="16" t="n">
        <x:v>46249</x:v>
      </x:c>
      <x:c r="D692" s="17" t="n">
        <x:v>485</x:v>
      </x:c>
      <x:c r="E692" s="17" t="n">
        <x:v>1204</x:v>
      </x:c>
      <x:c r="F692" s="18" t="n">
        <x:v>6822.05</x:v>
      </x:c>
    </x:row>
    <x:row r="693">
      <x:c r="A693" s="14" t="str">
        <x:v>店长</x:v>
      </x:c>
      <x:c r="B693" s="15" t="str">
        <x:v>侯兴华</x:v>
      </x:c>
      <x:c r="C693" s="16" t="n">
        <x:v>46250</x:v>
      </x:c>
      <x:c r="D693" s="17" t="n">
        <x:v>457</x:v>
      </x:c>
      <x:c r="E693" s="17" t="n">
        <x:v>1077</x:v>
      </x:c>
      <x:c r="F693" s="18" t="n">
        <x:v>6669.39</x:v>
      </x:c>
    </x:row>
    <x:row r="694">
      <x:c r="A694" s="14" t="str">
        <x:v>店长</x:v>
      </x:c>
      <x:c r="B694" s="15" t="str">
        <x:v>侯兴华</x:v>
      </x:c>
      <x:c r="C694" s="16" t="n">
        <x:v>46251</x:v>
      </x:c>
      <x:c r="D694" s="17" t="n">
        <x:v>566</x:v>
      </x:c>
      <x:c r="E694" s="17" t="n">
        <x:v>1414</x:v>
      </x:c>
      <x:c r="F694" s="18" t="n">
        <x:v>8014.18</x:v>
      </x:c>
    </x:row>
    <x:row r="695">
      <x:c r="A695" s="14" t="str">
        <x:v>店长</x:v>
      </x:c>
      <x:c r="B695" s="15" t="str">
        <x:v>侯兴华</x:v>
      </x:c>
      <x:c r="C695" s="16" t="n">
        <x:v>46252</x:v>
      </x:c>
      <x:c r="D695" s="17" t="n">
        <x:v>613</x:v>
      </x:c>
      <x:c r="E695" s="17" t="n">
        <x:v>1538</x:v>
      </x:c>
      <x:c r="F695" s="18" t="n">
        <x:v>8686.5</x:v>
      </x:c>
    </x:row>
    <x:row r="696">
      <x:c r="A696" s="14" t="str">
        <x:v>店长</x:v>
      </x:c>
      <x:c r="B696" s="15" t="str">
        <x:v>侯兴华</x:v>
      </x:c>
      <x:c r="C696" s="16" t="n">
        <x:v>46253</x:v>
      </x:c>
      <x:c r="D696" s="17" t="n">
        <x:v>843</x:v>
      </x:c>
      <x:c r="E696" s="17" t="n">
        <x:v>2070</x:v>
      </x:c>
      <x:c r="F696" s="18" t="n">
        <x:v>12336.03</x:v>
      </x:c>
    </x:row>
    <x:row r="697">
      <x:c r="A697" s="14" t="str">
        <x:v>店长</x:v>
      </x:c>
      <x:c r="B697" s="15" t="str">
        <x:v>侯兴华</x:v>
      </x:c>
      <x:c r="C697" s="16" t="n">
        <x:v>46254</x:v>
      </x:c>
      <x:c r="D697" s="17" t="n">
        <x:v>407</x:v>
      </x:c>
      <x:c r="E697" s="17" t="n">
        <x:v>1018</x:v>
      </x:c>
      <x:c r="F697" s="18" t="n">
        <x:v>5974.28</x:v>
      </x:c>
    </x:row>
    <x:row r="698">
      <x:c r="A698" s="14" t="str">
        <x:v>店长</x:v>
      </x:c>
      <x:c r="B698" s="15" t="str">
        <x:v>张垒</x:v>
      </x:c>
      <x:c r="C698" s="16" t="n">
        <x:v>46023</x:v>
      </x:c>
      <x:c r="D698" s="17" t="n">
        <x:v>19</x:v>
      </x:c>
      <x:c r="E698" s="17" t="n">
        <x:v>29</x:v>
      </x:c>
      <x:c r="F698" s="18" t="n">
        <x:v>243.21</x:v>
      </x:c>
    </x:row>
    <x:row r="699">
      <x:c r="A699" s="14" t="str">
        <x:v>店长</x:v>
      </x:c>
      <x:c r="B699" s="15" t="str">
        <x:v>张垒</x:v>
      </x:c>
      <x:c r="C699" s="16" t="n">
        <x:v>46024</x:v>
      </x:c>
      <x:c r="D699" s="17" t="n">
        <x:v>312</x:v>
      </x:c>
      <x:c r="E699" s="17" t="n">
        <x:v>561</x:v>
      </x:c>
      <x:c r="F699" s="18" t="n">
        <x:v>5141.75</x:v>
      </x:c>
    </x:row>
    <x:row r="700">
      <x:c r="A700" s="14" t="str">
        <x:v>店长</x:v>
      </x:c>
      <x:c r="B700" s="15" t="str">
        <x:v>张垒</x:v>
      </x:c>
      <x:c r="C700" s="16" t="n">
        <x:v>46025</x:v>
      </x:c>
      <x:c r="D700" s="17" t="n">
        <x:v>117</x:v>
      </x:c>
      <x:c r="E700" s="17" t="n">
        <x:v>222</x:v>
      </x:c>
      <x:c r="F700" s="18" t="n">
        <x:v>2016.29</x:v>
      </x:c>
    </x:row>
    <x:row r="701">
      <x:c r="A701" s="14" t="str">
        <x:v>店长</x:v>
      </x:c>
      <x:c r="B701" s="15" t="str">
        <x:v>张垒</x:v>
      </x:c>
      <x:c r="C701" s="16" t="n">
        <x:v>46026</x:v>
      </x:c>
      <x:c r="D701" s="17" t="n">
        <x:v>121</x:v>
      </x:c>
      <x:c r="E701" s="17" t="n">
        <x:v>213</x:v>
      </x:c>
      <x:c r="F701" s="18" t="n">
        <x:v>1944.42</x:v>
      </x:c>
    </x:row>
    <x:row r="702">
      <x:c r="A702" s="14" t="str">
        <x:v>店长</x:v>
      </x:c>
      <x:c r="B702" s="15" t="str">
        <x:v>张垒</x:v>
      </x:c>
      <x:c r="C702" s="16" t="n">
        <x:v>46027</x:v>
      </x:c>
      <x:c r="D702" s="17" t="n">
        <x:v>147</x:v>
      </x:c>
      <x:c r="E702" s="17" t="n">
        <x:v>262</x:v>
      </x:c>
      <x:c r="F702" s="18" t="n">
        <x:v>2512.55</x:v>
      </x:c>
    </x:row>
    <x:row r="703">
      <x:c r="A703" s="14" t="str">
        <x:v>店长</x:v>
      </x:c>
      <x:c r="B703" s="15" t="str">
        <x:v>张垒</x:v>
      </x:c>
      <x:c r="C703" s="16" t="n">
        <x:v>46028</x:v>
      </x:c>
      <x:c r="D703" s="17" t="n">
        <x:v>197</x:v>
      </x:c>
      <x:c r="E703" s="17" t="n">
        <x:v>357</x:v>
      </x:c>
      <x:c r="F703" s="18" t="n">
        <x:v>3100.77</x:v>
      </x:c>
    </x:row>
    <x:row r="704">
      <x:c r="A704" s="14" t="str">
        <x:v>店长</x:v>
      </x:c>
      <x:c r="B704" s="15" t="str">
        <x:v>张垒</x:v>
      </x:c>
      <x:c r="C704" s="16" t="n">
        <x:v>46029</x:v>
      </x:c>
      <x:c r="D704" s="17" t="n">
        <x:v>226</x:v>
      </x:c>
      <x:c r="E704" s="17" t="n">
        <x:v>415</x:v>
      </x:c>
      <x:c r="F704" s="18" t="n">
        <x:v>3490.82</x:v>
      </x:c>
    </x:row>
    <x:row r="705">
      <x:c r="A705" s="14" t="str">
        <x:v>店长</x:v>
      </x:c>
      <x:c r="B705" s="15" t="str">
        <x:v>张垒</x:v>
      </x:c>
      <x:c r="C705" s="16" t="n">
        <x:v>46030</x:v>
      </x:c>
      <x:c r="D705" s="17" t="n">
        <x:v>216</x:v>
      </x:c>
      <x:c r="E705" s="17" t="n">
        <x:v>418</x:v>
      </x:c>
      <x:c r="F705" s="18" t="n">
        <x:v>3435.09</x:v>
      </x:c>
    </x:row>
    <x:row r="706">
      <x:c r="A706" s="14" t="str">
        <x:v>店长</x:v>
      </x:c>
      <x:c r="B706" s="15" t="str">
        <x:v>张垒</x:v>
      </x:c>
      <x:c r="C706" s="16" t="n">
        <x:v>46031</x:v>
      </x:c>
      <x:c r="D706" s="17" t="n">
        <x:v>242</x:v>
      </x:c>
      <x:c r="E706" s="17" t="n">
        <x:v>462</x:v>
      </x:c>
      <x:c r="F706" s="18" t="n">
        <x:v>3855.33</x:v>
      </x:c>
    </x:row>
    <x:row r="707">
      <x:c r="A707" s="14" t="str">
        <x:v>店长</x:v>
      </x:c>
      <x:c r="B707" s="15" t="str">
        <x:v>张垒</x:v>
      </x:c>
      <x:c r="C707" s="16" t="n">
        <x:v>46032</x:v>
      </x:c>
      <x:c r="D707" s="17" t="n">
        <x:v>233</x:v>
      </x:c>
      <x:c r="E707" s="17" t="n">
        <x:v>453</x:v>
      </x:c>
      <x:c r="F707" s="18" t="n">
        <x:v>3581.36</x:v>
      </x:c>
    </x:row>
    <x:row r="708">
      <x:c r="A708" s="14" t="str">
        <x:v>店长</x:v>
      </x:c>
      <x:c r="B708" s="15" t="str">
        <x:v>张垒</x:v>
      </x:c>
      <x:c r="C708" s="16" t="n">
        <x:v>46033</x:v>
      </x:c>
      <x:c r="D708" s="17" t="n">
        <x:v>235</x:v>
      </x:c>
      <x:c r="E708" s="17" t="n">
        <x:v>436</x:v>
      </x:c>
      <x:c r="F708" s="18" t="n">
        <x:v>3600.42</x:v>
      </x:c>
    </x:row>
    <x:row r="709">
      <x:c r="A709" s="14" t="str">
        <x:v>店长</x:v>
      </x:c>
      <x:c r="B709" s="15" t="str">
        <x:v>张垒</x:v>
      </x:c>
      <x:c r="C709" s="16" t="n">
        <x:v>46034</x:v>
      </x:c>
      <x:c r="D709" s="17" t="n">
        <x:v>191</x:v>
      </x:c>
      <x:c r="E709" s="17" t="n">
        <x:v>362</x:v>
      </x:c>
      <x:c r="F709" s="18" t="n">
        <x:v>3021.46</x:v>
      </x:c>
    </x:row>
    <x:row r="710">
      <x:c r="A710" s="14" t="str">
        <x:v>店长</x:v>
      </x:c>
      <x:c r="B710" s="15" t="str">
        <x:v>张垒</x:v>
      </x:c>
      <x:c r="C710" s="16" t="n">
        <x:v>46035</x:v>
      </x:c>
      <x:c r="D710" s="17" t="n">
        <x:v>212</x:v>
      </x:c>
      <x:c r="E710" s="17" t="n">
        <x:v>396</x:v>
      </x:c>
      <x:c r="F710" s="18" t="n">
        <x:v>3349.85</x:v>
      </x:c>
    </x:row>
    <x:row r="711">
      <x:c r="A711" s="14" t="str">
        <x:v>店长</x:v>
      </x:c>
      <x:c r="B711" s="15" t="str">
        <x:v>张垒</x:v>
      </x:c>
      <x:c r="C711" s="16" t="n">
        <x:v>46036</x:v>
      </x:c>
      <x:c r="D711" s="17" t="n">
        <x:v>258</x:v>
      </x:c>
      <x:c r="E711" s="17" t="n">
        <x:v>436</x:v>
      </x:c>
      <x:c r="F711" s="18" t="n">
        <x:v>3758.64</x:v>
      </x:c>
    </x:row>
    <x:row r="712">
      <x:c r="A712" s="14" t="str">
        <x:v>店长</x:v>
      </x:c>
      <x:c r="B712" s="15" t="str">
        <x:v>张垒</x:v>
      </x:c>
      <x:c r="C712" s="16" t="n">
        <x:v>46037</x:v>
      </x:c>
      <x:c r="D712" s="17" t="n">
        <x:v>298</x:v>
      </x:c>
      <x:c r="E712" s="17" t="n">
        <x:v>559</x:v>
      </x:c>
      <x:c r="F712" s="18" t="n">
        <x:v>4358.81</x:v>
      </x:c>
    </x:row>
    <x:row r="713">
      <x:c r="A713" s="14" t="str">
        <x:v>店长</x:v>
      </x:c>
      <x:c r="B713" s="15" t="str">
        <x:v>张垒</x:v>
      </x:c>
      <x:c r="C713" s="16" t="n">
        <x:v>46038</x:v>
      </x:c>
      <x:c r="D713" s="17" t="n">
        <x:v>327</x:v>
      </x:c>
      <x:c r="E713" s="17" t="n">
        <x:v>585</x:v>
      </x:c>
      <x:c r="F713" s="18" t="n">
        <x:v>5084.26</x:v>
      </x:c>
    </x:row>
    <x:row r="714">
      <x:c r="A714" s="14" t="str">
        <x:v>店长</x:v>
      </x:c>
      <x:c r="B714" s="15" t="str">
        <x:v>张垒</x:v>
      </x:c>
      <x:c r="C714" s="16" t="n">
        <x:v>46039</x:v>
      </x:c>
      <x:c r="D714" s="17" t="n">
        <x:v>297</x:v>
      </x:c>
      <x:c r="E714" s="17" t="n">
        <x:v>584</x:v>
      </x:c>
      <x:c r="F714" s="18" t="n">
        <x:v>4368.52</x:v>
      </x:c>
    </x:row>
    <x:row r="715">
      <x:c r="A715" s="14" t="str">
        <x:v>店长</x:v>
      </x:c>
      <x:c r="B715" s="15" t="str">
        <x:v>张垒</x:v>
      </x:c>
      <x:c r="C715" s="16" t="n">
        <x:v>46040</x:v>
      </x:c>
      <x:c r="D715" s="17" t="n">
        <x:v>316</x:v>
      </x:c>
      <x:c r="E715" s="17" t="n">
        <x:v>583</x:v>
      </x:c>
      <x:c r="F715" s="18" t="n">
        <x:v>4540.14</x:v>
      </x:c>
    </x:row>
    <x:row r="716">
      <x:c r="A716" s="14" t="str">
        <x:v>店长</x:v>
      </x:c>
      <x:c r="B716" s="15" t="str">
        <x:v>张垒</x:v>
      </x:c>
      <x:c r="C716" s="16" t="n">
        <x:v>46041</x:v>
      </x:c>
      <x:c r="D716" s="17" t="n">
        <x:v>304</x:v>
      </x:c>
      <x:c r="E716" s="17" t="n">
        <x:v>577</x:v>
      </x:c>
      <x:c r="F716" s="18" t="n">
        <x:v>4613.45</x:v>
      </x:c>
    </x:row>
    <x:row r="717">
      <x:c r="A717" s="14" t="str">
        <x:v>店长</x:v>
      </x:c>
      <x:c r="B717" s="15" t="str">
        <x:v>张垒</x:v>
      </x:c>
      <x:c r="C717" s="16" t="n">
        <x:v>46042</x:v>
      </x:c>
      <x:c r="D717" s="17" t="n">
        <x:v>288</x:v>
      </x:c>
      <x:c r="E717" s="17" t="n">
        <x:v>498</x:v>
      </x:c>
      <x:c r="F717" s="18" t="n">
        <x:v>4634.92</x:v>
      </x:c>
    </x:row>
    <x:row r="718">
      <x:c r="A718" s="14" t="str">
        <x:v>店长</x:v>
      </x:c>
      <x:c r="B718" s="15" t="str">
        <x:v>张垒</x:v>
      </x:c>
      <x:c r="C718" s="16" t="n">
        <x:v>46043</x:v>
      </x:c>
      <x:c r="D718" s="17" t="n">
        <x:v>255</x:v>
      </x:c>
      <x:c r="E718" s="17" t="n">
        <x:v>451</x:v>
      </x:c>
      <x:c r="F718" s="18" t="n">
        <x:v>3843.98</x:v>
      </x:c>
    </x:row>
    <x:row r="719">
      <x:c r="A719" s="14" t="str">
        <x:v>店长</x:v>
      </x:c>
      <x:c r="B719" s="15" t="str">
        <x:v>张垒</x:v>
      </x:c>
      <x:c r="C719" s="16" t="n">
        <x:v>46044</x:v>
      </x:c>
      <x:c r="D719" s="17" t="n">
        <x:v>225</x:v>
      </x:c>
      <x:c r="E719" s="17" t="n">
        <x:v>402</x:v>
      </x:c>
      <x:c r="F719" s="18" t="n">
        <x:v>3629.38</x:v>
      </x:c>
    </x:row>
    <x:row r="720">
      <x:c r="A720" s="14" t="str">
        <x:v>店长</x:v>
      </x:c>
      <x:c r="B720" s="15" t="str">
        <x:v>张垒</x:v>
      </x:c>
      <x:c r="C720" s="16" t="n">
        <x:v>46045</x:v>
      </x:c>
      <x:c r="D720" s="17" t="n">
        <x:v>290</x:v>
      </x:c>
      <x:c r="E720" s="17" t="n">
        <x:v>519</x:v>
      </x:c>
      <x:c r="F720" s="18" t="n">
        <x:v>4837.42</x:v>
      </x:c>
    </x:row>
    <x:row r="721">
      <x:c r="A721" s="14" t="str">
        <x:v>店长</x:v>
      </x:c>
      <x:c r="B721" s="15" t="str">
        <x:v>张垒</x:v>
      </x:c>
      <x:c r="C721" s="16" t="n">
        <x:v>46046</x:v>
      </x:c>
      <x:c r="D721" s="17" t="n">
        <x:v>349</x:v>
      </x:c>
      <x:c r="E721" s="17" t="n">
        <x:v>572</x:v>
      </x:c>
      <x:c r="F721" s="18" t="n">
        <x:v>5243.26</x:v>
      </x:c>
    </x:row>
    <x:row r="722">
      <x:c r="A722" s="14" t="str">
        <x:v>店长</x:v>
      </x:c>
      <x:c r="B722" s="15" t="str">
        <x:v>张垒</x:v>
      </x:c>
      <x:c r="C722" s="16" t="n">
        <x:v>46047</x:v>
      </x:c>
      <x:c r="D722" s="17" t="n">
        <x:v>308</x:v>
      </x:c>
      <x:c r="E722" s="17" t="n">
        <x:v>485</x:v>
      </x:c>
      <x:c r="F722" s="18" t="n">
        <x:v>4699.78</x:v>
      </x:c>
    </x:row>
    <x:row r="723">
      <x:c r="A723" s="14" t="str">
        <x:v>店长</x:v>
      </x:c>
      <x:c r="B723" s="15" t="str">
        <x:v>张垒</x:v>
      </x:c>
      <x:c r="C723" s="16" t="n">
        <x:v>46048</x:v>
      </x:c>
      <x:c r="D723" s="17" t="n">
        <x:v>266</x:v>
      </x:c>
      <x:c r="E723" s="17" t="n">
        <x:v>366</x:v>
      </x:c>
      <x:c r="F723" s="18" t="n">
        <x:v>4194.6</x:v>
      </x:c>
    </x:row>
    <x:row r="724">
      <x:c r="A724" s="14" t="str">
        <x:v>店长</x:v>
      </x:c>
      <x:c r="B724" s="15" t="str">
        <x:v>张垒</x:v>
      </x:c>
      <x:c r="C724" s="16" t="n">
        <x:v>46049</x:v>
      </x:c>
      <x:c r="D724" s="17" t="n">
        <x:v>278</x:v>
      </x:c>
      <x:c r="E724" s="17" t="n">
        <x:v>377</x:v>
      </x:c>
      <x:c r="F724" s="18" t="n">
        <x:v>4474.07</x:v>
      </x:c>
    </x:row>
    <x:row r="725">
      <x:c r="A725" s="14" t="str">
        <x:v>店长</x:v>
      </x:c>
      <x:c r="B725" s="15" t="str">
        <x:v>张垒</x:v>
      </x:c>
      <x:c r="C725" s="16" t="n">
        <x:v>46050</x:v>
      </x:c>
      <x:c r="D725" s="17" t="n">
        <x:v>265</x:v>
      </x:c>
      <x:c r="E725" s="17" t="n">
        <x:v>412</x:v>
      </x:c>
      <x:c r="F725" s="18" t="n">
        <x:v>4231.97</x:v>
      </x:c>
    </x:row>
    <x:row r="726">
      <x:c r="A726" s="14" t="str">
        <x:v>店长</x:v>
      </x:c>
      <x:c r="B726" s="15" t="str">
        <x:v>张垒</x:v>
      </x:c>
      <x:c r="C726" s="16" t="n">
        <x:v>46051</x:v>
      </x:c>
      <x:c r="D726" s="17" t="n">
        <x:v>272</x:v>
      </x:c>
      <x:c r="E726" s="17" t="n">
        <x:v>369</x:v>
      </x:c>
      <x:c r="F726" s="18" t="n">
        <x:v>4371.75</x:v>
      </x:c>
    </x:row>
    <x:row r="727">
      <x:c r="A727" s="14" t="str">
        <x:v>店长</x:v>
      </x:c>
      <x:c r="B727" s="15" t="str">
        <x:v>张垒</x:v>
      </x:c>
      <x:c r="C727" s="16" t="n">
        <x:v>46052</x:v>
      </x:c>
      <x:c r="D727" s="17" t="n">
        <x:v>272</x:v>
      </x:c>
      <x:c r="E727" s="17" t="n">
        <x:v>366</x:v>
      </x:c>
      <x:c r="F727" s="18" t="n">
        <x:v>4391.47</x:v>
      </x:c>
    </x:row>
    <x:row r="728">
      <x:c r="A728" s="14" t="str">
        <x:v>店长</x:v>
      </x:c>
      <x:c r="B728" s="15" t="str">
        <x:v>张垒</x:v>
      </x:c>
      <x:c r="C728" s="16" t="n">
        <x:v>46053</x:v>
      </x:c>
      <x:c r="D728" s="17" t="n">
        <x:v>335</x:v>
      </x:c>
      <x:c r="E728" s="17" t="n">
        <x:v>584</x:v>
      </x:c>
      <x:c r="F728" s="18" t="n">
        <x:v>5290.03</x:v>
      </x:c>
    </x:row>
    <x:row r="729">
      <x:c r="A729" s="14" t="str">
        <x:v>店长</x:v>
      </x:c>
      <x:c r="B729" s="15" t="str">
        <x:v>张垒</x:v>
      </x:c>
      <x:c r="C729" s="16" t="n">
        <x:v>46054</x:v>
      </x:c>
      <x:c r="D729" s="17" t="n">
        <x:v>375</x:v>
      </x:c>
      <x:c r="E729" s="17" t="n">
        <x:v>704</x:v>
      </x:c>
      <x:c r="F729" s="18" t="n">
        <x:v>5637.33</x:v>
      </x:c>
    </x:row>
    <x:row r="730">
      <x:c r="A730" s="14" t="str">
        <x:v>店长</x:v>
      </x:c>
      <x:c r="B730" s="15" t="str">
        <x:v>张垒</x:v>
      </x:c>
      <x:c r="C730" s="16" t="n">
        <x:v>46055</x:v>
      </x:c>
      <x:c r="D730" s="17" t="n">
        <x:v>434</x:v>
      </x:c>
      <x:c r="E730" s="17" t="n">
        <x:v>771</x:v>
      </x:c>
      <x:c r="F730" s="18" t="n">
        <x:v>6812.85</x:v>
      </x:c>
    </x:row>
    <x:row r="731">
      <x:c r="A731" s="14" t="str">
        <x:v>店长</x:v>
      </x:c>
      <x:c r="B731" s="15" t="str">
        <x:v>张垒</x:v>
      </x:c>
      <x:c r="C731" s="16" t="n">
        <x:v>46056</x:v>
      </x:c>
      <x:c r="D731" s="17" t="n">
        <x:v>435</x:v>
      </x:c>
      <x:c r="E731" s="17" t="n">
        <x:v>875</x:v>
      </x:c>
      <x:c r="F731" s="18" t="n">
        <x:v>6600.99</x:v>
      </x:c>
    </x:row>
    <x:row r="732">
      <x:c r="A732" s="14" t="str">
        <x:v>店长</x:v>
      </x:c>
      <x:c r="B732" s="15" t="str">
        <x:v>张垒</x:v>
      </x:c>
      <x:c r="C732" s="16" t="n">
        <x:v>46057</x:v>
      </x:c>
      <x:c r="D732" s="17" t="n">
        <x:v>390</x:v>
      </x:c>
      <x:c r="E732" s="17" t="n">
        <x:v>832</x:v>
      </x:c>
      <x:c r="F732" s="18" t="n">
        <x:v>6028.25</x:v>
      </x:c>
    </x:row>
    <x:row r="733">
      <x:c r="A733" s="14" t="str">
        <x:v>店长</x:v>
      </x:c>
      <x:c r="B733" s="15" t="str">
        <x:v>张垒</x:v>
      </x:c>
      <x:c r="C733" s="16" t="n">
        <x:v>46058</x:v>
      </x:c>
      <x:c r="D733" s="17" t="n">
        <x:v>362</x:v>
      </x:c>
      <x:c r="E733" s="17" t="n">
        <x:v>778</x:v>
      </x:c>
      <x:c r="F733" s="18" t="n">
        <x:v>6061.5</x:v>
      </x:c>
    </x:row>
    <x:row r="734">
      <x:c r="A734" s="14" t="str">
        <x:v>店长</x:v>
      </x:c>
      <x:c r="B734" s="15" t="str">
        <x:v>张垒</x:v>
      </x:c>
      <x:c r="C734" s="16" t="n">
        <x:v>46059</x:v>
      </x:c>
      <x:c r="D734" s="17" t="n">
        <x:v>376</x:v>
      </x:c>
      <x:c r="E734" s="17" t="n">
        <x:v>839</x:v>
      </x:c>
      <x:c r="F734" s="18" t="n">
        <x:v>5957.15</x:v>
      </x:c>
    </x:row>
    <x:row r="735">
      <x:c r="A735" s="14" t="str">
        <x:v>店长</x:v>
      </x:c>
      <x:c r="B735" s="15" t="str">
        <x:v>张垒</x:v>
      </x:c>
      <x:c r="C735" s="16" t="n">
        <x:v>46060</x:v>
      </x:c>
      <x:c r="D735" s="17" t="n">
        <x:v>474</x:v>
      </x:c>
      <x:c r="E735" s="17" t="n">
        <x:v>1022</x:v>
      </x:c>
      <x:c r="F735" s="18" t="n">
        <x:v>7240.12</x:v>
      </x:c>
    </x:row>
    <x:row r="736">
      <x:c r="A736" s="14" t="str">
        <x:v>店长</x:v>
      </x:c>
      <x:c r="B736" s="15" t="str">
        <x:v>张垒</x:v>
      </x:c>
      <x:c r="C736" s="16" t="n">
        <x:v>46061</x:v>
      </x:c>
      <x:c r="D736" s="17" t="n">
        <x:v>505</x:v>
      </x:c>
      <x:c r="E736" s="17" t="n">
        <x:v>1010</x:v>
      </x:c>
      <x:c r="F736" s="18" t="n">
        <x:v>7595.78</x:v>
      </x:c>
    </x:row>
    <x:row r="737">
      <x:c r="A737" s="14" t="str">
        <x:v>店长</x:v>
      </x:c>
      <x:c r="B737" s="15" t="str">
        <x:v>张垒</x:v>
      </x:c>
      <x:c r="C737" s="16" t="n">
        <x:v>46062</x:v>
      </x:c>
      <x:c r="D737" s="17" t="n">
        <x:v>402</x:v>
      </x:c>
      <x:c r="E737" s="17" t="n">
        <x:v>812</x:v>
      </x:c>
      <x:c r="F737" s="18" t="n">
        <x:v>7102.06</x:v>
      </x:c>
    </x:row>
    <x:row r="738">
      <x:c r="A738" s="14" t="str">
        <x:v>店长</x:v>
      </x:c>
      <x:c r="B738" s="15" t="str">
        <x:v>张垒</x:v>
      </x:c>
      <x:c r="C738" s="16" t="n">
        <x:v>46063</x:v>
      </x:c>
      <x:c r="D738" s="17" t="n">
        <x:v>1630</x:v>
      </x:c>
      <x:c r="E738" s="17" t="n">
        <x:v>2536</x:v>
      </x:c>
      <x:c r="F738" s="18" t="n">
        <x:v>24792.05</x:v>
      </x:c>
    </x:row>
    <x:row r="739">
      <x:c r="A739" s="14" t="str">
        <x:v>店长</x:v>
      </x:c>
      <x:c r="B739" s="15" t="str">
        <x:v>张垒</x:v>
      </x:c>
      <x:c r="C739" s="16" t="n">
        <x:v>46064</x:v>
      </x:c>
      <x:c r="D739" s="17" t="n">
        <x:v>1216</x:v>
      </x:c>
      <x:c r="E739" s="17" t="n">
        <x:v>1845</x:v>
      </x:c>
      <x:c r="F739" s="18" t="n">
        <x:v>19142.47</x:v>
      </x:c>
    </x:row>
    <x:row r="740">
      <x:c r="A740" s="14" t="str">
        <x:v>店长</x:v>
      </x:c>
      <x:c r="B740" s="15" t="str">
        <x:v>张垒</x:v>
      </x:c>
      <x:c r="C740" s="16" t="n">
        <x:v>46065</x:v>
      </x:c>
      <x:c r="D740" s="17" t="n">
        <x:v>1001</x:v>
      </x:c>
      <x:c r="E740" s="17" t="n">
        <x:v>1483</x:v>
      </x:c>
      <x:c r="F740" s="18" t="n">
        <x:v>15900.91</x:v>
      </x:c>
    </x:row>
    <x:row r="741">
      <x:c r="A741" s="14" t="str">
        <x:v>店长</x:v>
      </x:c>
      <x:c r="B741" s="15" t="str">
        <x:v>张垒</x:v>
      </x:c>
      <x:c r="C741" s="16" t="n">
        <x:v>46066</x:v>
      </x:c>
      <x:c r="D741" s="17" t="n">
        <x:v>1039</x:v>
      </x:c>
      <x:c r="E741" s="17" t="n">
        <x:v>1544</x:v>
      </x:c>
      <x:c r="F741" s="18" t="n">
        <x:v>16330.66</x:v>
      </x:c>
    </x:row>
    <x:row r="742">
      <x:c r="A742" s="14" t="str">
        <x:v>店长</x:v>
      </x:c>
      <x:c r="B742" s="15" t="str">
        <x:v>张垒</x:v>
      </x:c>
      <x:c r="C742" s="16" t="n">
        <x:v>46067</x:v>
      </x:c>
      <x:c r="D742" s="17" t="n">
        <x:v>989</x:v>
      </x:c>
      <x:c r="E742" s="17" t="n">
        <x:v>1417</x:v>
      </x:c>
      <x:c r="F742" s="18" t="n">
        <x:v>15719.51</x:v>
      </x:c>
    </x:row>
    <x:row r="743">
      <x:c r="A743" s="14" t="str">
        <x:v>店长</x:v>
      </x:c>
      <x:c r="B743" s="15" t="str">
        <x:v>张垒</x:v>
      </x:c>
      <x:c r="C743" s="16" t="n">
        <x:v>46068</x:v>
      </x:c>
      <x:c r="D743" s="17" t="n">
        <x:v>821</x:v>
      </x:c>
      <x:c r="E743" s="17" t="n">
        <x:v>1232</x:v>
      </x:c>
      <x:c r="F743" s="18" t="n">
        <x:v>13537.28</x:v>
      </x:c>
    </x:row>
    <x:row r="744">
      <x:c r="A744" s="14" t="str">
        <x:v>店长</x:v>
      </x:c>
      <x:c r="B744" s="15" t="str">
        <x:v>张垒</x:v>
      </x:c>
      <x:c r="C744" s="16" t="n">
        <x:v>46069</x:v>
      </x:c>
      <x:c r="D744" s="17" t="n">
        <x:v>822</x:v>
      </x:c>
      <x:c r="E744" s="17" t="n">
        <x:v>1218</x:v>
      </x:c>
      <x:c r="F744" s="18" t="n">
        <x:v>13400.25</x:v>
      </x:c>
    </x:row>
    <x:row r="745">
      <x:c r="A745" s="14" t="str">
        <x:v>店长</x:v>
      </x:c>
      <x:c r="B745" s="15" t="str">
        <x:v>张垒</x:v>
      </x:c>
      <x:c r="C745" s="16" t="n">
        <x:v>46070</x:v>
      </x:c>
      <x:c r="D745" s="17" t="n">
        <x:v>426</x:v>
      </x:c>
      <x:c r="E745" s="17" t="n">
        <x:v>619</x:v>
      </x:c>
      <x:c r="F745" s="18" t="n">
        <x:v>6489.93</x:v>
      </x:c>
    </x:row>
    <x:row r="746">
      <x:c r="A746" s="14" t="str">
        <x:v>店长</x:v>
      </x:c>
      <x:c r="B746" s="15" t="str">
        <x:v>张垒</x:v>
      </x:c>
      <x:c r="C746" s="16" t="n">
        <x:v>46071</x:v>
      </x:c>
      <x:c r="D746" s="17" t="n">
        <x:v>872</x:v>
      </x:c>
      <x:c r="E746" s="17" t="n">
        <x:v>1279</x:v>
      </x:c>
      <x:c r="F746" s="18" t="n">
        <x:v>14124.54</x:v>
      </x:c>
    </x:row>
    <x:row r="747">
      <x:c r="A747" s="14" t="str">
        <x:v>店长</x:v>
      </x:c>
      <x:c r="B747" s="15" t="str">
        <x:v>张垒</x:v>
      </x:c>
      <x:c r="C747" s="16" t="n">
        <x:v>46072</x:v>
      </x:c>
      <x:c r="D747" s="17" t="n">
        <x:v>428</x:v>
      </x:c>
      <x:c r="E747" s="17" t="n">
        <x:v>661</x:v>
      </x:c>
      <x:c r="F747" s="18" t="n">
        <x:v>7717.15</x:v>
      </x:c>
    </x:row>
    <x:row r="748">
      <x:c r="A748" s="14" t="str">
        <x:v>店长</x:v>
      </x:c>
      <x:c r="B748" s="15" t="str">
        <x:v>张垒</x:v>
      </x:c>
      <x:c r="C748" s="16" t="n">
        <x:v>46073</x:v>
      </x:c>
      <x:c r="D748" s="17" t="n">
        <x:v>386</x:v>
      </x:c>
      <x:c r="E748" s="17" t="n">
        <x:v>562</x:v>
      </x:c>
      <x:c r="F748" s="18" t="n">
        <x:v>6100.03</x:v>
      </x:c>
    </x:row>
    <x:row r="749">
      <x:c r="A749" s="14" t="str">
        <x:v>店长</x:v>
      </x:c>
      <x:c r="B749" s="15" t="str">
        <x:v>张垒</x:v>
      </x:c>
      <x:c r="C749" s="16" t="n">
        <x:v>46074</x:v>
      </x:c>
      <x:c r="D749" s="17" t="n">
        <x:v>950</x:v>
      </x:c>
      <x:c r="E749" s="17" t="n">
        <x:v>1215</x:v>
      </x:c>
      <x:c r="F749" s="18" t="n">
        <x:v>12613.45</x:v>
      </x:c>
    </x:row>
    <x:row r="750">
      <x:c r="A750" s="14" t="str">
        <x:v>店长</x:v>
      </x:c>
      <x:c r="B750" s="15" t="str">
        <x:v>张垒</x:v>
      </x:c>
      <x:c r="C750" s="16" t="n">
        <x:v>46075</x:v>
      </x:c>
      <x:c r="D750" s="17" t="n">
        <x:v>708</x:v>
      </x:c>
      <x:c r="E750" s="17" t="n">
        <x:v>1192</x:v>
      </x:c>
      <x:c r="F750" s="18" t="n">
        <x:v>11392.55</x:v>
      </x:c>
    </x:row>
    <x:row r="751">
      <x:c r="A751" s="14" t="str">
        <x:v>店长</x:v>
      </x:c>
      <x:c r="B751" s="15" t="str">
        <x:v>张垒</x:v>
      </x:c>
      <x:c r="C751" s="16" t="n">
        <x:v>46076</x:v>
      </x:c>
      <x:c r="D751" s="17" t="n">
        <x:v>683</x:v>
      </x:c>
      <x:c r="E751" s="17" t="n">
        <x:v>1092</x:v>
      </x:c>
      <x:c r="F751" s="18" t="n">
        <x:v>10806.96</x:v>
      </x:c>
    </x:row>
    <x:row r="752">
      <x:c r="A752" s="14" t="str">
        <x:v>店长</x:v>
      </x:c>
      <x:c r="B752" s="15" t="str">
        <x:v>张垒</x:v>
      </x:c>
      <x:c r="C752" s="16" t="n">
        <x:v>46077</x:v>
      </x:c>
      <x:c r="D752" s="17" t="n">
        <x:v>558</x:v>
      </x:c>
      <x:c r="E752" s="17" t="n">
        <x:v>816</x:v>
      </x:c>
      <x:c r="F752" s="18" t="n">
        <x:v>8351.39</x:v>
      </x:c>
    </x:row>
    <x:row r="753">
      <x:c r="A753" s="14" t="str">
        <x:v>店长</x:v>
      </x:c>
      <x:c r="B753" s="15" t="str">
        <x:v>张垒</x:v>
      </x:c>
      <x:c r="C753" s="16" t="n">
        <x:v>46078</x:v>
      </x:c>
      <x:c r="D753" s="17" t="n">
        <x:v>531</x:v>
      </x:c>
      <x:c r="E753" s="17" t="n">
        <x:v>831</x:v>
      </x:c>
      <x:c r="F753" s="18" t="n">
        <x:v>8773.01</x:v>
      </x:c>
    </x:row>
    <x:row r="754">
      <x:c r="A754" s="14" t="str">
        <x:v>店长</x:v>
      </x:c>
      <x:c r="B754" s="15" t="str">
        <x:v>张垒</x:v>
      </x:c>
      <x:c r="C754" s="16" t="n">
        <x:v>46079</x:v>
      </x:c>
      <x:c r="D754" s="17" t="n">
        <x:v>416</x:v>
      </x:c>
      <x:c r="E754" s="17" t="n">
        <x:v>634</x:v>
      </x:c>
      <x:c r="F754" s="18" t="n">
        <x:v>10401.2</x:v>
      </x:c>
    </x:row>
    <x:row r="755">
      <x:c r="A755" s="14" t="str">
        <x:v>店长</x:v>
      </x:c>
      <x:c r="B755" s="15" t="str">
        <x:v>张垒</x:v>
      </x:c>
      <x:c r="C755" s="16" t="n">
        <x:v>46080</x:v>
      </x:c>
      <x:c r="D755" s="17" t="n">
        <x:v>475</x:v>
      </x:c>
      <x:c r="E755" s="17" t="n">
        <x:v>640</x:v>
      </x:c>
      <x:c r="F755" s="18" t="n">
        <x:v>7808.27</x:v>
      </x:c>
    </x:row>
    <x:row r="756">
      <x:c r="A756" s="14" t="str">
        <x:v>店长</x:v>
      </x:c>
      <x:c r="B756" s="15" t="str">
        <x:v>张垒</x:v>
      </x:c>
      <x:c r="C756" s="16" t="n">
        <x:v>46081</x:v>
      </x:c>
      <x:c r="D756" s="17" t="n">
        <x:v>554</x:v>
      </x:c>
      <x:c r="E756" s="17" t="n">
        <x:v>703</x:v>
      </x:c>
      <x:c r="F756" s="18" t="n">
        <x:v>8163.99</x:v>
      </x:c>
    </x:row>
    <x:row r="757">
      <x:c r="A757" s="14" t="str">
        <x:v>店长</x:v>
      </x:c>
      <x:c r="B757" s="15" t="str">
        <x:v>张垒</x:v>
      </x:c>
      <x:c r="C757" s="16" t="n">
        <x:v>46082</x:v>
      </x:c>
      <x:c r="D757" s="17" t="n">
        <x:v>491</x:v>
      </x:c>
      <x:c r="E757" s="17" t="n">
        <x:v>686</x:v>
      </x:c>
      <x:c r="F757" s="18" t="n">
        <x:v>8120.8</x:v>
      </x:c>
    </x:row>
    <x:row r="758">
      <x:c r="A758" s="14" t="str">
        <x:v>店长</x:v>
      </x:c>
      <x:c r="B758" s="15" t="str">
        <x:v>张垒</x:v>
      </x:c>
      <x:c r="C758" s="16" t="n">
        <x:v>46083</x:v>
      </x:c>
      <x:c r="D758" s="17" t="n">
        <x:v>510</x:v>
      </x:c>
      <x:c r="E758" s="17" t="n">
        <x:v>697</x:v>
      </x:c>
      <x:c r="F758" s="18" t="n">
        <x:v>8185.1</x:v>
      </x:c>
    </x:row>
    <x:row r="759">
      <x:c r="A759" s="14" t="str">
        <x:v>店长</x:v>
      </x:c>
      <x:c r="B759" s="15" t="str">
        <x:v>张垒</x:v>
      </x:c>
      <x:c r="C759" s="16" t="n">
        <x:v>46084</x:v>
      </x:c>
      <x:c r="D759" s="17" t="n">
        <x:v>563</x:v>
      </x:c>
      <x:c r="E759" s="17" t="n">
        <x:v>765</x:v>
      </x:c>
      <x:c r="F759" s="18" t="n">
        <x:v>9564.26</x:v>
      </x:c>
    </x:row>
    <x:row r="760">
      <x:c r="A760" s="14" t="str">
        <x:v>店长</x:v>
      </x:c>
      <x:c r="B760" s="15" t="str">
        <x:v>张垒</x:v>
      </x:c>
      <x:c r="C760" s="16" t="n">
        <x:v>46085</x:v>
      </x:c>
      <x:c r="D760" s="17" t="n">
        <x:v>502</x:v>
      </x:c>
      <x:c r="E760" s="17" t="n">
        <x:v>735</x:v>
      </x:c>
      <x:c r="F760" s="18" t="n">
        <x:v>8705.78</x:v>
      </x:c>
    </x:row>
    <x:row r="761">
      <x:c r="A761" s="14" t="str">
        <x:v>店长</x:v>
      </x:c>
      <x:c r="B761" s="15" t="str">
        <x:v>张垒</x:v>
      </x:c>
      <x:c r="C761" s="16" t="n">
        <x:v>46086</x:v>
      </x:c>
      <x:c r="D761" s="17" t="n">
        <x:v>501</x:v>
      </x:c>
      <x:c r="E761" s="17" t="n">
        <x:v>794</x:v>
      </x:c>
      <x:c r="F761" s="18" t="n">
        <x:v>9217.38</x:v>
      </x:c>
    </x:row>
    <x:row r="762">
      <x:c r="A762" s="14" t="str">
        <x:v>店长</x:v>
      </x:c>
      <x:c r="B762" s="15" t="str">
        <x:v>张垒</x:v>
      </x:c>
      <x:c r="C762" s="16" t="n">
        <x:v>46087</x:v>
      </x:c>
      <x:c r="D762" s="17" t="n">
        <x:v>402</x:v>
      </x:c>
      <x:c r="E762" s="17" t="n">
        <x:v>650</x:v>
      </x:c>
      <x:c r="F762" s="18" t="n">
        <x:v>7494.9</x:v>
      </x:c>
    </x:row>
    <x:row r="763">
      <x:c r="A763" s="14" t="str">
        <x:v>店长</x:v>
      </x:c>
      <x:c r="B763" s="15" t="str">
        <x:v>张垒</x:v>
      </x:c>
      <x:c r="C763" s="16" t="n">
        <x:v>46088</x:v>
      </x:c>
      <x:c r="D763" s="17" t="n">
        <x:v>366</x:v>
      </x:c>
      <x:c r="E763" s="17" t="n">
        <x:v>529</x:v>
      </x:c>
      <x:c r="F763" s="18" t="n">
        <x:v>6620.78</x:v>
      </x:c>
    </x:row>
    <x:row r="764">
      <x:c r="A764" s="14" t="str">
        <x:v>店长</x:v>
      </x:c>
      <x:c r="B764" s="15" t="str">
        <x:v>张垒</x:v>
      </x:c>
      <x:c r="C764" s="16" t="n">
        <x:v>46089</x:v>
      </x:c>
      <x:c r="D764" s="17" t="n">
        <x:v>283</x:v>
      </x:c>
      <x:c r="E764" s="17" t="n">
        <x:v>431</x:v>
      </x:c>
      <x:c r="F764" s="18" t="n">
        <x:v>5079.11</x:v>
      </x:c>
    </x:row>
    <x:row r="765">
      <x:c r="A765" s="14" t="str">
        <x:v>店长</x:v>
      </x:c>
      <x:c r="B765" s="15" t="str">
        <x:v>张垒</x:v>
      </x:c>
      <x:c r="C765" s="16" t="n">
        <x:v>46090</x:v>
      </x:c>
      <x:c r="D765" s="17" t="n">
        <x:v>324</x:v>
      </x:c>
      <x:c r="E765" s="17" t="n">
        <x:v>439</x:v>
      </x:c>
      <x:c r="F765" s="18" t="n">
        <x:v>6617.39</x:v>
      </x:c>
    </x:row>
    <x:row r="766">
      <x:c r="A766" s="14" t="str">
        <x:v>店长</x:v>
      </x:c>
      <x:c r="B766" s="15" t="str">
        <x:v>张垒</x:v>
      </x:c>
      <x:c r="C766" s="16" t="n">
        <x:v>46091</x:v>
      </x:c>
      <x:c r="D766" s="17" t="n">
        <x:v>466</x:v>
      </x:c>
      <x:c r="E766" s="17" t="n">
        <x:v>823</x:v>
      </x:c>
      <x:c r="F766" s="18" t="n">
        <x:v>7633.06</x:v>
      </x:c>
    </x:row>
    <x:row r="767">
      <x:c r="A767" s="14" t="str">
        <x:v>店长</x:v>
      </x:c>
      <x:c r="B767" s="15" t="str">
        <x:v>张垒</x:v>
      </x:c>
      <x:c r="C767" s="16" t="n">
        <x:v>46092</x:v>
      </x:c>
      <x:c r="D767" s="17" t="n">
        <x:v>500</x:v>
      </x:c>
      <x:c r="E767" s="17" t="n">
        <x:v>1106</x:v>
      </x:c>
      <x:c r="F767" s="18" t="n">
        <x:v>10148.85</x:v>
      </x:c>
    </x:row>
    <x:row r="768">
      <x:c r="A768" s="14" t="str">
        <x:v>店长</x:v>
      </x:c>
      <x:c r="B768" s="15" t="str">
        <x:v>张垒</x:v>
      </x:c>
      <x:c r="C768" s="16" t="n">
        <x:v>46093</x:v>
      </x:c>
      <x:c r="D768" s="17" t="n">
        <x:v>682</x:v>
      </x:c>
      <x:c r="E768" s="17" t="n">
        <x:v>1413</x:v>
      </x:c>
      <x:c r="F768" s="18" t="n">
        <x:v>11921.16</x:v>
      </x:c>
    </x:row>
    <x:row r="769">
      <x:c r="A769" s="14" t="str">
        <x:v>店长</x:v>
      </x:c>
      <x:c r="B769" s="15" t="str">
        <x:v>张垒</x:v>
      </x:c>
      <x:c r="C769" s="16" t="n">
        <x:v>46094</x:v>
      </x:c>
      <x:c r="D769" s="17" t="n">
        <x:v>597</x:v>
      </x:c>
      <x:c r="E769" s="17" t="n">
        <x:v>1077</x:v>
      </x:c>
      <x:c r="F769" s="18" t="n">
        <x:v>10523.18</x:v>
      </x:c>
    </x:row>
    <x:row r="770">
      <x:c r="A770" s="14" t="str">
        <x:v>店长</x:v>
      </x:c>
      <x:c r="B770" s="15" t="str">
        <x:v>张垒</x:v>
      </x:c>
      <x:c r="C770" s="16" t="n">
        <x:v>46095</x:v>
      </x:c>
      <x:c r="D770" s="17" t="n">
        <x:v>628</x:v>
      </x:c>
      <x:c r="E770" s="17" t="n">
        <x:v>1272</x:v>
      </x:c>
      <x:c r="F770" s="18" t="n">
        <x:v>11597.79</x:v>
      </x:c>
    </x:row>
    <x:row r="771">
      <x:c r="A771" s="14" t="str">
        <x:v>店长</x:v>
      </x:c>
      <x:c r="B771" s="15" t="str">
        <x:v>张垒</x:v>
      </x:c>
      <x:c r="C771" s="16" t="n">
        <x:v>46096</x:v>
      </x:c>
      <x:c r="D771" s="17" t="n">
        <x:v>698</x:v>
      </x:c>
      <x:c r="E771" s="17" t="n">
        <x:v>1243</x:v>
      </x:c>
      <x:c r="F771" s="18" t="n">
        <x:v>12036.55</x:v>
      </x:c>
    </x:row>
    <x:row r="772">
      <x:c r="A772" s="14" t="str">
        <x:v>店长</x:v>
      </x:c>
      <x:c r="B772" s="15" t="str">
        <x:v>张垒</x:v>
      </x:c>
      <x:c r="C772" s="16" t="n">
        <x:v>46097</x:v>
      </x:c>
      <x:c r="D772" s="17" t="n">
        <x:v>863</x:v>
      </x:c>
      <x:c r="E772" s="17" t="n">
        <x:v>1504</x:v>
      </x:c>
      <x:c r="F772" s="18" t="n">
        <x:v>14714.45</x:v>
      </x:c>
    </x:row>
    <x:row r="773">
      <x:c r="A773" s="14" t="str">
        <x:v>店长</x:v>
      </x:c>
      <x:c r="B773" s="15" t="str">
        <x:v>张垒</x:v>
      </x:c>
      <x:c r="C773" s="16" t="n">
        <x:v>46098</x:v>
      </x:c>
      <x:c r="D773" s="17" t="n">
        <x:v>950</x:v>
      </x:c>
      <x:c r="E773" s="17" t="n">
        <x:v>1717</x:v>
      </x:c>
      <x:c r="F773" s="18" t="n">
        <x:v>17288.79</x:v>
      </x:c>
    </x:row>
    <x:row r="774">
      <x:c r="A774" s="14" t="str">
        <x:v>店长</x:v>
      </x:c>
      <x:c r="B774" s="15" t="str">
        <x:v>张垒</x:v>
      </x:c>
      <x:c r="C774" s="16" t="n">
        <x:v>46099</x:v>
      </x:c>
      <x:c r="D774" s="17" t="n">
        <x:v>745</x:v>
      </x:c>
      <x:c r="E774" s="17" t="n">
        <x:v>1401</x:v>
      </x:c>
      <x:c r="F774" s="18" t="n">
        <x:v>12644.29</x:v>
      </x:c>
    </x:row>
    <x:row r="775">
      <x:c r="A775" s="14" t="str">
        <x:v>店长</x:v>
      </x:c>
      <x:c r="B775" s="15" t="str">
        <x:v>张垒</x:v>
      </x:c>
      <x:c r="C775" s="16" t="n">
        <x:v>46100</x:v>
      </x:c>
      <x:c r="D775" s="17" t="n">
        <x:v>752</x:v>
      </x:c>
      <x:c r="E775" s="17" t="n">
        <x:v>1419</x:v>
      </x:c>
      <x:c r="F775" s="18" t="n">
        <x:v>13875.08</x:v>
      </x:c>
    </x:row>
    <x:row r="776">
      <x:c r="A776" s="14" t="str">
        <x:v>店长</x:v>
      </x:c>
      <x:c r="B776" s="15" t="str">
        <x:v>张垒</x:v>
      </x:c>
      <x:c r="C776" s="16" t="n">
        <x:v>46101</x:v>
      </x:c>
      <x:c r="D776" s="17" t="n">
        <x:v>840</x:v>
      </x:c>
      <x:c r="E776" s="17" t="n">
        <x:v>1518</x:v>
      </x:c>
      <x:c r="F776" s="18" t="n">
        <x:v>13751.88</x:v>
      </x:c>
    </x:row>
    <x:row r="777">
      <x:c r="A777" s="14" t="str">
        <x:v>店长</x:v>
      </x:c>
      <x:c r="B777" s="15" t="str">
        <x:v>张垒</x:v>
      </x:c>
      <x:c r="C777" s="16" t="n">
        <x:v>46102</x:v>
      </x:c>
      <x:c r="D777" s="17" t="n">
        <x:v>719</x:v>
      </x:c>
      <x:c r="E777" s="17" t="n">
        <x:v>1291</x:v>
      </x:c>
      <x:c r="F777" s="18" t="n">
        <x:v>12338.93</x:v>
      </x:c>
    </x:row>
    <x:row r="778">
      <x:c r="A778" s="14" t="str">
        <x:v>店长</x:v>
      </x:c>
      <x:c r="B778" s="15" t="str">
        <x:v>张垒</x:v>
      </x:c>
      <x:c r="C778" s="16" t="n">
        <x:v>46103</x:v>
      </x:c>
      <x:c r="D778" s="17" t="n">
        <x:v>631</x:v>
      </x:c>
      <x:c r="E778" s="17" t="n">
        <x:v>1148</x:v>
      </x:c>
      <x:c r="F778" s="18" t="n">
        <x:v>11253.94</x:v>
      </x:c>
    </x:row>
    <x:row r="779">
      <x:c r="A779" s="14" t="str">
        <x:v>店长</x:v>
      </x:c>
      <x:c r="B779" s="15" t="str">
        <x:v>张垒</x:v>
      </x:c>
      <x:c r="C779" s="16" t="n">
        <x:v>46104</x:v>
      </x:c>
      <x:c r="D779" s="17" t="n">
        <x:v>628</x:v>
      </x:c>
      <x:c r="E779" s="17" t="n">
        <x:v>1088</x:v>
      </x:c>
      <x:c r="F779" s="18" t="n">
        <x:v>10843.62</x:v>
      </x:c>
    </x:row>
    <x:row r="780">
      <x:c r="A780" s="14" t="str">
        <x:v>店长</x:v>
      </x:c>
      <x:c r="B780" s="15" t="str">
        <x:v>张垒</x:v>
      </x:c>
      <x:c r="C780" s="16" t="n">
        <x:v>46105</x:v>
      </x:c>
      <x:c r="D780" s="17" t="n">
        <x:v>644</x:v>
      </x:c>
      <x:c r="E780" s="17" t="n">
        <x:v>1294</x:v>
      </x:c>
      <x:c r="F780" s="18" t="n">
        <x:v>11008.38</x:v>
      </x:c>
    </x:row>
    <x:row r="781">
      <x:c r="A781" s="14" t="str">
        <x:v>店长</x:v>
      </x:c>
      <x:c r="B781" s="15" t="str">
        <x:v>张垒</x:v>
      </x:c>
      <x:c r="C781" s="16" t="n">
        <x:v>46106</x:v>
      </x:c>
      <x:c r="D781" s="17" t="n">
        <x:v>643</x:v>
      </x:c>
      <x:c r="E781" s="17" t="n">
        <x:v>1372</x:v>
      </x:c>
      <x:c r="F781" s="18" t="n">
        <x:v>10773.35</x:v>
      </x:c>
    </x:row>
    <x:row r="782">
      <x:c r="A782" s="14" t="str">
        <x:v>店长</x:v>
      </x:c>
      <x:c r="B782" s="15" t="str">
        <x:v>张垒</x:v>
      </x:c>
      <x:c r="C782" s="16" t="n">
        <x:v>46107</x:v>
      </x:c>
      <x:c r="D782" s="17" t="n">
        <x:v>631</x:v>
      </x:c>
      <x:c r="E782" s="17" t="n">
        <x:v>1081</x:v>
      </x:c>
      <x:c r="F782" s="18" t="n">
        <x:v>11304.9</x:v>
      </x:c>
    </x:row>
    <x:row r="783">
      <x:c r="A783" s="14" t="str">
        <x:v>店长</x:v>
      </x:c>
      <x:c r="B783" s="15" t="str">
        <x:v>张垒</x:v>
      </x:c>
      <x:c r="C783" s="16" t="n">
        <x:v>46108</x:v>
      </x:c>
      <x:c r="D783" s="17" t="n">
        <x:v>537</x:v>
      </x:c>
      <x:c r="E783" s="17" t="n">
        <x:v>911</x:v>
      </x:c>
      <x:c r="F783" s="18" t="n">
        <x:v>9338.19</x:v>
      </x:c>
    </x:row>
    <x:row r="784">
      <x:c r="A784" s="14" t="str">
        <x:v>店长</x:v>
      </x:c>
      <x:c r="B784" s="15" t="str">
        <x:v>张垒</x:v>
      </x:c>
      <x:c r="C784" s="16" t="n">
        <x:v>46109</x:v>
      </x:c>
      <x:c r="D784" s="17" t="n">
        <x:v>563</x:v>
      </x:c>
      <x:c r="E784" s="17" t="n">
        <x:v>1006</x:v>
      </x:c>
      <x:c r="F784" s="18" t="n">
        <x:v>9366.34</x:v>
      </x:c>
    </x:row>
    <x:row r="785">
      <x:c r="A785" s="14" t="str">
        <x:v>店长</x:v>
      </x:c>
      <x:c r="B785" s="15" t="str">
        <x:v>张垒</x:v>
      </x:c>
      <x:c r="C785" s="16" t="n">
        <x:v>46110</x:v>
      </x:c>
      <x:c r="D785" s="17" t="n">
        <x:v>600</x:v>
      </x:c>
      <x:c r="E785" s="17" t="n">
        <x:v>1093</x:v>
      </x:c>
      <x:c r="F785" s="18" t="n">
        <x:v>10832.89</x:v>
      </x:c>
    </x:row>
    <x:row r="786">
      <x:c r="A786" s="14" t="str">
        <x:v>店长</x:v>
      </x:c>
      <x:c r="B786" s="15" t="str">
        <x:v>张垒</x:v>
      </x:c>
      <x:c r="C786" s="16" t="n">
        <x:v>46111</x:v>
      </x:c>
      <x:c r="D786" s="17" t="n">
        <x:v>606</x:v>
      </x:c>
      <x:c r="E786" s="17" t="n">
        <x:v>1156</x:v>
      </x:c>
      <x:c r="F786" s="18" t="n">
        <x:v>11000.97</x:v>
      </x:c>
    </x:row>
    <x:row r="787">
      <x:c r="A787" s="14" t="str">
        <x:v>店长</x:v>
      </x:c>
      <x:c r="B787" s="15" t="str">
        <x:v>张垒</x:v>
      </x:c>
      <x:c r="C787" s="16" t="n">
        <x:v>46112</x:v>
      </x:c>
      <x:c r="D787" s="17" t="n">
        <x:v>653</x:v>
      </x:c>
      <x:c r="E787" s="17" t="n">
        <x:v>1277</x:v>
      </x:c>
      <x:c r="F787" s="18" t="n">
        <x:v>11554.72</x:v>
      </x:c>
    </x:row>
    <x:row r="788">
      <x:c r="A788" s="14" t="str">
        <x:v>店长</x:v>
      </x:c>
      <x:c r="B788" s="15" t="str">
        <x:v>张垒</x:v>
      </x:c>
      <x:c r="C788" s="16" t="n">
        <x:v>46113</x:v>
      </x:c>
      <x:c r="D788" s="17" t="n">
        <x:v>597</x:v>
      </x:c>
      <x:c r="E788" s="17" t="n">
        <x:v>1293</x:v>
      </x:c>
      <x:c r="F788" s="18" t="n">
        <x:v>10043.75</x:v>
      </x:c>
    </x:row>
    <x:row r="789">
      <x:c r="A789" s="14" t="str">
        <x:v>店长</x:v>
      </x:c>
      <x:c r="B789" s="15" t="str">
        <x:v>张垒</x:v>
      </x:c>
      <x:c r="C789" s="16" t="n">
        <x:v>46114</x:v>
      </x:c>
      <x:c r="D789" s="17" t="n">
        <x:v>156</x:v>
      </x:c>
      <x:c r="E789" s="17" t="n">
        <x:v>317</x:v>
      </x:c>
      <x:c r="F789" s="18" t="n">
        <x:v>2401.53</x:v>
      </x:c>
    </x:row>
    <x:row r="790">
      <x:c r="A790" s="14" t="str">
        <x:v>店长</x:v>
      </x:c>
      <x:c r="B790" s="15" t="str">
        <x:v>张垒</x:v>
      </x:c>
      <x:c r="C790" s="16" t="n">
        <x:v>46115</x:v>
      </x:c>
      <x:c r="D790" s="17" t="n">
        <x:v>235</x:v>
      </x:c>
      <x:c r="E790" s="17" t="n">
        <x:v>497</x:v>
      </x:c>
      <x:c r="F790" s="18" t="n">
        <x:v>3585.5</x:v>
      </x:c>
    </x:row>
    <x:row r="791">
      <x:c r="A791" s="14" t="str">
        <x:v>店长</x:v>
      </x:c>
      <x:c r="B791" s="15" t="str">
        <x:v>张垒</x:v>
      </x:c>
      <x:c r="C791" s="16" t="n">
        <x:v>46116</x:v>
      </x:c>
      <x:c r="D791" s="17" t="n">
        <x:v>1136</x:v>
      </x:c>
      <x:c r="E791" s="17" t="n">
        <x:v>2485</x:v>
      </x:c>
      <x:c r="F791" s="18" t="n">
        <x:v>19190.5</x:v>
      </x:c>
    </x:row>
    <x:row r="792">
      <x:c r="A792" s="14" t="str">
        <x:v>店长</x:v>
      </x:c>
      <x:c r="B792" s="15" t="str">
        <x:v>张垒</x:v>
      </x:c>
      <x:c r="C792" s="16" t="n">
        <x:v>46117</x:v>
      </x:c>
      <x:c r="D792" s="17" t="n">
        <x:v>920</x:v>
      </x:c>
      <x:c r="E792" s="17" t="n">
        <x:v>2062</x:v>
      </x:c>
      <x:c r="F792" s="18" t="n">
        <x:v>16514.3</x:v>
      </x:c>
    </x:row>
    <x:row r="793">
      <x:c r="A793" s="14" t="str">
        <x:v>店长</x:v>
      </x:c>
      <x:c r="B793" s="15" t="str">
        <x:v>张垒</x:v>
      </x:c>
      <x:c r="C793" s="16" t="n">
        <x:v>46118</x:v>
      </x:c>
      <x:c r="D793" s="17" t="n">
        <x:v>583</x:v>
      </x:c>
      <x:c r="E793" s="17" t="n">
        <x:v>1235</x:v>
      </x:c>
      <x:c r="F793" s="18" t="n">
        <x:v>10299.65</x:v>
      </x:c>
    </x:row>
    <x:row r="794">
      <x:c r="A794" s="14" t="str">
        <x:v>店长</x:v>
      </x:c>
      <x:c r="B794" s="15" t="str">
        <x:v>张垒</x:v>
      </x:c>
      <x:c r="C794" s="16" t="n">
        <x:v>46119</x:v>
      </x:c>
      <x:c r="D794" s="17" t="n">
        <x:v>558</x:v>
      </x:c>
      <x:c r="E794" s="17" t="n">
        <x:v>1215</x:v>
      </x:c>
      <x:c r="F794" s="18" t="n">
        <x:v>9528.36</x:v>
      </x:c>
    </x:row>
    <x:row r="795">
      <x:c r="A795" s="14" t="str">
        <x:v>店长</x:v>
      </x:c>
      <x:c r="B795" s="15" t="str">
        <x:v>张垒</x:v>
      </x:c>
      <x:c r="C795" s="16" t="n">
        <x:v>46120</x:v>
      </x:c>
      <x:c r="D795" s="17" t="n">
        <x:v>540</x:v>
      </x:c>
      <x:c r="E795" s="17" t="n">
        <x:v>1129</x:v>
      </x:c>
      <x:c r="F795" s="18" t="n">
        <x:v>8869.07</x:v>
      </x:c>
    </x:row>
    <x:row r="796">
      <x:c r="A796" s="14" t="str">
        <x:v>店长</x:v>
      </x:c>
      <x:c r="B796" s="15" t="str">
        <x:v>张垒</x:v>
      </x:c>
      <x:c r="C796" s="16" t="n">
        <x:v>46121</x:v>
      </x:c>
      <x:c r="D796" s="17" t="n">
        <x:v>605</x:v>
      </x:c>
      <x:c r="E796" s="17" t="n">
        <x:v>1214</x:v>
      </x:c>
      <x:c r="F796" s="18" t="n">
        <x:v>10071.53</x:v>
      </x:c>
    </x:row>
    <x:row r="797">
      <x:c r="A797" s="14" t="str">
        <x:v>店长</x:v>
      </x:c>
      <x:c r="B797" s="15" t="str">
        <x:v>张垒</x:v>
      </x:c>
      <x:c r="C797" s="16" t="n">
        <x:v>46122</x:v>
      </x:c>
      <x:c r="D797" s="17" t="n">
        <x:v>771</x:v>
      </x:c>
      <x:c r="E797" s="17" t="n">
        <x:v>1546</x:v>
      </x:c>
      <x:c r="F797" s="18" t="n">
        <x:v>12562.84</x:v>
      </x:c>
    </x:row>
    <x:row r="798">
      <x:c r="A798" s="14" t="str">
        <x:v>店长</x:v>
      </x:c>
      <x:c r="B798" s="15" t="str">
        <x:v>张垒</x:v>
      </x:c>
      <x:c r="C798" s="16" t="n">
        <x:v>46123</x:v>
      </x:c>
      <x:c r="D798" s="17" t="n">
        <x:v>711</x:v>
      </x:c>
      <x:c r="E798" s="17" t="n">
        <x:v>1357</x:v>
      </x:c>
      <x:c r="F798" s="18" t="n">
        <x:v>11291.71</x:v>
      </x:c>
    </x:row>
    <x:row r="799">
      <x:c r="A799" s="14" t="str">
        <x:v>店长</x:v>
      </x:c>
      <x:c r="B799" s="15" t="str">
        <x:v>张垒</x:v>
      </x:c>
      <x:c r="C799" s="16" t="n">
        <x:v>46124</x:v>
      </x:c>
      <x:c r="D799" s="17" t="n">
        <x:v>675</x:v>
      </x:c>
      <x:c r="E799" s="17" t="n">
        <x:v>1185</x:v>
      </x:c>
      <x:c r="F799" s="18" t="n">
        <x:v>9369.73</x:v>
      </x:c>
    </x:row>
    <x:row r="800">
      <x:c r="A800" s="14" t="str">
        <x:v>店长</x:v>
      </x:c>
      <x:c r="B800" s="15" t="str">
        <x:v>张垒</x:v>
      </x:c>
      <x:c r="C800" s="16" t="n">
        <x:v>46125</x:v>
      </x:c>
      <x:c r="D800" s="17" t="n">
        <x:v>822</x:v>
      </x:c>
      <x:c r="E800" s="17" t="n">
        <x:v>1700</x:v>
      </x:c>
      <x:c r="F800" s="18" t="n">
        <x:v>11071.04</x:v>
      </x:c>
    </x:row>
    <x:row r="801">
      <x:c r="A801" s="14" t="str">
        <x:v>店长</x:v>
      </x:c>
      <x:c r="B801" s="15" t="str">
        <x:v>张垒</x:v>
      </x:c>
      <x:c r="C801" s="16" t="n">
        <x:v>46126</x:v>
      </x:c>
      <x:c r="D801" s="17" t="n">
        <x:v>682</x:v>
      </x:c>
      <x:c r="E801" s="17" t="n">
        <x:v>1362</x:v>
      </x:c>
      <x:c r="F801" s="18" t="n">
        <x:v>9489.48</x:v>
      </x:c>
    </x:row>
    <x:row r="802">
      <x:c r="A802" s="14" t="str">
        <x:v>店长</x:v>
      </x:c>
      <x:c r="B802" s="15" t="str">
        <x:v>张垒</x:v>
      </x:c>
      <x:c r="C802" s="16" t="n">
        <x:v>46127</x:v>
      </x:c>
      <x:c r="D802" s="17" t="n">
        <x:v>712</x:v>
      </x:c>
      <x:c r="E802" s="17" t="n">
        <x:v>1230</x:v>
      </x:c>
      <x:c r="F802" s="18" t="n">
        <x:v>9987.59</x:v>
      </x:c>
    </x:row>
    <x:row r="803">
      <x:c r="A803" s="14" t="str">
        <x:v>店长</x:v>
      </x:c>
      <x:c r="B803" s="15" t="str">
        <x:v>张垒</x:v>
      </x:c>
      <x:c r="C803" s="16" t="n">
        <x:v>46128</x:v>
      </x:c>
      <x:c r="D803" s="17" t="n">
        <x:v>420</x:v>
      </x:c>
      <x:c r="E803" s="17" t="n">
        <x:v>839</x:v>
      </x:c>
      <x:c r="F803" s="18" t="n">
        <x:v>7931.27</x:v>
      </x:c>
    </x:row>
    <x:row r="804">
      <x:c r="A804" s="14" t="str">
        <x:v>店长</x:v>
      </x:c>
      <x:c r="B804" s="15" t="str">
        <x:v>张垒</x:v>
      </x:c>
      <x:c r="C804" s="16" t="n">
        <x:v>46129</x:v>
      </x:c>
      <x:c r="D804" s="17" t="n">
        <x:v>427</x:v>
      </x:c>
      <x:c r="E804" s="17" t="n">
        <x:v>851</x:v>
      </x:c>
      <x:c r="F804" s="18" t="n">
        <x:v>7489.98</x:v>
      </x:c>
    </x:row>
    <x:row r="805">
      <x:c r="A805" s="14" t="str">
        <x:v>店长</x:v>
      </x:c>
      <x:c r="B805" s="15" t="str">
        <x:v>张垒</x:v>
      </x:c>
      <x:c r="C805" s="16" t="n">
        <x:v>46130</x:v>
      </x:c>
      <x:c r="D805" s="17" t="n">
        <x:v>342</x:v>
      </x:c>
      <x:c r="E805" s="17" t="n">
        <x:v>689</x:v>
      </x:c>
      <x:c r="F805" s="18" t="n">
        <x:v>6196.19</x:v>
      </x:c>
    </x:row>
    <x:row r="806">
      <x:c r="A806" s="14" t="str">
        <x:v>店长</x:v>
      </x:c>
      <x:c r="B806" s="15" t="str">
        <x:v>张垒</x:v>
      </x:c>
      <x:c r="C806" s="16" t="n">
        <x:v>46131</x:v>
      </x:c>
      <x:c r="D806" s="17" t="n">
        <x:v>411</x:v>
      </x:c>
      <x:c r="E806" s="17" t="n">
        <x:v>791</x:v>
      </x:c>
      <x:c r="F806" s="18" t="n">
        <x:v>6968.2</x:v>
      </x:c>
    </x:row>
    <x:row r="807">
      <x:c r="A807" s="14" t="str">
        <x:v>店长</x:v>
      </x:c>
      <x:c r="B807" s="15" t="str">
        <x:v>张垒</x:v>
      </x:c>
      <x:c r="C807" s="16" t="n">
        <x:v>46132</x:v>
      </x:c>
      <x:c r="D807" s="17" t="n">
        <x:v>447</x:v>
      </x:c>
      <x:c r="E807" s="17" t="n">
        <x:v>882</x:v>
      </x:c>
      <x:c r="F807" s="18" t="n">
        <x:v>7949.38</x:v>
      </x:c>
    </x:row>
    <x:row r="808">
      <x:c r="A808" s="14" t="str">
        <x:v>店长</x:v>
      </x:c>
      <x:c r="B808" s="15" t="str">
        <x:v>张垒</x:v>
      </x:c>
      <x:c r="C808" s="16" t="n">
        <x:v>46133</x:v>
      </x:c>
      <x:c r="D808" s="17" t="n">
        <x:v>474</x:v>
      </x:c>
      <x:c r="E808" s="17" t="n">
        <x:v>973</x:v>
      </x:c>
      <x:c r="F808" s="18" t="n">
        <x:v>8425.54</x:v>
      </x:c>
    </x:row>
    <x:row r="809">
      <x:c r="A809" s="14" t="str">
        <x:v>店长</x:v>
      </x:c>
      <x:c r="B809" s="15" t="str">
        <x:v>张垒</x:v>
      </x:c>
      <x:c r="C809" s="16" t="n">
        <x:v>46134</x:v>
      </x:c>
      <x:c r="D809" s="17" t="n">
        <x:v>479</x:v>
      </x:c>
      <x:c r="E809" s="17" t="n">
        <x:v>971</x:v>
      </x:c>
      <x:c r="F809" s="18" t="n">
        <x:v>8519.11</x:v>
      </x:c>
    </x:row>
    <x:row r="810">
      <x:c r="A810" s="14" t="str">
        <x:v>店长</x:v>
      </x:c>
      <x:c r="B810" s="15" t="str">
        <x:v>张垒</x:v>
      </x:c>
      <x:c r="C810" s="16" t="n">
        <x:v>46135</x:v>
      </x:c>
      <x:c r="D810" s="17" t="n">
        <x:v>428</x:v>
      </x:c>
      <x:c r="E810" s="17" t="n">
        <x:v>877</x:v>
      </x:c>
      <x:c r="F810" s="18" t="n">
        <x:v>7246.55</x:v>
      </x:c>
    </x:row>
    <x:row r="811">
      <x:c r="A811" s="14" t="str">
        <x:v>店长</x:v>
      </x:c>
      <x:c r="B811" s="15" t="str">
        <x:v>张垒</x:v>
      </x:c>
      <x:c r="C811" s="16" t="n">
        <x:v>46136</x:v>
      </x:c>
      <x:c r="D811" s="17" t="n">
        <x:v>416</x:v>
      </x:c>
      <x:c r="E811" s="17" t="n">
        <x:v>850</x:v>
      </x:c>
      <x:c r="F811" s="18" t="n">
        <x:v>7983.33</x:v>
      </x:c>
    </x:row>
    <x:row r="812">
      <x:c r="A812" s="14" t="str">
        <x:v>店长</x:v>
      </x:c>
      <x:c r="B812" s="15" t="str">
        <x:v>张垒</x:v>
      </x:c>
      <x:c r="C812" s="16" t="n">
        <x:v>46137</x:v>
      </x:c>
      <x:c r="D812" s="17" t="n">
        <x:v>419</x:v>
      </x:c>
      <x:c r="E812" s="17" t="n">
        <x:v>863</x:v>
      </x:c>
      <x:c r="F812" s="18" t="n">
        <x:v>7443.8</x:v>
      </x:c>
    </x:row>
    <x:row r="813">
      <x:c r="A813" s="14" t="str">
        <x:v>店长</x:v>
      </x:c>
      <x:c r="B813" s="15" t="str">
        <x:v>张垒</x:v>
      </x:c>
      <x:c r="C813" s="16" t="n">
        <x:v>46138</x:v>
      </x:c>
      <x:c r="D813" s="17" t="n">
        <x:v>276</x:v>
      </x:c>
      <x:c r="E813" s="17" t="n">
        <x:v>506</x:v>
      </x:c>
      <x:c r="F813" s="18" t="n">
        <x:v>4776.64</x:v>
      </x:c>
    </x:row>
    <x:row r="814">
      <x:c r="A814" s="14" t="str">
        <x:v>店长</x:v>
      </x:c>
      <x:c r="B814" s="15" t="str">
        <x:v>张垒</x:v>
      </x:c>
      <x:c r="C814" s="16" t="n">
        <x:v>46139</x:v>
      </x:c>
      <x:c r="D814" s="17" t="n">
        <x:v>456</x:v>
      </x:c>
      <x:c r="E814" s="17" t="n">
        <x:v>805</x:v>
      </x:c>
      <x:c r="F814" s="18" t="n">
        <x:v>8426.43</x:v>
      </x:c>
    </x:row>
    <x:row r="815">
      <x:c r="A815" s="14" t="str">
        <x:v>店长</x:v>
      </x:c>
      <x:c r="B815" s="15" t="str">
        <x:v>张垒</x:v>
      </x:c>
      <x:c r="C815" s="16" t="n">
        <x:v>46140</x:v>
      </x:c>
      <x:c r="D815" s="17" t="n">
        <x:v>475</x:v>
      </x:c>
      <x:c r="E815" s="17" t="n">
        <x:v>836</x:v>
      </x:c>
      <x:c r="F815" s="18" t="n">
        <x:v>7937.84</x:v>
      </x:c>
    </x:row>
    <x:row r="816">
      <x:c r="A816" s="14" t="str">
        <x:v>店长</x:v>
      </x:c>
      <x:c r="B816" s="15" t="str">
        <x:v>张垒</x:v>
      </x:c>
      <x:c r="C816" s="16" t="n">
        <x:v>46141</x:v>
      </x:c>
      <x:c r="D816" s="17" t="n">
        <x:v>506</x:v>
      </x:c>
      <x:c r="E816" s="17" t="n">
        <x:v>844</x:v>
      </x:c>
      <x:c r="F816" s="18" t="n">
        <x:v>8059.54</x:v>
      </x:c>
    </x:row>
    <x:row r="817">
      <x:c r="A817" s="14" t="str">
        <x:v>店长</x:v>
      </x:c>
      <x:c r="B817" s="15" t="str">
        <x:v>张垒</x:v>
      </x:c>
      <x:c r="C817" s="16" t="n">
        <x:v>46142</x:v>
      </x:c>
      <x:c r="D817" s="17" t="n">
        <x:v>227</x:v>
      </x:c>
      <x:c r="E817" s="17" t="n">
        <x:v>399</x:v>
      </x:c>
      <x:c r="F817" s="18" t="n">
        <x:v>4190.49</x:v>
      </x:c>
    </x:row>
    <x:row r="818">
      <x:c r="A818" s="14" t="str">
        <x:v>店长</x:v>
      </x:c>
      <x:c r="B818" s="15" t="str">
        <x:v>张垒</x:v>
      </x:c>
      <x:c r="C818" s="16" t="n">
        <x:v>46143</x:v>
      </x:c>
      <x:c r="D818" s="17" t="n">
        <x:v>860</x:v>
      </x:c>
      <x:c r="E818" s="17" t="n">
        <x:v>1493</x:v>
      </x:c>
      <x:c r="F818" s="18" t="n">
        <x:v>11325.52</x:v>
      </x:c>
    </x:row>
    <x:row r="819">
      <x:c r="A819" s="14" t="str">
        <x:v>店长</x:v>
      </x:c>
      <x:c r="B819" s="15" t="str">
        <x:v>张垒</x:v>
      </x:c>
      <x:c r="C819" s="16" t="n">
        <x:v>46144</x:v>
      </x:c>
      <x:c r="D819" s="17" t="n">
        <x:v>568</x:v>
      </x:c>
      <x:c r="E819" s="17" t="n">
        <x:v>1099</x:v>
      </x:c>
      <x:c r="F819" s="18" t="n">
        <x:v>8676.72</x:v>
      </x:c>
    </x:row>
    <x:row r="820">
      <x:c r="A820" s="14" t="str">
        <x:v>店长</x:v>
      </x:c>
      <x:c r="B820" s="15" t="str">
        <x:v>张垒</x:v>
      </x:c>
      <x:c r="C820" s="16" t="n">
        <x:v>46145</x:v>
      </x:c>
      <x:c r="D820" s="17" t="n">
        <x:v>515</x:v>
      </x:c>
      <x:c r="E820" s="17" t="n">
        <x:v>957</x:v>
      </x:c>
      <x:c r="F820" s="18" t="n">
        <x:v>7306.62</x:v>
      </x:c>
    </x:row>
    <x:row r="821">
      <x:c r="A821" s="14" t="str">
        <x:v>店长</x:v>
      </x:c>
      <x:c r="B821" s="15" t="str">
        <x:v>张垒</x:v>
      </x:c>
      <x:c r="C821" s="16" t="n">
        <x:v>46146</x:v>
      </x:c>
      <x:c r="D821" s="17" t="n">
        <x:v>561</x:v>
      </x:c>
      <x:c r="E821" s="17" t="n">
        <x:v>1039</x:v>
      </x:c>
      <x:c r="F821" s="18" t="n">
        <x:v>8443.55</x:v>
      </x:c>
    </x:row>
    <x:row r="822">
      <x:c r="A822" s="14" t="str">
        <x:v>店长</x:v>
      </x:c>
      <x:c r="B822" s="15" t="str">
        <x:v>张垒</x:v>
      </x:c>
      <x:c r="C822" s="16" t="n">
        <x:v>46147</x:v>
      </x:c>
      <x:c r="D822" s="17" t="n">
        <x:v>520</x:v>
      </x:c>
      <x:c r="E822" s="17" t="n">
        <x:v>970</x:v>
      </x:c>
      <x:c r="F822" s="18" t="n">
        <x:v>7916.86</x:v>
      </x:c>
    </x:row>
    <x:row r="823">
      <x:c r="A823" s="14" t="str">
        <x:v>店长</x:v>
      </x:c>
      <x:c r="B823" s="15" t="str">
        <x:v>张垒</x:v>
      </x:c>
      <x:c r="C823" s="16" t="n">
        <x:v>46148</x:v>
      </x:c>
      <x:c r="D823" s="17" t="n">
        <x:v>593</x:v>
      </x:c>
      <x:c r="E823" s="17" t="n">
        <x:v>1241</x:v>
      </x:c>
      <x:c r="F823" s="18" t="n">
        <x:v>9175.02</x:v>
      </x:c>
    </x:row>
    <x:row r="824">
      <x:c r="A824" s="14" t="str">
        <x:v>店长</x:v>
      </x:c>
      <x:c r="B824" s="15" t="str">
        <x:v>张垒</x:v>
      </x:c>
      <x:c r="C824" s="16" t="n">
        <x:v>46149</x:v>
      </x:c>
      <x:c r="D824" s="17" t="n">
        <x:v>520</x:v>
      </x:c>
      <x:c r="E824" s="17" t="n">
        <x:v>936</x:v>
      </x:c>
      <x:c r="F824" s="18" t="n">
        <x:v>8062.86</x:v>
      </x:c>
    </x:row>
    <x:row r="825">
      <x:c r="A825" s="14" t="str">
        <x:v>店长</x:v>
      </x:c>
      <x:c r="B825" s="15" t="str">
        <x:v>张垒</x:v>
      </x:c>
      <x:c r="C825" s="16" t="n">
        <x:v>46150</x:v>
      </x:c>
      <x:c r="D825" s="17" t="n">
        <x:v>470</x:v>
      </x:c>
      <x:c r="E825" s="17" t="n">
        <x:v>950</x:v>
      </x:c>
      <x:c r="F825" s="18" t="n">
        <x:v>7030.33</x:v>
      </x:c>
    </x:row>
    <x:row r="826">
      <x:c r="A826" s="14" t="str">
        <x:v>店长</x:v>
      </x:c>
      <x:c r="B826" s="15" t="str">
        <x:v>张垒</x:v>
      </x:c>
      <x:c r="C826" s="16" t="n">
        <x:v>46151</x:v>
      </x:c>
      <x:c r="D826" s="17" t="n">
        <x:v>656</x:v>
      </x:c>
      <x:c r="E826" s="17" t="n">
        <x:v>1145</x:v>
      </x:c>
      <x:c r="F826" s="18" t="n">
        <x:v>9029.86</x:v>
      </x:c>
    </x:row>
    <x:row r="827">
      <x:c r="A827" s="14" t="str">
        <x:v>店长</x:v>
      </x:c>
      <x:c r="B827" s="15" t="str">
        <x:v>张垒</x:v>
      </x:c>
      <x:c r="C827" s="16" t="n">
        <x:v>46152</x:v>
      </x:c>
      <x:c r="D827" s="17" t="n">
        <x:v>593</x:v>
      </x:c>
      <x:c r="E827" s="17" t="n">
        <x:v>1150</x:v>
      </x:c>
      <x:c r="F827" s="18" t="n">
        <x:v>8228.25</x:v>
      </x:c>
    </x:row>
    <x:row r="828">
      <x:c r="A828" s="14" t="str">
        <x:v>店长</x:v>
      </x:c>
      <x:c r="B828" s="15" t="str">
        <x:v>张垒</x:v>
      </x:c>
      <x:c r="C828" s="16" t="n">
        <x:v>46153</x:v>
      </x:c>
      <x:c r="D828" s="17" t="n">
        <x:v>683</x:v>
      </x:c>
      <x:c r="E828" s="17" t="n">
        <x:v>1277</x:v>
      </x:c>
      <x:c r="F828" s="18" t="n">
        <x:v>9845.06</x:v>
      </x:c>
    </x:row>
    <x:row r="829">
      <x:c r="A829" s="14" t="str">
        <x:v>店长</x:v>
      </x:c>
      <x:c r="B829" s="15" t="str">
        <x:v>张垒</x:v>
      </x:c>
      <x:c r="C829" s="16" t="n">
        <x:v>46154</x:v>
      </x:c>
      <x:c r="D829" s="17" t="n">
        <x:v>649</x:v>
      </x:c>
      <x:c r="E829" s="17" t="n">
        <x:v>1232</x:v>
      </x:c>
      <x:c r="F829" s="18" t="n">
        <x:v>9378.01</x:v>
      </x:c>
    </x:row>
    <x:row r="830">
      <x:c r="A830" s="14" t="str">
        <x:v>店长</x:v>
      </x:c>
      <x:c r="B830" s="15" t="str">
        <x:v>张垒</x:v>
      </x:c>
      <x:c r="C830" s="16" t="n">
        <x:v>46155</x:v>
      </x:c>
      <x:c r="D830" s="17" t="n">
        <x:v>713</x:v>
      </x:c>
      <x:c r="E830" s="17" t="n">
        <x:v>1324</x:v>
      </x:c>
      <x:c r="F830" s="18" t="n">
        <x:v>10081.18</x:v>
      </x:c>
    </x:row>
    <x:row r="831">
      <x:c r="A831" s="14" t="str">
        <x:v>店长</x:v>
      </x:c>
      <x:c r="B831" s="15" t="str">
        <x:v>张垒</x:v>
      </x:c>
      <x:c r="C831" s="16" t="n">
        <x:v>46156</x:v>
      </x:c>
      <x:c r="D831" s="17" t="n">
        <x:v>741</x:v>
      </x:c>
      <x:c r="E831" s="17" t="n">
        <x:v>1457</x:v>
      </x:c>
      <x:c r="F831" s="18" t="n">
        <x:v>10780.31</x:v>
      </x:c>
    </x:row>
    <x:row r="832">
      <x:c r="A832" s="14" t="str">
        <x:v>店长</x:v>
      </x:c>
      <x:c r="B832" s="15" t="str">
        <x:v>张垒</x:v>
      </x:c>
      <x:c r="C832" s="16" t="n">
        <x:v>46157</x:v>
      </x:c>
      <x:c r="D832" s="17" t="n">
        <x:v>708</x:v>
      </x:c>
      <x:c r="E832" s="17" t="n">
        <x:v>1421</x:v>
      </x:c>
      <x:c r="F832" s="18" t="n">
        <x:v>10779.49</x:v>
      </x:c>
    </x:row>
    <x:row r="833">
      <x:c r="A833" s="14" t="str">
        <x:v>店长</x:v>
      </x:c>
      <x:c r="B833" s="15" t="str">
        <x:v>张垒</x:v>
      </x:c>
      <x:c r="C833" s="16" t="n">
        <x:v>46158</x:v>
      </x:c>
      <x:c r="D833" s="17" t="n">
        <x:v>715</x:v>
      </x:c>
      <x:c r="E833" s="17" t="n">
        <x:v>1387</x:v>
      </x:c>
      <x:c r="F833" s="18" t="n">
        <x:v>11411.68</x:v>
      </x:c>
    </x:row>
    <x:row r="834">
      <x:c r="A834" s="14" t="str">
        <x:v>店长</x:v>
      </x:c>
      <x:c r="B834" s="15" t="str">
        <x:v>张垒</x:v>
      </x:c>
      <x:c r="C834" s="16" t="n">
        <x:v>46159</x:v>
      </x:c>
      <x:c r="D834" s="17" t="n">
        <x:v>691</x:v>
      </x:c>
      <x:c r="E834" s="17" t="n">
        <x:v>1254</x:v>
      </x:c>
      <x:c r="F834" s="18" t="n">
        <x:v>11045.77</x:v>
      </x:c>
    </x:row>
    <x:row r="835">
      <x:c r="A835" s="14" t="str">
        <x:v>店长</x:v>
      </x:c>
      <x:c r="B835" s="15" t="str">
        <x:v>张垒</x:v>
      </x:c>
      <x:c r="C835" s="16" t="n">
        <x:v>46160</x:v>
      </x:c>
      <x:c r="D835" s="17" t="n">
        <x:v>743</x:v>
      </x:c>
      <x:c r="E835" s="17" t="n">
        <x:v>1343</x:v>
      </x:c>
      <x:c r="F835" s="18" t="n">
        <x:v>11386.02</x:v>
      </x:c>
    </x:row>
    <x:row r="836">
      <x:c r="A836" s="14" t="str">
        <x:v>店长</x:v>
      </x:c>
      <x:c r="B836" s="15" t="str">
        <x:v>张垒</x:v>
      </x:c>
      <x:c r="C836" s="16" t="n">
        <x:v>46161</x:v>
      </x:c>
      <x:c r="D836" s="17" t="n">
        <x:v>675</x:v>
      </x:c>
      <x:c r="E836" s="17" t="n">
        <x:v>1212</x:v>
      </x:c>
      <x:c r="F836" s="18" t="n">
        <x:v>10221.05</x:v>
      </x:c>
    </x:row>
    <x:row r="837">
      <x:c r="A837" s="14" t="str">
        <x:v>店长</x:v>
      </x:c>
      <x:c r="B837" s="15" t="str">
        <x:v>张垒</x:v>
      </x:c>
      <x:c r="C837" s="16" t="n">
        <x:v>46162</x:v>
      </x:c>
      <x:c r="D837" s="17" t="n">
        <x:v>652</x:v>
      </x:c>
      <x:c r="E837" s="17" t="n">
        <x:v>1136</x:v>
      </x:c>
      <x:c r="F837" s="18" t="n">
        <x:v>9391.42</x:v>
      </x:c>
    </x:row>
    <x:row r="838">
      <x:c r="A838" s="14" t="str">
        <x:v>店长</x:v>
      </x:c>
      <x:c r="B838" s="15" t="str">
        <x:v>张垒</x:v>
      </x:c>
      <x:c r="C838" s="16" t="n">
        <x:v>46163</x:v>
      </x:c>
      <x:c r="D838" s="17" t="n">
        <x:v>609</x:v>
      </x:c>
      <x:c r="E838" s="17" t="n">
        <x:v>1215</x:v>
      </x:c>
      <x:c r="F838" s="18" t="n">
        <x:v>9491.37</x:v>
      </x:c>
    </x:row>
    <x:row r="839">
      <x:c r="A839" s="14" t="str">
        <x:v>店长</x:v>
      </x:c>
      <x:c r="B839" s="15" t="str">
        <x:v>张垒</x:v>
      </x:c>
      <x:c r="C839" s="16" t="n">
        <x:v>46164</x:v>
      </x:c>
      <x:c r="D839" s="17" t="n">
        <x:v>701</x:v>
      </x:c>
      <x:c r="E839" s="17" t="n">
        <x:v>1449</x:v>
      </x:c>
      <x:c r="F839" s="18" t="n">
        <x:v>10811.08</x:v>
      </x:c>
    </x:row>
    <x:row r="840">
      <x:c r="A840" s="14" t="str">
        <x:v>店长</x:v>
      </x:c>
      <x:c r="B840" s="15" t="str">
        <x:v>张垒</x:v>
      </x:c>
      <x:c r="C840" s="16" t="n">
        <x:v>46165</x:v>
      </x:c>
      <x:c r="D840" s="17" t="n">
        <x:v>745</x:v>
      </x:c>
      <x:c r="E840" s="17" t="n">
        <x:v>1413</x:v>
      </x:c>
      <x:c r="F840" s="18" t="n">
        <x:v>11758.42</x:v>
      </x:c>
    </x:row>
    <x:row r="841">
      <x:c r="A841" s="14" t="str">
        <x:v>店长</x:v>
      </x:c>
      <x:c r="B841" s="15" t="str">
        <x:v>张垒</x:v>
      </x:c>
      <x:c r="C841" s="16" t="n">
        <x:v>46166</x:v>
      </x:c>
      <x:c r="D841" s="17" t="n">
        <x:v>652</x:v>
      </x:c>
      <x:c r="E841" s="17" t="n">
        <x:v>1202</x:v>
      </x:c>
      <x:c r="F841" s="18" t="n">
        <x:v>10431.85</x:v>
      </x:c>
    </x:row>
    <x:row r="842">
      <x:c r="A842" s="14" t="str">
        <x:v>店长</x:v>
      </x:c>
      <x:c r="B842" s="15" t="str">
        <x:v>张垒</x:v>
      </x:c>
      <x:c r="C842" s="16" t="n">
        <x:v>46167</x:v>
      </x:c>
      <x:c r="D842" s="17" t="n">
        <x:v>818</x:v>
      </x:c>
      <x:c r="E842" s="17" t="n">
        <x:v>1512</x:v>
      </x:c>
      <x:c r="F842" s="18" t="n">
        <x:v>13403.08</x:v>
      </x:c>
    </x:row>
    <x:row r="843">
      <x:c r="A843" s="14" t="str">
        <x:v>店长</x:v>
      </x:c>
      <x:c r="B843" s="15" t="str">
        <x:v>张垒</x:v>
      </x:c>
      <x:c r="C843" s="16" t="n">
        <x:v>46168</x:v>
      </x:c>
      <x:c r="D843" s="17" t="n">
        <x:v>764</x:v>
      </x:c>
      <x:c r="E843" s="17" t="n">
        <x:v>1443</x:v>
      </x:c>
      <x:c r="F843" s="18" t="n">
        <x:v>12313.57</x:v>
      </x:c>
    </x:row>
    <x:row r="844">
      <x:c r="A844" s="14" t="str">
        <x:v>店长</x:v>
      </x:c>
      <x:c r="B844" s="15" t="str">
        <x:v>张垒</x:v>
      </x:c>
      <x:c r="C844" s="16" t="n">
        <x:v>46169</x:v>
      </x:c>
      <x:c r="D844" s="17" t="n">
        <x:v>710</x:v>
      </x:c>
      <x:c r="E844" s="17" t="n">
        <x:v>1311</x:v>
      </x:c>
      <x:c r="F844" s="18" t="n">
        <x:v>11465.11</x:v>
      </x:c>
    </x:row>
    <x:row r="845">
      <x:c r="A845" s="14" t="str">
        <x:v>店长</x:v>
      </x:c>
      <x:c r="B845" s="15" t="str">
        <x:v>张垒</x:v>
      </x:c>
      <x:c r="C845" s="16" t="n">
        <x:v>46170</x:v>
      </x:c>
      <x:c r="D845" s="17" t="n">
        <x:v>707</x:v>
      </x:c>
      <x:c r="E845" s="17" t="n">
        <x:v>1341</x:v>
      </x:c>
      <x:c r="F845" s="18" t="n">
        <x:v>11155.32</x:v>
      </x:c>
    </x:row>
    <x:row r="846">
      <x:c r="A846" s="14" t="str">
        <x:v>店长</x:v>
      </x:c>
      <x:c r="B846" s="15" t="str">
        <x:v>张垒</x:v>
      </x:c>
      <x:c r="C846" s="16" t="n">
        <x:v>46171</x:v>
      </x:c>
      <x:c r="D846" s="17" t="n">
        <x:v>704</x:v>
      </x:c>
      <x:c r="E846" s="17" t="n">
        <x:v>1288</x:v>
      </x:c>
      <x:c r="F846" s="18" t="n">
        <x:v>10877.56</x:v>
      </x:c>
    </x:row>
    <x:row r="847">
      <x:c r="A847" s="14" t="str">
        <x:v>店长</x:v>
      </x:c>
      <x:c r="B847" s="15" t="str">
        <x:v>张垒</x:v>
      </x:c>
      <x:c r="C847" s="16" t="n">
        <x:v>46172</x:v>
      </x:c>
      <x:c r="D847" s="17" t="n">
        <x:v>587</x:v>
      </x:c>
      <x:c r="E847" s="17" t="n">
        <x:v>1117</x:v>
      </x:c>
      <x:c r="F847" s="18" t="n">
        <x:v>9396.49</x:v>
      </x:c>
    </x:row>
    <x:row r="848">
      <x:c r="A848" s="14" t="str">
        <x:v>店长</x:v>
      </x:c>
      <x:c r="B848" s="15" t="str">
        <x:v>张垒</x:v>
      </x:c>
      <x:c r="C848" s="16" t="n">
        <x:v>46173</x:v>
      </x:c>
      <x:c r="D848" s="17" t="n">
        <x:v>554</x:v>
      </x:c>
      <x:c r="E848" s="17" t="n">
        <x:v>1092</x:v>
      </x:c>
      <x:c r="F848" s="18" t="n">
        <x:v>15459.14</x:v>
      </x:c>
    </x:row>
    <x:row r="849">
      <x:c r="A849" s="14" t="str">
        <x:v>店长</x:v>
      </x:c>
      <x:c r="B849" s="15" t="str">
        <x:v>张垒</x:v>
      </x:c>
      <x:c r="C849" s="16" t="n">
        <x:v>46174</x:v>
      </x:c>
      <x:c r="D849" s="17" t="n">
        <x:v>616</x:v>
      </x:c>
      <x:c r="E849" s="17" t="n">
        <x:v>1135</x:v>
      </x:c>
      <x:c r="F849" s="18" t="n">
        <x:v>9770.25</x:v>
      </x:c>
    </x:row>
    <x:row r="850">
      <x:c r="A850" s="14" t="str">
        <x:v>店长</x:v>
      </x:c>
      <x:c r="B850" s="15" t="str">
        <x:v>张垒</x:v>
      </x:c>
      <x:c r="C850" s="16" t="n">
        <x:v>46175</x:v>
      </x:c>
      <x:c r="D850" s="17" t="n">
        <x:v>580</x:v>
      </x:c>
      <x:c r="E850" s="17" t="n">
        <x:v>1150</x:v>
      </x:c>
      <x:c r="F850" s="18" t="n">
        <x:v>9376.77</x:v>
      </x:c>
    </x:row>
    <x:row r="851">
      <x:c r="A851" s="14" t="str">
        <x:v>店长</x:v>
      </x:c>
      <x:c r="B851" s="15" t="str">
        <x:v>张垒</x:v>
      </x:c>
      <x:c r="C851" s="16" t="n">
        <x:v>46176</x:v>
      </x:c>
      <x:c r="D851" s="17" t="n">
        <x:v>601</x:v>
      </x:c>
      <x:c r="E851" s="17" t="n">
        <x:v>1198</x:v>
      </x:c>
      <x:c r="F851" s="18" t="n">
        <x:v>9387.45</x:v>
      </x:c>
    </x:row>
    <x:row r="852">
      <x:c r="A852" s="14" t="str">
        <x:v>店长</x:v>
      </x:c>
      <x:c r="B852" s="15" t="str">
        <x:v>张垒</x:v>
      </x:c>
      <x:c r="C852" s="16" t="n">
        <x:v>46177</x:v>
      </x:c>
      <x:c r="D852" s="17" t="n">
        <x:v>621</x:v>
      </x:c>
      <x:c r="E852" s="17" t="n">
        <x:v>1240</x:v>
      </x:c>
      <x:c r="F852" s="18" t="n">
        <x:v>10000.68</x:v>
      </x:c>
    </x:row>
    <x:row r="853">
      <x:c r="A853" s="14" t="str">
        <x:v>店长</x:v>
      </x:c>
      <x:c r="B853" s="15" t="str">
        <x:v>张垒</x:v>
      </x:c>
      <x:c r="C853" s="16" t="n">
        <x:v>46178</x:v>
      </x:c>
      <x:c r="D853" s="17" t="n">
        <x:v>447</x:v>
      </x:c>
      <x:c r="E853" s="17" t="n">
        <x:v>954</x:v>
      </x:c>
      <x:c r="F853" s="18" t="n">
        <x:v>6828.11</x:v>
      </x:c>
    </x:row>
    <x:row r="854">
      <x:c r="A854" s="14" t="str">
        <x:v>店长</x:v>
      </x:c>
      <x:c r="B854" s="15" t="str">
        <x:v>张垒</x:v>
      </x:c>
      <x:c r="C854" s="16" t="n">
        <x:v>46179</x:v>
      </x:c>
      <x:c r="D854" s="17" t="n">
        <x:v>566</x:v>
      </x:c>
      <x:c r="E854" s="17" t="n">
        <x:v>1142</x:v>
      </x:c>
      <x:c r="F854" s="18" t="n">
        <x:v>9440.72</x:v>
      </x:c>
    </x:row>
    <x:row r="855">
      <x:c r="A855" s="14" t="str">
        <x:v>店长</x:v>
      </x:c>
      <x:c r="B855" s="15" t="str">
        <x:v>张垒</x:v>
      </x:c>
      <x:c r="C855" s="16" t="n">
        <x:v>46180</x:v>
      </x:c>
      <x:c r="D855" s="17" t="n">
        <x:v>651</x:v>
      </x:c>
      <x:c r="E855" s="17" t="n">
        <x:v>1337</x:v>
      </x:c>
      <x:c r="F855" s="18" t="n">
        <x:v>11150.16</x:v>
      </x:c>
    </x:row>
    <x:row r="856">
      <x:c r="A856" s="14" t="str">
        <x:v>店长</x:v>
      </x:c>
      <x:c r="B856" s="15" t="str">
        <x:v>张垒</x:v>
      </x:c>
      <x:c r="C856" s="16" t="n">
        <x:v>46181</x:v>
      </x:c>
      <x:c r="D856" s="17" t="n">
        <x:v>556</x:v>
      </x:c>
      <x:c r="E856" s="17" t="n">
        <x:v>1172</x:v>
      </x:c>
      <x:c r="F856" s="18" t="n">
        <x:v>9241.11</x:v>
      </x:c>
    </x:row>
    <x:row r="857">
      <x:c r="A857" s="14" t="str">
        <x:v>店长</x:v>
      </x:c>
      <x:c r="B857" s="15" t="str">
        <x:v>张垒</x:v>
      </x:c>
      <x:c r="C857" s="16" t="n">
        <x:v>46182</x:v>
      </x:c>
      <x:c r="D857" s="17" t="n">
        <x:v>520</x:v>
      </x:c>
      <x:c r="E857" s="17" t="n">
        <x:v>1077</x:v>
      </x:c>
      <x:c r="F857" s="18" t="n">
        <x:v>8795.53</x:v>
      </x:c>
    </x:row>
    <x:row r="858">
      <x:c r="A858" s="14" t="str">
        <x:v>店长</x:v>
      </x:c>
      <x:c r="B858" s="15" t="str">
        <x:v>张垒</x:v>
      </x:c>
      <x:c r="C858" s="16" t="n">
        <x:v>46183</x:v>
      </x:c>
      <x:c r="D858" s="17" t="n">
        <x:v>517</x:v>
      </x:c>
      <x:c r="E858" s="17" t="n">
        <x:v>1061</x:v>
      </x:c>
      <x:c r="F858" s="18" t="n">
        <x:v>9027.84</x:v>
      </x:c>
    </x:row>
    <x:row r="859">
      <x:c r="A859" s="14" t="str">
        <x:v>店长</x:v>
      </x:c>
      <x:c r="B859" s="15" t="str">
        <x:v>张垒</x:v>
      </x:c>
      <x:c r="C859" s="16" t="n">
        <x:v>46184</x:v>
      </x:c>
      <x:c r="D859" s="17" t="n">
        <x:v>541</x:v>
      </x:c>
      <x:c r="E859" s="17" t="n">
        <x:v>1058</x:v>
      </x:c>
      <x:c r="F859" s="18" t="n">
        <x:v>8694.36</x:v>
      </x:c>
    </x:row>
    <x:row r="860">
      <x:c r="A860" s="14" t="str">
        <x:v>店长</x:v>
      </x:c>
      <x:c r="B860" s="15" t="str">
        <x:v>张垒</x:v>
      </x:c>
      <x:c r="C860" s="16" t="n">
        <x:v>46185</x:v>
      </x:c>
      <x:c r="D860" s="17" t="n">
        <x:v>606</x:v>
      </x:c>
      <x:c r="E860" s="17" t="n">
        <x:v>1298</x:v>
      </x:c>
      <x:c r="F860" s="18" t="n">
        <x:v>10096.13</x:v>
      </x:c>
    </x:row>
    <x:row r="861">
      <x:c r="A861" s="14" t="str">
        <x:v>店长</x:v>
      </x:c>
      <x:c r="B861" s="15" t="str">
        <x:v>张垒</x:v>
      </x:c>
      <x:c r="C861" s="16" t="n">
        <x:v>46186</x:v>
      </x:c>
      <x:c r="D861" s="17" t="n">
        <x:v>680</x:v>
      </x:c>
      <x:c r="E861" s="17" t="n">
        <x:v>1398</x:v>
      </x:c>
      <x:c r="F861" s="18" t="n">
        <x:v>11201.49</x:v>
      </x:c>
    </x:row>
    <x:row r="862">
      <x:c r="A862" s="14" t="str">
        <x:v>店长</x:v>
      </x:c>
      <x:c r="B862" s="15" t="str">
        <x:v>张垒</x:v>
      </x:c>
      <x:c r="C862" s="16" t="n">
        <x:v>46187</x:v>
      </x:c>
      <x:c r="D862" s="17" t="n">
        <x:v>643</x:v>
      </x:c>
      <x:c r="E862" s="17" t="n">
        <x:v>1350</x:v>
      </x:c>
      <x:c r="F862" s="18" t="n">
        <x:v>10879.41</x:v>
      </x:c>
    </x:row>
    <x:row r="863">
      <x:c r="A863" s="14" t="str">
        <x:v>店长</x:v>
      </x:c>
      <x:c r="B863" s="15" t="str">
        <x:v>张垒</x:v>
      </x:c>
      <x:c r="C863" s="16" t="n">
        <x:v>46188</x:v>
      </x:c>
      <x:c r="D863" s="17" t="n">
        <x:v>576</x:v>
      </x:c>
      <x:c r="E863" s="17" t="n">
        <x:v>1222</x:v>
      </x:c>
      <x:c r="F863" s="18" t="n">
        <x:v>9586.78</x:v>
      </x:c>
    </x:row>
    <x:row r="864">
      <x:c r="A864" s="14" t="str">
        <x:v>店长</x:v>
      </x:c>
      <x:c r="B864" s="15" t="str">
        <x:v>张垒</x:v>
      </x:c>
      <x:c r="C864" s="16" t="n">
        <x:v>46189</x:v>
      </x:c>
      <x:c r="D864" s="17" t="n">
        <x:v>696</x:v>
      </x:c>
      <x:c r="E864" s="17" t="n">
        <x:v>1440</x:v>
      </x:c>
      <x:c r="F864" s="18" t="n">
        <x:v>11429.1</x:v>
      </x:c>
    </x:row>
    <x:row r="865">
      <x:c r="A865" s="14" t="str">
        <x:v>店长</x:v>
      </x:c>
      <x:c r="B865" s="15" t="str">
        <x:v>张垒</x:v>
      </x:c>
      <x:c r="C865" s="16" t="n">
        <x:v>46190</x:v>
      </x:c>
      <x:c r="D865" s="17" t="n">
        <x:v>628</x:v>
      </x:c>
      <x:c r="E865" s="17" t="n">
        <x:v>1337</x:v>
      </x:c>
      <x:c r="F865" s="18" t="n">
        <x:v>10605.97</x:v>
      </x:c>
    </x:row>
    <x:row r="866">
      <x:c r="A866" s="14" t="str">
        <x:v>店长</x:v>
      </x:c>
      <x:c r="B866" s="15" t="str">
        <x:v>张垒</x:v>
      </x:c>
      <x:c r="C866" s="16" t="n">
        <x:v>46191</x:v>
      </x:c>
      <x:c r="D866" s="17" t="n">
        <x:v>669</x:v>
      </x:c>
      <x:c r="E866" s="17" t="n">
        <x:v>1381</x:v>
      </x:c>
      <x:c r="F866" s="18" t="n">
        <x:v>10783.73</x:v>
      </x:c>
    </x:row>
    <x:row r="867">
      <x:c r="A867" s="14" t="str">
        <x:v>店长</x:v>
      </x:c>
      <x:c r="B867" s="15" t="str">
        <x:v>张垒</x:v>
      </x:c>
      <x:c r="C867" s="16" t="n">
        <x:v>46192</x:v>
      </x:c>
      <x:c r="D867" s="17" t="n">
        <x:v>616</x:v>
      </x:c>
      <x:c r="E867" s="17" t="n">
        <x:v>1280</x:v>
      </x:c>
      <x:c r="F867" s="18" t="n">
        <x:v>10464.26</x:v>
      </x:c>
    </x:row>
    <x:row r="868">
      <x:c r="A868" s="14" t="str">
        <x:v>店长</x:v>
      </x:c>
      <x:c r="B868" s="15" t="str">
        <x:v>张垒</x:v>
      </x:c>
      <x:c r="C868" s="16" t="n">
        <x:v>46193</x:v>
      </x:c>
      <x:c r="D868" s="17" t="n">
        <x:v>485</x:v>
      </x:c>
      <x:c r="E868" s="17" t="n">
        <x:v>1007</x:v>
      </x:c>
      <x:c r="F868" s="18" t="n">
        <x:v>7730.6</x:v>
      </x:c>
    </x:row>
    <x:row r="869">
      <x:c r="A869" s="14" t="str">
        <x:v>店长</x:v>
      </x:c>
      <x:c r="B869" s="15" t="str">
        <x:v>张垒</x:v>
      </x:c>
      <x:c r="C869" s="16" t="n">
        <x:v>46194</x:v>
      </x:c>
      <x:c r="D869" s="17" t="n">
        <x:v>592</x:v>
      </x:c>
      <x:c r="E869" s="17" t="n">
        <x:v>1233</x:v>
      </x:c>
      <x:c r="F869" s="18" t="n">
        <x:v>9687.61</x:v>
      </x:c>
    </x:row>
    <x:row r="870">
      <x:c r="A870" s="14" t="str">
        <x:v>店长</x:v>
      </x:c>
      <x:c r="B870" s="15" t="str">
        <x:v>张垒</x:v>
      </x:c>
      <x:c r="C870" s="16" t="n">
        <x:v>46195</x:v>
      </x:c>
      <x:c r="D870" s="17" t="n">
        <x:v>620</x:v>
      </x:c>
      <x:c r="E870" s="17" t="n">
        <x:v>1224</x:v>
      </x:c>
      <x:c r="F870" s="18" t="n">
        <x:v>10042.66</x:v>
      </x:c>
    </x:row>
    <x:row r="871">
      <x:c r="A871" s="14" t="str">
        <x:v>店长</x:v>
      </x:c>
      <x:c r="B871" s="15" t="str">
        <x:v>张垒</x:v>
      </x:c>
      <x:c r="C871" s="16" t="n">
        <x:v>46196</x:v>
      </x:c>
      <x:c r="D871" s="17" t="n">
        <x:v>667</x:v>
      </x:c>
      <x:c r="E871" s="17" t="n">
        <x:v>1353</x:v>
      </x:c>
      <x:c r="F871" s="18" t="n">
        <x:v>10790.03</x:v>
      </x:c>
    </x:row>
    <x:row r="872">
      <x:c r="A872" s="14" t="str">
        <x:v>店长</x:v>
      </x:c>
      <x:c r="B872" s="15" t="str">
        <x:v>张垒</x:v>
      </x:c>
      <x:c r="C872" s="16" t="n">
        <x:v>46197</x:v>
      </x:c>
      <x:c r="D872" s="17" t="n">
        <x:v>652</x:v>
      </x:c>
      <x:c r="E872" s="17" t="n">
        <x:v>1301</x:v>
      </x:c>
      <x:c r="F872" s="18" t="n">
        <x:v>10365.63</x:v>
      </x:c>
    </x:row>
    <x:row r="873">
      <x:c r="A873" s="14" t="str">
        <x:v>店长</x:v>
      </x:c>
      <x:c r="B873" s="15" t="str">
        <x:v>张垒</x:v>
      </x:c>
      <x:c r="C873" s="16" t="n">
        <x:v>46198</x:v>
      </x:c>
      <x:c r="D873" s="17" t="n">
        <x:v>597</x:v>
      </x:c>
      <x:c r="E873" s="17" t="n">
        <x:v>1164</x:v>
      </x:c>
      <x:c r="F873" s="18" t="n">
        <x:v>9719.24</x:v>
      </x:c>
    </x:row>
    <x:row r="874">
      <x:c r="A874" s="14" t="str">
        <x:v>店长</x:v>
      </x:c>
      <x:c r="B874" s="15" t="str">
        <x:v>张垒</x:v>
      </x:c>
      <x:c r="C874" s="16" t="n">
        <x:v>46199</x:v>
      </x:c>
      <x:c r="D874" s="17" t="n">
        <x:v>563</x:v>
      </x:c>
      <x:c r="E874" s="17" t="n">
        <x:v>1051</x:v>
      </x:c>
      <x:c r="F874" s="18" t="n">
        <x:v>8761.17</x:v>
      </x:c>
    </x:row>
    <x:row r="875">
      <x:c r="A875" s="14" t="str">
        <x:v>店长</x:v>
      </x:c>
      <x:c r="B875" s="15" t="str">
        <x:v>张垒</x:v>
      </x:c>
      <x:c r="C875" s="16" t="n">
        <x:v>46200</x:v>
      </x:c>
      <x:c r="D875" s="17" t="n">
        <x:v>411</x:v>
      </x:c>
      <x:c r="E875" s="17" t="n">
        <x:v>846</x:v>
      </x:c>
      <x:c r="F875" s="18" t="n">
        <x:v>6710.84</x:v>
      </x:c>
    </x:row>
    <x:row r="876">
      <x:c r="A876" s="14" t="str">
        <x:v>店长</x:v>
      </x:c>
      <x:c r="B876" s="15" t="str">
        <x:v>张垒</x:v>
      </x:c>
      <x:c r="C876" s="16" t="n">
        <x:v>46201</x:v>
      </x:c>
      <x:c r="D876" s="17" t="n">
        <x:v>375</x:v>
      </x:c>
      <x:c r="E876" s="17" t="n">
        <x:v>780</x:v>
      </x:c>
      <x:c r="F876" s="18" t="n">
        <x:v>6871.8</x:v>
      </x:c>
    </x:row>
    <x:row r="877">
      <x:c r="A877" s="14" t="str">
        <x:v>店长</x:v>
      </x:c>
      <x:c r="B877" s="15" t="str">
        <x:v>张垒</x:v>
      </x:c>
      <x:c r="C877" s="16" t="n">
        <x:v>46202</x:v>
      </x:c>
      <x:c r="D877" s="17" t="n">
        <x:v>439</x:v>
      </x:c>
      <x:c r="E877" s="17" t="n">
        <x:v>862</x:v>
      </x:c>
      <x:c r="F877" s="18" t="n">
        <x:v>6981.2</x:v>
      </x:c>
    </x:row>
    <x:row r="878">
      <x:c r="A878" s="14" t="str">
        <x:v>店长</x:v>
      </x:c>
      <x:c r="B878" s="15" t="str">
        <x:v>张垒</x:v>
      </x:c>
      <x:c r="C878" s="16" t="n">
        <x:v>46203</x:v>
      </x:c>
      <x:c r="D878" s="17" t="n">
        <x:v>508</x:v>
      </x:c>
      <x:c r="E878" s="17" t="n">
        <x:v>986</x:v>
      </x:c>
      <x:c r="F878" s="18" t="n">
        <x:v>7738.92</x:v>
      </x:c>
    </x:row>
    <x:row r="879">
      <x:c r="A879" s="14" t="str">
        <x:v>店长</x:v>
      </x:c>
      <x:c r="B879" s="15" t="str">
        <x:v>张垒</x:v>
      </x:c>
      <x:c r="C879" s="16" t="n">
        <x:v>46204</x:v>
      </x:c>
      <x:c r="D879" s="17" t="n">
        <x:v>506</x:v>
      </x:c>
      <x:c r="E879" s="17" t="n">
        <x:v>1045</x:v>
      </x:c>
      <x:c r="F879" s="18" t="n">
        <x:v>8520.83</x:v>
      </x:c>
    </x:row>
    <x:row r="880">
      <x:c r="A880" s="14" t="str">
        <x:v>店长</x:v>
      </x:c>
      <x:c r="B880" s="15" t="str">
        <x:v>张垒</x:v>
      </x:c>
      <x:c r="C880" s="16" t="n">
        <x:v>46205</x:v>
      </x:c>
      <x:c r="D880" s="17" t="n">
        <x:v>462</x:v>
      </x:c>
      <x:c r="E880" s="17" t="n">
        <x:v>968</x:v>
      </x:c>
      <x:c r="F880" s="18" t="n">
        <x:v>7900.3</x:v>
      </x:c>
    </x:row>
    <x:row r="881">
      <x:c r="A881" s="14" t="str">
        <x:v>店长</x:v>
      </x:c>
      <x:c r="B881" s="15" t="str">
        <x:v>张垒</x:v>
      </x:c>
      <x:c r="C881" s="16" t="n">
        <x:v>46206</x:v>
      </x:c>
      <x:c r="D881" s="17" t="n">
        <x:v>443</x:v>
      </x:c>
      <x:c r="E881" s="17" t="n">
        <x:v>928</x:v>
      </x:c>
      <x:c r="F881" s="18" t="n">
        <x:v>7760.7</x:v>
      </x:c>
    </x:row>
    <x:row r="882">
      <x:c r="A882" s="14" t="str">
        <x:v>店长</x:v>
      </x:c>
      <x:c r="B882" s="15" t="str">
        <x:v>张垒</x:v>
      </x:c>
      <x:c r="C882" s="16" t="n">
        <x:v>46207</x:v>
      </x:c>
      <x:c r="D882" s="17" t="n">
        <x:v>467</x:v>
      </x:c>
      <x:c r="E882" s="17" t="n">
        <x:v>1056</x:v>
      </x:c>
      <x:c r="F882" s="18" t="n">
        <x:v>8122.23</x:v>
      </x:c>
    </x:row>
    <x:row r="883">
      <x:c r="A883" s="14" t="str">
        <x:v>店长</x:v>
      </x:c>
      <x:c r="B883" s="15" t="str">
        <x:v>张垒</x:v>
      </x:c>
      <x:c r="C883" s="16" t="n">
        <x:v>46208</x:v>
      </x:c>
      <x:c r="D883" s="17" t="n">
        <x:v>432</x:v>
      </x:c>
      <x:c r="E883" s="17" t="n">
        <x:v>908</x:v>
      </x:c>
      <x:c r="F883" s="18" t="n">
        <x:v>7519.18</x:v>
      </x:c>
    </x:row>
    <x:row r="884">
      <x:c r="A884" s="14" t="str">
        <x:v>店长</x:v>
      </x:c>
      <x:c r="B884" s="15" t="str">
        <x:v>张垒</x:v>
      </x:c>
      <x:c r="C884" s="16" t="n">
        <x:v>46209</x:v>
      </x:c>
      <x:c r="D884" s="17" t="n">
        <x:v>473</x:v>
      </x:c>
      <x:c r="E884" s="17" t="n">
        <x:v>919</x:v>
      </x:c>
      <x:c r="F884" s="18" t="n">
        <x:v>8012.89</x:v>
      </x:c>
    </x:row>
    <x:row r="885">
      <x:c r="A885" s="14" t="str">
        <x:v>店长</x:v>
      </x:c>
      <x:c r="B885" s="15" t="str">
        <x:v>张垒</x:v>
      </x:c>
      <x:c r="C885" s="16" t="n">
        <x:v>46210</x:v>
      </x:c>
      <x:c r="D885" s="17" t="n">
        <x:v>509</x:v>
      </x:c>
      <x:c r="E885" s="17" t="n">
        <x:v>1117</x:v>
      </x:c>
      <x:c r="F885" s="18" t="n">
        <x:v>9019.58</x:v>
      </x:c>
    </x:row>
    <x:row r="886">
      <x:c r="A886" s="14" t="str">
        <x:v>店长</x:v>
      </x:c>
      <x:c r="B886" s="15" t="str">
        <x:v>张垒</x:v>
      </x:c>
      <x:c r="C886" s="16" t="n">
        <x:v>46211</x:v>
      </x:c>
      <x:c r="D886" s="17" t="n">
        <x:v>488</x:v>
      </x:c>
      <x:c r="E886" s="17" t="n">
        <x:v>947</x:v>
      </x:c>
      <x:c r="F886" s="18" t="n">
        <x:v>8353.37</x:v>
      </x:c>
    </x:row>
    <x:row r="887">
      <x:c r="A887" s="14" t="str">
        <x:v>店长</x:v>
      </x:c>
      <x:c r="B887" s="15" t="str">
        <x:v>张垒</x:v>
      </x:c>
      <x:c r="C887" s="16" t="n">
        <x:v>46212</x:v>
      </x:c>
      <x:c r="D887" s="17" t="n">
        <x:v>368</x:v>
      </x:c>
      <x:c r="E887" s="17" t="n">
        <x:v>697</x:v>
      </x:c>
      <x:c r="F887" s="18" t="n">
        <x:v>6711.05</x:v>
      </x:c>
    </x:row>
    <x:row r="888">
      <x:c r="A888" s="14" t="str">
        <x:v>店长</x:v>
      </x:c>
      <x:c r="B888" s="15" t="str">
        <x:v>张垒</x:v>
      </x:c>
      <x:c r="C888" s="16" t="n">
        <x:v>46213</x:v>
      </x:c>
      <x:c r="D888" s="17" t="n">
        <x:v>327</x:v>
      </x:c>
      <x:c r="E888" s="17" t="n">
        <x:v>644</x:v>
      </x:c>
      <x:c r="F888" s="18" t="n">
        <x:v>6608.27</x:v>
      </x:c>
    </x:row>
    <x:row r="889">
      <x:c r="A889" s="14" t="str">
        <x:v>店长</x:v>
      </x:c>
      <x:c r="B889" s="15" t="str">
        <x:v>张垒</x:v>
      </x:c>
      <x:c r="C889" s="16" t="n">
        <x:v>46214</x:v>
      </x:c>
      <x:c r="D889" s="17" t="n">
        <x:v>409</x:v>
      </x:c>
      <x:c r="E889" s="17" t="n">
        <x:v>754</x:v>
      </x:c>
      <x:c r="F889" s="18" t="n">
        <x:v>7467.47</x:v>
      </x:c>
    </x:row>
    <x:row r="890">
      <x:c r="A890" s="14" t="str">
        <x:v>店长</x:v>
      </x:c>
      <x:c r="B890" s="15" t="str">
        <x:v>张垒</x:v>
      </x:c>
      <x:c r="C890" s="16" t="n">
        <x:v>46215</x:v>
      </x:c>
      <x:c r="D890" s="17" t="n">
        <x:v>361</x:v>
      </x:c>
      <x:c r="E890" s="17" t="n">
        <x:v>695</x:v>
      </x:c>
      <x:c r="F890" s="18" t="n">
        <x:v>6206.21</x:v>
      </x:c>
    </x:row>
    <x:row r="891">
      <x:c r="A891" s="14" t="str">
        <x:v>店长</x:v>
      </x:c>
      <x:c r="B891" s="15" t="str">
        <x:v>张垒</x:v>
      </x:c>
      <x:c r="C891" s="16" t="n">
        <x:v>46216</x:v>
      </x:c>
      <x:c r="D891" s="17" t="n">
        <x:v>387</x:v>
      </x:c>
      <x:c r="E891" s="17" t="n">
        <x:v>794</x:v>
      </x:c>
      <x:c r="F891" s="18" t="n">
        <x:v>6547.55</x:v>
      </x:c>
    </x:row>
    <x:row r="892">
      <x:c r="A892" s="14" t="str">
        <x:v>店长</x:v>
      </x:c>
      <x:c r="B892" s="15" t="str">
        <x:v>张垒</x:v>
      </x:c>
      <x:c r="C892" s="16" t="n">
        <x:v>46217</x:v>
      </x:c>
      <x:c r="D892" s="17" t="n">
        <x:v>403</x:v>
      </x:c>
      <x:c r="E892" s="17" t="n">
        <x:v>854</x:v>
      </x:c>
      <x:c r="F892" s="18" t="n">
        <x:v>7690.01</x:v>
      </x:c>
    </x:row>
    <x:row r="893">
      <x:c r="A893" s="14" t="str">
        <x:v>店长</x:v>
      </x:c>
      <x:c r="B893" s="15" t="str">
        <x:v>张垒</x:v>
      </x:c>
      <x:c r="C893" s="16" t="n">
        <x:v>46218</x:v>
      </x:c>
      <x:c r="D893" s="17" t="n">
        <x:v>416</x:v>
      </x:c>
      <x:c r="E893" s="17" t="n">
        <x:v>888</x:v>
      </x:c>
      <x:c r="F893" s="18" t="n">
        <x:v>7112.65</x:v>
      </x:c>
    </x:row>
    <x:row r="894">
      <x:c r="A894" s="14" t="str">
        <x:v>店长</x:v>
      </x:c>
      <x:c r="B894" s="15" t="str">
        <x:v>张垒</x:v>
      </x:c>
      <x:c r="C894" s="16" t="n">
        <x:v>46219</x:v>
      </x:c>
      <x:c r="D894" s="17" t="n">
        <x:v>431</x:v>
      </x:c>
      <x:c r="E894" s="17" t="n">
        <x:v>854</x:v>
      </x:c>
      <x:c r="F894" s="18" t="n">
        <x:v>7319.04</x:v>
      </x:c>
    </x:row>
    <x:row r="895">
      <x:c r="A895" s="14" t="str">
        <x:v>店长</x:v>
      </x:c>
      <x:c r="B895" s="15" t="str">
        <x:v>张垒</x:v>
      </x:c>
      <x:c r="C895" s="16" t="n">
        <x:v>46220</x:v>
      </x:c>
      <x:c r="D895" s="17" t="n">
        <x:v>396</x:v>
      </x:c>
      <x:c r="E895" s="17" t="n">
        <x:v>814</x:v>
      </x:c>
      <x:c r="F895" s="18" t="n">
        <x:v>6847.57</x:v>
      </x:c>
    </x:row>
    <x:row r="896">
      <x:c r="A896" s="14" t="str">
        <x:v>店长</x:v>
      </x:c>
      <x:c r="B896" s="15" t="str">
        <x:v>张垒</x:v>
      </x:c>
      <x:c r="C896" s="16" t="n">
        <x:v>46221</x:v>
      </x:c>
      <x:c r="D896" s="17" t="n">
        <x:v>375</x:v>
      </x:c>
      <x:c r="E896" s="17" t="n">
        <x:v>765</x:v>
      </x:c>
      <x:c r="F896" s="18" t="n">
        <x:v>6434.9</x:v>
      </x:c>
    </x:row>
    <x:row r="897">
      <x:c r="A897" s="14" t="str">
        <x:v>店长</x:v>
      </x:c>
      <x:c r="B897" s="15" t="str">
        <x:v>张垒</x:v>
      </x:c>
      <x:c r="C897" s="16" t="n">
        <x:v>46222</x:v>
      </x:c>
      <x:c r="D897" s="17" t="n">
        <x:v>335</x:v>
      </x:c>
      <x:c r="E897" s="17" t="n">
        <x:v>684</x:v>
      </x:c>
      <x:c r="F897" s="18" t="n">
        <x:v>5685.57</x:v>
      </x:c>
    </x:row>
    <x:row r="898">
      <x:c r="A898" s="14" t="str">
        <x:v>店长</x:v>
      </x:c>
      <x:c r="B898" s="15" t="str">
        <x:v>张垒</x:v>
      </x:c>
      <x:c r="C898" s="16" t="n">
        <x:v>46223</x:v>
      </x:c>
      <x:c r="D898" s="17" t="n">
        <x:v>424</x:v>
      </x:c>
      <x:c r="E898" s="17" t="n">
        <x:v>836</x:v>
      </x:c>
      <x:c r="F898" s="18" t="n">
        <x:v>6741.66</x:v>
      </x:c>
    </x:row>
    <x:row r="899">
      <x:c r="A899" s="14" t="str">
        <x:v>店长</x:v>
      </x:c>
      <x:c r="B899" s="15" t="str">
        <x:v>张垒</x:v>
      </x:c>
      <x:c r="C899" s="16" t="n">
        <x:v>46224</x:v>
      </x:c>
      <x:c r="D899" s="17" t="n">
        <x:v>466</x:v>
      </x:c>
      <x:c r="E899" s="17" t="n">
        <x:v>980</x:v>
      </x:c>
      <x:c r="F899" s="18" t="n">
        <x:v>7857.97</x:v>
      </x:c>
    </x:row>
    <x:row r="900">
      <x:c r="A900" s="14" t="str">
        <x:v>店长</x:v>
      </x:c>
      <x:c r="B900" s="15" t="str">
        <x:v>张垒</x:v>
      </x:c>
      <x:c r="C900" s="16" t="n">
        <x:v>46225</x:v>
      </x:c>
      <x:c r="D900" s="17" t="n">
        <x:v>385</x:v>
      </x:c>
      <x:c r="E900" s="17" t="n">
        <x:v>832</x:v>
      </x:c>
      <x:c r="F900" s="18" t="n">
        <x:v>6910.2</x:v>
      </x:c>
    </x:row>
    <x:row r="901">
      <x:c r="A901" s="14" t="str">
        <x:v>店长</x:v>
      </x:c>
      <x:c r="B901" s="15" t="str">
        <x:v>张垒</x:v>
      </x:c>
      <x:c r="C901" s="16" t="n">
        <x:v>46226</x:v>
      </x:c>
      <x:c r="D901" s="17" t="n">
        <x:v>440</x:v>
      </x:c>
      <x:c r="E901" s="17" t="n">
        <x:v>969</x:v>
      </x:c>
      <x:c r="F901" s="18" t="n">
        <x:v>7949.41</x:v>
      </x:c>
    </x:row>
    <x:row r="902">
      <x:c r="A902" s="14" t="str">
        <x:v>店长</x:v>
      </x:c>
      <x:c r="B902" s="15" t="str">
        <x:v>张垒</x:v>
      </x:c>
      <x:c r="C902" s="16" t="n">
        <x:v>46227</x:v>
      </x:c>
      <x:c r="D902" s="17" t="n">
        <x:v>387</x:v>
      </x:c>
      <x:c r="E902" s="17" t="n">
        <x:v>777</x:v>
      </x:c>
      <x:c r="F902" s="18" t="n">
        <x:v>6229.02</x:v>
      </x:c>
    </x:row>
    <x:row r="903">
      <x:c r="A903" s="14" t="str">
        <x:v>店长</x:v>
      </x:c>
      <x:c r="B903" s="15" t="str">
        <x:v>张垒</x:v>
      </x:c>
      <x:c r="C903" s="16" t="n">
        <x:v>46228</x:v>
      </x:c>
      <x:c r="D903" s="17" t="n">
        <x:v>206</x:v>
      </x:c>
      <x:c r="E903" s="17" t="n">
        <x:v>402</x:v>
      </x:c>
      <x:c r="F903" s="18" t="n">
        <x:v>3436.66</x:v>
      </x:c>
    </x:row>
    <x:row r="904">
      <x:c r="A904" s="14" t="str">
        <x:v>店长</x:v>
      </x:c>
      <x:c r="B904" s="15" t="str">
        <x:v>张垒</x:v>
      </x:c>
      <x:c r="C904" s="16" t="n">
        <x:v>46229</x:v>
      </x:c>
      <x:c r="D904" s="17" t="n">
        <x:v>497</x:v>
      </x:c>
      <x:c r="E904" s="17" t="n">
        <x:v>975</x:v>
      </x:c>
      <x:c r="F904" s="18" t="n">
        <x:v>7588.14</x:v>
      </x:c>
    </x:row>
    <x:row r="905">
      <x:c r="A905" s="14" t="str">
        <x:v>店长</x:v>
      </x:c>
      <x:c r="B905" s="15" t="str">
        <x:v>张垒</x:v>
      </x:c>
      <x:c r="C905" s="16" t="n">
        <x:v>46230</x:v>
      </x:c>
      <x:c r="D905" s="17" t="n">
        <x:v>356</x:v>
      </x:c>
      <x:c r="E905" s="17" t="n">
        <x:v>714</x:v>
      </x:c>
      <x:c r="F905" s="18" t="n">
        <x:v>5648.54</x:v>
      </x:c>
    </x:row>
    <x:row r="906">
      <x:c r="A906" s="14" t="str">
        <x:v>店长</x:v>
      </x:c>
      <x:c r="B906" s="15" t="str">
        <x:v>张垒</x:v>
      </x:c>
      <x:c r="C906" s="16" t="n">
        <x:v>46231</x:v>
      </x:c>
      <x:c r="D906" s="17" t="n">
        <x:v>377</x:v>
      </x:c>
      <x:c r="E906" s="17" t="n">
        <x:v>775</x:v>
      </x:c>
      <x:c r="F906" s="18" t="n">
        <x:v>6401.41</x:v>
      </x:c>
    </x:row>
    <x:row r="907">
      <x:c r="A907" s="14" t="str">
        <x:v>店长</x:v>
      </x:c>
      <x:c r="B907" s="15" t="str">
        <x:v>张垒</x:v>
      </x:c>
      <x:c r="C907" s="16" t="n">
        <x:v>46232</x:v>
      </x:c>
      <x:c r="D907" s="17" t="n">
        <x:v>330</x:v>
      </x:c>
      <x:c r="E907" s="17" t="n">
        <x:v>632</x:v>
      </x:c>
      <x:c r="F907" s="18" t="n">
        <x:v>5369.23</x:v>
      </x:c>
    </x:row>
    <x:row r="908">
      <x:c r="A908" s="14" t="str">
        <x:v>店长</x:v>
      </x:c>
      <x:c r="B908" s="15" t="str">
        <x:v>张垒</x:v>
      </x:c>
      <x:c r="C908" s="16" t="n">
        <x:v>46233</x:v>
      </x:c>
      <x:c r="D908" s="17" t="n">
        <x:v>331</x:v>
      </x:c>
      <x:c r="E908" s="17" t="n">
        <x:v>679</x:v>
      </x:c>
      <x:c r="F908" s="18" t="n">
        <x:v>5704.84</x:v>
      </x:c>
    </x:row>
    <x:row r="909">
      <x:c r="A909" s="14" t="str">
        <x:v>店长</x:v>
      </x:c>
      <x:c r="B909" s="15" t="str">
        <x:v>张垒</x:v>
      </x:c>
      <x:c r="C909" s="16" t="n">
        <x:v>46234</x:v>
      </x:c>
      <x:c r="D909" s="17" t="n">
        <x:v>339</x:v>
      </x:c>
      <x:c r="E909" s="17" t="n">
        <x:v>716</x:v>
      </x:c>
      <x:c r="F909" s="18" t="n">
        <x:v>5527.3</x:v>
      </x:c>
    </x:row>
    <x:row r="910">
      <x:c r="A910" s="14" t="str">
        <x:v>店长</x:v>
      </x:c>
      <x:c r="B910" s="15" t="str">
        <x:v>张垒</x:v>
      </x:c>
      <x:c r="C910" s="16" t="n">
        <x:v>46235</x:v>
      </x:c>
      <x:c r="D910" s="17" t="n">
        <x:v>290</x:v>
      </x:c>
      <x:c r="E910" s="17" t="n">
        <x:v>597</x:v>
      </x:c>
      <x:c r="F910" s="18" t="n">
        <x:v>4655.69</x:v>
      </x:c>
    </x:row>
    <x:row r="911">
      <x:c r="A911" s="14" t="str">
        <x:v>店长</x:v>
      </x:c>
      <x:c r="B911" s="15" t="str">
        <x:v>张垒</x:v>
      </x:c>
      <x:c r="C911" s="16" t="n">
        <x:v>46236</x:v>
      </x:c>
      <x:c r="D911" s="17" t="n">
        <x:v>331</x:v>
      </x:c>
      <x:c r="E911" s="17" t="n">
        <x:v>636</x:v>
      </x:c>
      <x:c r="F911" s="18" t="n">
        <x:v>5533.19</x:v>
      </x:c>
    </x:row>
    <x:row r="912">
      <x:c r="A912" s="14" t="str">
        <x:v>店长</x:v>
      </x:c>
      <x:c r="B912" s="15" t="str">
        <x:v>张垒</x:v>
      </x:c>
      <x:c r="C912" s="16" t="n">
        <x:v>46237</x:v>
      </x:c>
      <x:c r="D912" s="17" t="n">
        <x:v>324</x:v>
      </x:c>
      <x:c r="E912" s="17" t="n">
        <x:v>569</x:v>
      </x:c>
      <x:c r="F912" s="18" t="n">
        <x:v>5118.25</x:v>
      </x:c>
    </x:row>
    <x:row r="913">
      <x:c r="A913" s="14" t="str">
        <x:v>店长</x:v>
      </x:c>
      <x:c r="B913" s="15" t="str">
        <x:v>张垒</x:v>
      </x:c>
      <x:c r="C913" s="16" t="n">
        <x:v>46238</x:v>
      </x:c>
      <x:c r="D913" s="17" t="n">
        <x:v>312</x:v>
      </x:c>
      <x:c r="E913" s="17" t="n">
        <x:v>671</x:v>
      </x:c>
      <x:c r="F913" s="18" t="n">
        <x:v>5267.01</x:v>
      </x:c>
    </x:row>
    <x:row r="914">
      <x:c r="A914" s="14" t="str">
        <x:v>店长</x:v>
      </x:c>
      <x:c r="B914" s="15" t="str">
        <x:v>张垒</x:v>
      </x:c>
      <x:c r="C914" s="16" t="n">
        <x:v>46239</x:v>
      </x:c>
      <x:c r="D914" s="17" t="n">
        <x:v>335</x:v>
      </x:c>
      <x:c r="E914" s="17" t="n">
        <x:v>689</x:v>
      </x:c>
      <x:c r="F914" s="18" t="n">
        <x:v>5390.93</x:v>
      </x:c>
    </x:row>
    <x:row r="915">
      <x:c r="A915" s="14" t="str">
        <x:v>店长</x:v>
      </x:c>
      <x:c r="B915" s="15" t="str">
        <x:v>张垒</x:v>
      </x:c>
      <x:c r="C915" s="16" t="n">
        <x:v>46240</x:v>
      </x:c>
      <x:c r="D915" s="17" t="n">
        <x:v>347</x:v>
      </x:c>
      <x:c r="E915" s="17" t="n">
        <x:v>754</x:v>
      </x:c>
      <x:c r="F915" s="18" t="n">
        <x:v>5977.79</x:v>
      </x:c>
    </x:row>
    <x:row r="916">
      <x:c r="A916" s="14" t="str">
        <x:v>店长</x:v>
      </x:c>
      <x:c r="B916" s="15" t="str">
        <x:v>张垒</x:v>
      </x:c>
      <x:c r="C916" s="16" t="n">
        <x:v>46241</x:v>
      </x:c>
      <x:c r="D916" s="17" t="n">
        <x:v>430</x:v>
      </x:c>
      <x:c r="E916" s="17" t="n">
        <x:v>906</x:v>
      </x:c>
      <x:c r="F916" s="18" t="n">
        <x:v>7213.07</x:v>
      </x:c>
    </x:row>
    <x:row r="917">
      <x:c r="A917" s="14" t="str">
        <x:v>店长</x:v>
      </x:c>
      <x:c r="B917" s="15" t="str">
        <x:v>张垒</x:v>
      </x:c>
      <x:c r="C917" s="16" t="n">
        <x:v>46242</x:v>
      </x:c>
      <x:c r="D917" s="17" t="n">
        <x:v>347</x:v>
      </x:c>
      <x:c r="E917" s="17" t="n">
        <x:v>747</x:v>
      </x:c>
      <x:c r="F917" s="18" t="n">
        <x:v>6498.53</x:v>
      </x:c>
    </x:row>
    <x:row r="918">
      <x:c r="A918" s="14" t="str">
        <x:v>店长</x:v>
      </x:c>
      <x:c r="B918" s="15" t="str">
        <x:v>张垒</x:v>
      </x:c>
      <x:c r="C918" s="16" t="n">
        <x:v>46243</x:v>
      </x:c>
      <x:c r="D918" s="17" t="n">
        <x:v>98</x:v>
      </x:c>
      <x:c r="E918" s="17" t="n">
        <x:v>218</x:v>
      </x:c>
      <x:c r="F918" s="18" t="n">
        <x:v>1686.72</x:v>
      </x:c>
    </x:row>
    <x:row r="919">
      <x:c r="A919" s="14" t="str">
        <x:v>店长</x:v>
      </x:c>
      <x:c r="B919" s="15" t="str">
        <x:v>张垒</x:v>
      </x:c>
      <x:c r="C919" s="16" t="n">
        <x:v>46244</x:v>
      </x:c>
      <x:c r="D919" s="17" t="n">
        <x:v>621</x:v>
      </x:c>
      <x:c r="E919" s="17" t="n">
        <x:v>1309</x:v>
      </x:c>
      <x:c r="F919" s="18" t="n">
        <x:v>10673.06</x:v>
      </x:c>
    </x:row>
    <x:row r="920">
      <x:c r="A920" s="14" t="str">
        <x:v>店长</x:v>
      </x:c>
      <x:c r="B920" s="15" t="str">
        <x:v>张垒</x:v>
      </x:c>
      <x:c r="C920" s="16" t="n">
        <x:v>46245</x:v>
      </x:c>
      <x:c r="D920" s="17" t="n">
        <x:v>407</x:v>
      </x:c>
      <x:c r="E920" s="17" t="n">
        <x:v>845</x:v>
      </x:c>
      <x:c r="F920" s="18" t="n">
        <x:v>7422.58</x:v>
      </x:c>
    </x:row>
    <x:row r="921">
      <x:c r="A921" s="14" t="str">
        <x:v>店长</x:v>
      </x:c>
      <x:c r="B921" s="15" t="str">
        <x:v>张垒</x:v>
      </x:c>
      <x:c r="C921" s="16" t="n">
        <x:v>46246</x:v>
      </x:c>
      <x:c r="D921" s="17" t="n">
        <x:v>296</x:v>
      </x:c>
      <x:c r="E921" s="17" t="n">
        <x:v>619</x:v>
      </x:c>
      <x:c r="F921" s="18" t="n">
        <x:v>5318.32</x:v>
      </x:c>
    </x:row>
    <x:row r="922">
      <x:c r="A922" s="14" t="str">
        <x:v>店长</x:v>
      </x:c>
      <x:c r="B922" s="15" t="str">
        <x:v>张垒</x:v>
      </x:c>
      <x:c r="C922" s="16" t="n">
        <x:v>46247</x:v>
      </x:c>
      <x:c r="D922" s="17" t="n">
        <x:v>413</x:v>
      </x:c>
      <x:c r="E922" s="17" t="n">
        <x:v>937</x:v>
      </x:c>
      <x:c r="F922" s="18" t="n">
        <x:v>7783.64</x:v>
      </x:c>
    </x:row>
    <x:row r="923">
      <x:c r="A923" s="14" t="str">
        <x:v>店长</x:v>
      </x:c>
      <x:c r="B923" s="15" t="str">
        <x:v>张垒</x:v>
      </x:c>
      <x:c r="C923" s="16" t="n">
        <x:v>46248</x:v>
      </x:c>
      <x:c r="D923" s="17" t="n">
        <x:v>409</x:v>
      </x:c>
      <x:c r="E923" s="17" t="n">
        <x:v>795</x:v>
      </x:c>
      <x:c r="F923" s="18" t="n">
        <x:v>6976.52</x:v>
      </x:c>
    </x:row>
    <x:row r="924">
      <x:c r="A924" s="14" t="str">
        <x:v>店长</x:v>
      </x:c>
      <x:c r="B924" s="15" t="str">
        <x:v>张垒</x:v>
      </x:c>
      <x:c r="C924" s="16" t="n">
        <x:v>46249</x:v>
      </x:c>
      <x:c r="D924" s="17" t="n">
        <x:v>334</x:v>
      </x:c>
      <x:c r="E924" s="17" t="n">
        <x:v>700</x:v>
      </x:c>
      <x:c r="F924" s="18" t="n">
        <x:v>6518.28</x:v>
      </x:c>
    </x:row>
    <x:row r="925">
      <x:c r="A925" s="14" t="str">
        <x:v>店长</x:v>
      </x:c>
      <x:c r="B925" s="15" t="str">
        <x:v>张垒</x:v>
      </x:c>
      <x:c r="C925" s="16" t="n">
        <x:v>46250</x:v>
      </x:c>
      <x:c r="D925" s="17" t="n">
        <x:v>427</x:v>
      </x:c>
      <x:c r="E925" s="17" t="n">
        <x:v>886</x:v>
      </x:c>
      <x:c r="F925" s="18" t="n">
        <x:v>7702.93</x:v>
      </x:c>
    </x:row>
    <x:row r="926">
      <x:c r="A926" s="14" t="str">
        <x:v>店长</x:v>
      </x:c>
      <x:c r="B926" s="15" t="str">
        <x:v>张垒</x:v>
      </x:c>
      <x:c r="C926" s="16" t="n">
        <x:v>46251</x:v>
      </x:c>
      <x:c r="D926" s="17" t="n">
        <x:v>398</x:v>
      </x:c>
      <x:c r="E926" s="17" t="n">
        <x:v>823</x:v>
      </x:c>
      <x:c r="F926" s="18" t="n">
        <x:v>6869</x:v>
      </x:c>
    </x:row>
    <x:row r="927">
      <x:c r="A927" s="14" t="str">
        <x:v>店长</x:v>
      </x:c>
      <x:c r="B927" s="15" t="str">
        <x:v>张垒</x:v>
      </x:c>
      <x:c r="C927" s="16" t="n">
        <x:v>46252</x:v>
      </x:c>
      <x:c r="D927" s="17" t="n">
        <x:v>211</x:v>
      </x:c>
      <x:c r="E927" s="17" t="n">
        <x:v>466</x:v>
      </x:c>
      <x:c r="F927" s="18" t="n">
        <x:v>4246.01</x:v>
      </x:c>
    </x:row>
    <x:row r="928">
      <x:c r="A928" s="14" t="str">
        <x:v>店长</x:v>
      </x:c>
      <x:c r="B928" s="15" t="str">
        <x:v>张垒</x:v>
      </x:c>
      <x:c r="C928" s="16" t="n">
        <x:v>46253</x:v>
      </x:c>
      <x:c r="D928" s="17" t="n">
        <x:v>274</x:v>
      </x:c>
      <x:c r="E928" s="17" t="n">
        <x:v>534</x:v>
      </x:c>
      <x:c r="F928" s="18" t="n">
        <x:v>4617.07</x:v>
      </x:c>
    </x:row>
    <x:row r="929">
      <x:c r="A929" s="14" t="str">
        <x:v>店长</x:v>
      </x:c>
      <x:c r="B929" s="15" t="str">
        <x:v>张垒</x:v>
      </x:c>
      <x:c r="C929" s="16" t="n">
        <x:v>46254</x:v>
      </x:c>
      <x:c r="D929" s="17" t="n">
        <x:v>202</x:v>
      </x:c>
      <x:c r="E929" s="17" t="n">
        <x:v>371</x:v>
      </x:c>
      <x:c r="F929" s="18" t="n">
        <x:v>3420.09</x:v>
      </x:c>
    </x:row>
    <x:row r="930">
      <x:c r="A930" s="14" t="str">
        <x:v>店长</x:v>
      </x:c>
      <x:c r="B930" s="15" t="str">
        <x:v>李雪雪</x:v>
      </x:c>
      <x:c r="C930" s="16" t="n">
        <x:v>46023</x:v>
      </x:c>
      <x:c r="D930" s="17" t="n">
        <x:v>9</x:v>
      </x:c>
      <x:c r="E930" s="17" t="n">
        <x:v>10</x:v>
      </x:c>
      <x:c r="F930" s="18" t="n">
        <x:v>122.4</x:v>
      </x:c>
    </x:row>
    <x:row r="931">
      <x:c r="A931" s="14" t="str">
        <x:v>店长</x:v>
      </x:c>
      <x:c r="B931" s="15" t="str">
        <x:v>李雪雪</x:v>
      </x:c>
      <x:c r="C931" s="16" t="n">
        <x:v>46024</x:v>
      </x:c>
      <x:c r="D931" s="17" t="n">
        <x:v>11</x:v>
      </x:c>
      <x:c r="E931" s="17" t="n">
        <x:v>12</x:v>
      </x:c>
      <x:c r="F931" s="18" t="n">
        <x:v>144.24</x:v>
      </x:c>
    </x:row>
    <x:row r="932">
      <x:c r="A932" s="14" t="str">
        <x:v>店长</x:v>
      </x:c>
      <x:c r="B932" s="15" t="str">
        <x:v>李雪雪</x:v>
      </x:c>
      <x:c r="C932" s="16" t="n">
        <x:v>46025</x:v>
      </x:c>
      <x:c r="D932" s="17" t="n">
        <x:v>9</x:v>
      </x:c>
      <x:c r="E932" s="17" t="n">
        <x:v>11</x:v>
      </x:c>
      <x:c r="F932" s="18" t="n">
        <x:v>108.47</x:v>
      </x:c>
    </x:row>
    <x:row r="933">
      <x:c r="A933" s="14" t="str">
        <x:v>店长</x:v>
      </x:c>
      <x:c r="B933" s="15" t="str">
        <x:v>李雪雪</x:v>
      </x:c>
      <x:c r="C933" s="16" t="n">
        <x:v>46026</x:v>
      </x:c>
      <x:c r="D933" s="17" t="n">
        <x:v>6</x:v>
      </x:c>
      <x:c r="E933" s="17" t="n">
        <x:v>6</x:v>
      </x:c>
      <x:c r="F933" s="18" t="n">
        <x:v>73.44</x:v>
      </x:c>
    </x:row>
    <x:row r="934">
      <x:c r="A934" s="14" t="str">
        <x:v>店长</x:v>
      </x:c>
      <x:c r="B934" s="15" t="str">
        <x:v>李雪雪</x:v>
      </x:c>
      <x:c r="C934" s="16" t="n">
        <x:v>46027</x:v>
      </x:c>
      <x:c r="D934" s="17" t="n">
        <x:v>9</x:v>
      </x:c>
      <x:c r="E934" s="17" t="n">
        <x:v>10</x:v>
      </x:c>
      <x:c r="F934" s="18" t="n">
        <x:v>117.94</x:v>
      </x:c>
    </x:row>
    <x:row r="935">
      <x:c r="A935" s="14" t="str">
        <x:v>店长</x:v>
      </x:c>
      <x:c r="B935" s="15" t="str">
        <x:v>李雪雪</x:v>
      </x:c>
      <x:c r="C935" s="16" t="n">
        <x:v>46028</x:v>
      </x:c>
      <x:c r="D935" s="17" t="n">
        <x:v>4</x:v>
      </x:c>
      <x:c r="E935" s="17" t="n">
        <x:v>4</x:v>
      </x:c>
      <x:c r="F935" s="18" t="n">
        <x:v>48.96</x:v>
      </x:c>
    </x:row>
    <x:row r="936">
      <x:c r="A936" s="14" t="str">
        <x:v>店长</x:v>
      </x:c>
      <x:c r="B936" s="15" t="str">
        <x:v>李雪雪</x:v>
      </x:c>
      <x:c r="C936" s="16" t="n">
        <x:v>46029</x:v>
      </x:c>
      <x:c r="D936" s="17" t="n">
        <x:v>2</x:v>
      </x:c>
      <x:c r="E936" s="17" t="n">
        <x:v>4</x:v>
      </x:c>
      <x:c r="F936" s="18" t="n">
        <x:v>25.45</x:v>
      </x:c>
    </x:row>
    <x:row r="937">
      <x:c r="A937" s="14" t="str">
        <x:v>店长</x:v>
      </x:c>
      <x:c r="B937" s="15" t="str">
        <x:v>李雪雪</x:v>
      </x:c>
      <x:c r="C937" s="16" t="n">
        <x:v>46030</x:v>
      </x:c>
      <x:c r="D937" s="17" t="n">
        <x:v>0</x:v>
      </x:c>
      <x:c r="E937" s="17" t="n">
        <x:v>0</x:v>
      </x:c>
      <x:c r="F937" s="18" t="n">
        <x:v>0</x:v>
      </x:c>
    </x:row>
    <x:row r="938">
      <x:c r="A938" s="14" t="str">
        <x:v>店长</x:v>
      </x:c>
      <x:c r="B938" s="15" t="str">
        <x:v>李雪雪</x:v>
      </x:c>
      <x:c r="C938" s="16" t="n">
        <x:v>46031</x:v>
      </x:c>
      <x:c r="D938" s="17" t="n">
        <x:v>0</x:v>
      </x:c>
      <x:c r="E938" s="17" t="n">
        <x:v>0</x:v>
      </x:c>
      <x:c r="F938" s="18" t="n">
        <x:v>0</x:v>
      </x:c>
    </x:row>
    <x:row r="939">
      <x:c r="A939" s="14" t="str">
        <x:v>店长</x:v>
      </x:c>
      <x:c r="B939" s="15" t="str">
        <x:v>李雪雪</x:v>
      </x:c>
      <x:c r="C939" s="16" t="n">
        <x:v>46032</x:v>
      </x:c>
      <x:c r="D939" s="17" t="n">
        <x:v>1</x:v>
      </x:c>
      <x:c r="E939" s="17" t="n">
        <x:v>2</x:v>
      </x:c>
      <x:c r="F939" s="18" t="n">
        <x:v>18.38</x:v>
      </x:c>
    </x:row>
    <x:row r="940">
      <x:c r="A940" s="14" t="str">
        <x:v>店长</x:v>
      </x:c>
      <x:c r="B940" s="15" t="str">
        <x:v>李雪雪</x:v>
      </x:c>
      <x:c r="C940" s="16" t="n">
        <x:v>46033</x:v>
      </x:c>
      <x:c r="D940" s="17" t="n">
        <x:v>0</x:v>
      </x:c>
      <x:c r="E940" s="17" t="n">
        <x:v>0</x:v>
      </x:c>
      <x:c r="F940" s="18" t="n">
        <x:v>0</x:v>
      </x:c>
    </x:row>
    <x:row r="941">
      <x:c r="A941" s="14" t="str">
        <x:v>店长</x:v>
      </x:c>
      <x:c r="B941" s="15" t="str">
        <x:v>李雪雪</x:v>
      </x:c>
      <x:c r="C941" s="16" t="n">
        <x:v>46034</x:v>
      </x:c>
      <x:c r="D941" s="17" t="n">
        <x:v>0</x:v>
      </x:c>
      <x:c r="E941" s="17" t="n">
        <x:v>0</x:v>
      </x:c>
      <x:c r="F941" s="18" t="n">
        <x:v>0</x:v>
      </x:c>
    </x:row>
    <x:row r="942">
      <x:c r="A942" s="14" t="str">
        <x:v>店长</x:v>
      </x:c>
      <x:c r="B942" s="15" t="str">
        <x:v>李雪雪</x:v>
      </x:c>
      <x:c r="C942" s="16" t="n">
        <x:v>46035</x:v>
      </x:c>
      <x:c r="D942" s="17" t="n">
        <x:v>1</x:v>
      </x:c>
      <x:c r="E942" s="17" t="n">
        <x:v>0</x:v>
      </x:c>
      <x:c r="F942" s="18" t="n">
        <x:v>0</x:v>
      </x:c>
    </x:row>
    <x:row r="943">
      <x:c r="A943" s="14" t="str">
        <x:v>店长</x:v>
      </x:c>
      <x:c r="B943" s="15" t="str">
        <x:v>李雪雪</x:v>
      </x:c>
      <x:c r="C943" s="16" t="n">
        <x:v>46036</x:v>
      </x:c>
      <x:c r="D943" s="17" t="n">
        <x:v>1</x:v>
      </x:c>
      <x:c r="E943" s="17" t="n">
        <x:v>0</x:v>
      </x:c>
      <x:c r="F943" s="18" t="n">
        <x:v>0</x:v>
      </x:c>
    </x:row>
    <x:row r="944">
      <x:c r="A944" s="14" t="str">
        <x:v>店长</x:v>
      </x:c>
      <x:c r="B944" s="15" t="str">
        <x:v>李雪雪</x:v>
      </x:c>
      <x:c r="C944" s="16" t="n">
        <x:v>46037</x:v>
      </x:c>
      <x:c r="D944" s="17" t="n">
        <x:v>0</x:v>
      </x:c>
      <x:c r="E944" s="17" t="n">
        <x:v>0</x:v>
      </x:c>
      <x:c r="F944" s="18" t="n">
        <x:v>0</x:v>
      </x:c>
    </x:row>
    <x:row r="945">
      <x:c r="A945" s="14" t="str">
        <x:v>店长</x:v>
      </x:c>
      <x:c r="B945" s="15" t="str">
        <x:v>李雪雪</x:v>
      </x:c>
      <x:c r="C945" s="16" t="n">
        <x:v>46038</x:v>
      </x:c>
      <x:c r="D945" s="17" t="n">
        <x:v>3</x:v>
      </x:c>
      <x:c r="E945" s="17" t="n">
        <x:v>7</x:v>
      </x:c>
      <x:c r="F945" s="18" t="n">
        <x:v>43.45</x:v>
      </x:c>
    </x:row>
    <x:row r="946">
      <x:c r="A946" s="14" t="str">
        <x:v>店长</x:v>
      </x:c>
      <x:c r="B946" s="15" t="str">
        <x:v>李雪雪</x:v>
      </x:c>
      <x:c r="C946" s="16" t="n">
        <x:v>46039</x:v>
      </x:c>
      <x:c r="D946" s="17" t="n">
        <x:v>1</x:v>
      </x:c>
      <x:c r="E946" s="17" t="n">
        <x:v>2</x:v>
      </x:c>
      <x:c r="F946" s="18" t="n">
        <x:v>12.41</x:v>
      </x:c>
    </x:row>
    <x:row r="947">
      <x:c r="A947" s="14" t="str">
        <x:v>店长</x:v>
      </x:c>
      <x:c r="B947" s="15" t="str">
        <x:v>李雪雪</x:v>
      </x:c>
      <x:c r="C947" s="16" t="n">
        <x:v>46040</x:v>
      </x:c>
      <x:c r="D947" s="17" t="n">
        <x:v>1</x:v>
      </x:c>
      <x:c r="E947" s="17" t="n">
        <x:v>2</x:v>
      </x:c>
      <x:c r="F947" s="18" t="n">
        <x:v>16.5</x:v>
      </x:c>
    </x:row>
    <x:row r="948">
      <x:c r="A948" s="14" t="str">
        <x:v>店长</x:v>
      </x:c>
      <x:c r="B948" s="15" t="str">
        <x:v>李雪雪</x:v>
      </x:c>
      <x:c r="C948" s="16" t="n">
        <x:v>46041</x:v>
      </x:c>
      <x:c r="D948" s="17" t="n">
        <x:v>1</x:v>
      </x:c>
      <x:c r="E948" s="17" t="n">
        <x:v>2</x:v>
      </x:c>
      <x:c r="F948" s="18" t="n">
        <x:v>23.09</x:v>
      </x:c>
    </x:row>
    <x:row r="949">
      <x:c r="A949" s="14" t="str">
        <x:v>店长</x:v>
      </x:c>
      <x:c r="B949" s="15" t="str">
        <x:v>李雪雪</x:v>
      </x:c>
      <x:c r="C949" s="16" t="n">
        <x:v>46042</x:v>
      </x:c>
      <x:c r="D949" s="17" t="n">
        <x:v>1</x:v>
      </x:c>
      <x:c r="E949" s="17" t="n">
        <x:v>1</x:v>
      </x:c>
      <x:c r="F949" s="18" t="n">
        <x:v>12.28</x:v>
      </x:c>
    </x:row>
    <x:row r="950">
      <x:c r="A950" s="14" t="str">
        <x:v>店长</x:v>
      </x:c>
      <x:c r="B950" s="15" t="str">
        <x:v>李雪雪</x:v>
      </x:c>
      <x:c r="C950" s="16" t="n">
        <x:v>46043</x:v>
      </x:c>
      <x:c r="D950" s="17" t="n">
        <x:v>0</x:v>
      </x:c>
      <x:c r="E950" s="17" t="n">
        <x:v>0</x:v>
      </x:c>
      <x:c r="F950" s="18" t="n">
        <x:v>0</x:v>
      </x:c>
    </x:row>
    <x:row r="951">
      <x:c r="A951" s="14" t="str">
        <x:v>店长</x:v>
      </x:c>
      <x:c r="B951" s="15" t="str">
        <x:v>李雪雪</x:v>
      </x:c>
      <x:c r="C951" s="16" t="n">
        <x:v>46044</x:v>
      </x:c>
      <x:c r="D951" s="17" t="n">
        <x:v>0</x:v>
      </x:c>
      <x:c r="E951" s="17" t="n">
        <x:v>0</x:v>
      </x:c>
      <x:c r="F951" s="18" t="n">
        <x:v>0</x:v>
      </x:c>
    </x:row>
    <x:row r="952">
      <x:c r="A952" s="14" t="str">
        <x:v>店长</x:v>
      </x:c>
      <x:c r="B952" s="15" t="str">
        <x:v>李雪雪</x:v>
      </x:c>
      <x:c r="C952" s="16" t="n">
        <x:v>46045</x:v>
      </x:c>
      <x:c r="D952" s="17" t="n">
        <x:v>1</x:v>
      </x:c>
      <x:c r="E952" s="17" t="n">
        <x:v>0</x:v>
      </x:c>
      <x:c r="F952" s="18" t="n">
        <x:v>0</x:v>
      </x:c>
    </x:row>
    <x:row r="953">
      <x:c r="A953" s="14" t="str">
        <x:v>店长</x:v>
      </x:c>
      <x:c r="B953" s="15" t="str">
        <x:v>李雪雪</x:v>
      </x:c>
      <x:c r="C953" s="16" t="n">
        <x:v>46046</x:v>
      </x:c>
      <x:c r="D953" s="17" t="n">
        <x:v>2</x:v>
      </x:c>
      <x:c r="E953" s="17" t="n">
        <x:v>2</x:v>
      </x:c>
      <x:c r="F953" s="18" t="n">
        <x:v>24.56</x:v>
      </x:c>
    </x:row>
    <x:row r="954">
      <x:c r="A954" s="14" t="str">
        <x:v>店长</x:v>
      </x:c>
      <x:c r="B954" s="15" t="str">
        <x:v>李雪雪</x:v>
      </x:c>
      <x:c r="C954" s="16" t="n">
        <x:v>46047</x:v>
      </x:c>
      <x:c r="D954" s="17" t="n">
        <x:v>0</x:v>
      </x:c>
      <x:c r="E954" s="17" t="n">
        <x:v>0</x:v>
      </x:c>
      <x:c r="F954" s="18" t="n">
        <x:v>0</x:v>
      </x:c>
    </x:row>
    <x:row r="955">
      <x:c r="A955" s="14" t="str">
        <x:v>店长</x:v>
      </x:c>
      <x:c r="B955" s="15" t="str">
        <x:v>李雪雪</x:v>
      </x:c>
      <x:c r="C955" s="16" t="n">
        <x:v>46048</x:v>
      </x:c>
      <x:c r="D955" s="17" t="n">
        <x:v>1</x:v>
      </x:c>
      <x:c r="E955" s="17" t="n">
        <x:v>2</x:v>
      </x:c>
      <x:c r="F955" s="18" t="n">
        <x:v>7.62</x:v>
      </x:c>
    </x:row>
    <x:row r="956">
      <x:c r="A956" s="14" t="str">
        <x:v>店长</x:v>
      </x:c>
      <x:c r="B956" s="15" t="str">
        <x:v>李雪雪</x:v>
      </x:c>
      <x:c r="C956" s="16" t="n">
        <x:v>46049</x:v>
      </x:c>
      <x:c r="D956" s="17" t="n">
        <x:v>0</x:v>
      </x:c>
      <x:c r="E956" s="17" t="n">
        <x:v>0</x:v>
      </x:c>
      <x:c r="F956" s="18" t="n">
        <x:v>0</x:v>
      </x:c>
    </x:row>
    <x:row r="957">
      <x:c r="A957" s="14" t="str">
        <x:v>店长</x:v>
      </x:c>
      <x:c r="B957" s="15" t="str">
        <x:v>李雪雪</x:v>
      </x:c>
      <x:c r="C957" s="16" t="n">
        <x:v>46050</x:v>
      </x:c>
      <x:c r="D957" s="17" t="n">
        <x:v>3</x:v>
      </x:c>
      <x:c r="E957" s="17" t="n">
        <x:v>5</x:v>
      </x:c>
      <x:c r="F957" s="18" t="n">
        <x:v>27.53</x:v>
      </x:c>
    </x:row>
    <x:row r="958">
      <x:c r="A958" s="14" t="str">
        <x:v>店长</x:v>
      </x:c>
      <x:c r="B958" s="15" t="str">
        <x:v>李雪雪</x:v>
      </x:c>
      <x:c r="C958" s="16" t="n">
        <x:v>46051</x:v>
      </x:c>
      <x:c r="D958" s="17" t="n">
        <x:v>0</x:v>
      </x:c>
      <x:c r="E958" s="17" t="n">
        <x:v>0</x:v>
      </x:c>
      <x:c r="F958" s="18" t="n">
        <x:v>0</x:v>
      </x:c>
    </x:row>
    <x:row r="959">
      <x:c r="A959" s="14" t="str">
        <x:v>店长</x:v>
      </x:c>
      <x:c r="B959" s="15" t="str">
        <x:v>李雪雪</x:v>
      </x:c>
      <x:c r="C959" s="16" t="n">
        <x:v>46052</x:v>
      </x:c>
      <x:c r="D959" s="17" t="n">
        <x:v>1</x:v>
      </x:c>
      <x:c r="E959" s="17" t="n">
        <x:v>2</x:v>
      </x:c>
      <x:c r="F959" s="18" t="n">
        <x:v>7.62</x:v>
      </x:c>
    </x:row>
    <x:row r="960">
      <x:c r="A960" s="14" t="str">
        <x:v>店长</x:v>
      </x:c>
      <x:c r="B960" s="15" t="str">
        <x:v>李雪雪</x:v>
      </x:c>
      <x:c r="C960" s="16" t="n">
        <x:v>46053</x:v>
      </x:c>
      <x:c r="D960" s="17" t="n">
        <x:v>0</x:v>
      </x:c>
      <x:c r="E960" s="17" t="n">
        <x:v>0</x:v>
      </x:c>
      <x:c r="F960" s="18" t="n">
        <x:v>-10.07</x:v>
      </x:c>
    </x:row>
    <x:row r="961">
      <x:c r="A961" s="14" t="str">
        <x:v>店长</x:v>
      </x:c>
      <x:c r="B961" s="15" t="str">
        <x:v>李雪雪</x:v>
      </x:c>
      <x:c r="C961" s="16" t="n">
        <x:v>46054</x:v>
      </x:c>
      <x:c r="D961" s="17" t="n">
        <x:v>0</x:v>
      </x:c>
      <x:c r="E961" s="17" t="n">
        <x:v>0</x:v>
      </x:c>
      <x:c r="F961" s="18" t="n">
        <x:v>0</x:v>
      </x:c>
    </x:row>
    <x:row r="962">
      <x:c r="A962" s="14" t="str">
        <x:v>店长</x:v>
      </x:c>
      <x:c r="B962" s="15" t="str">
        <x:v>李雪雪</x:v>
      </x:c>
      <x:c r="C962" s="16" t="n">
        <x:v>46055</x:v>
      </x:c>
      <x:c r="D962" s="17" t="n">
        <x:v>2</x:v>
      </x:c>
      <x:c r="E962" s="17" t="n">
        <x:v>4</x:v>
      </x:c>
      <x:c r="F962" s="18" t="n">
        <x:v>22.56</x:v>
      </x:c>
    </x:row>
    <x:row r="963">
      <x:c r="A963" s="14" t="str">
        <x:v>店长</x:v>
      </x:c>
      <x:c r="B963" s="15" t="str">
        <x:v>李雪雪</x:v>
      </x:c>
      <x:c r="C963" s="16" t="n">
        <x:v>46056</x:v>
      </x:c>
      <x:c r="D963" s="17" t="n">
        <x:v>1</x:v>
      </x:c>
      <x:c r="E963" s="17" t="n">
        <x:v>1</x:v>
      </x:c>
      <x:c r="F963" s="18" t="n">
        <x:v>16.92</x:v>
      </x:c>
    </x:row>
    <x:row r="964">
      <x:c r="A964" s="14" t="str">
        <x:v>店长</x:v>
      </x:c>
      <x:c r="B964" s="15" t="str">
        <x:v>李雪雪</x:v>
      </x:c>
      <x:c r="C964" s="16" t="n">
        <x:v>46057</x:v>
      </x:c>
      <x:c r="D964" s="17" t="n">
        <x:v>1</x:v>
      </x:c>
      <x:c r="E964" s="17" t="n">
        <x:v>2</x:v>
      </x:c>
      <x:c r="F964" s="18" t="n">
        <x:v>24.3</x:v>
      </x:c>
    </x:row>
    <x:row r="965">
      <x:c r="A965" s="14" t="str">
        <x:v>店长</x:v>
      </x:c>
      <x:c r="B965" s="15" t="str">
        <x:v>李雪雪</x:v>
      </x:c>
      <x:c r="C965" s="16" t="n">
        <x:v>46058</x:v>
      </x:c>
      <x:c r="D965" s="17" t="n">
        <x:v>0</x:v>
      </x:c>
      <x:c r="E965" s="17" t="n">
        <x:v>0</x:v>
      </x:c>
      <x:c r="F965" s="18" t="n">
        <x:v>0</x:v>
      </x:c>
    </x:row>
    <x:row r="966">
      <x:c r="A966" s="14" t="str">
        <x:v>店长</x:v>
      </x:c>
      <x:c r="B966" s="15" t="str">
        <x:v>李雪雪</x:v>
      </x:c>
      <x:c r="C966" s="16" t="n">
        <x:v>46059</x:v>
      </x:c>
      <x:c r="D966" s="17" t="n">
        <x:v>0</x:v>
      </x:c>
      <x:c r="E966" s="17" t="n">
        <x:v>0</x:v>
      </x:c>
      <x:c r="F966" s="18" t="n">
        <x:v>0</x:v>
      </x:c>
    </x:row>
    <x:row r="967">
      <x:c r="A967" s="14" t="str">
        <x:v>店长</x:v>
      </x:c>
      <x:c r="B967" s="15" t="str">
        <x:v>李雪雪</x:v>
      </x:c>
      <x:c r="C967" s="16" t="n">
        <x:v>46060</x:v>
      </x:c>
      <x:c r="D967" s="17" t="n">
        <x:v>0</x:v>
      </x:c>
      <x:c r="E967" s="17" t="n">
        <x:v>0</x:v>
      </x:c>
      <x:c r="F967" s="18" t="n">
        <x:v>0</x:v>
      </x:c>
    </x:row>
    <x:row r="968">
      <x:c r="A968" s="14" t="str">
        <x:v>店长</x:v>
      </x:c>
      <x:c r="B968" s="15" t="str">
        <x:v>李雪雪</x:v>
      </x:c>
      <x:c r="C968" s="16" t="n">
        <x:v>46061</x:v>
      </x:c>
      <x:c r="D968" s="17" t="n">
        <x:v>0</x:v>
      </x:c>
      <x:c r="E968" s="17" t="n">
        <x:v>0</x:v>
      </x:c>
      <x:c r="F968" s="18" t="n">
        <x:v>0</x:v>
      </x:c>
    </x:row>
    <x:row r="969">
      <x:c r="A969" s="14" t="str">
        <x:v>店长</x:v>
      </x:c>
      <x:c r="B969" s="15" t="str">
        <x:v>李雪雪</x:v>
      </x:c>
      <x:c r="C969" s="16" t="n">
        <x:v>46062</x:v>
      </x:c>
      <x:c r="D969" s="17" t="n">
        <x:v>1</x:v>
      </x:c>
      <x:c r="E969" s="17" t="n">
        <x:v>3</x:v>
      </x:c>
      <x:c r="F969" s="18" t="n">
        <x:v>30.4</x:v>
      </x:c>
    </x:row>
    <x:row r="970">
      <x:c r="A970" s="14" t="str">
        <x:v>店长</x:v>
      </x:c>
      <x:c r="B970" s="15" t="str">
        <x:v>李雪雪</x:v>
      </x:c>
      <x:c r="C970" s="16" t="n">
        <x:v>46063</x:v>
      </x:c>
      <x:c r="D970" s="17" t="n">
        <x:v>1</x:v>
      </x:c>
      <x:c r="E970" s="17" t="n">
        <x:v>2</x:v>
      </x:c>
      <x:c r="F970" s="18" t="n">
        <x:v>11.7</x:v>
      </x:c>
    </x:row>
    <x:row r="971">
      <x:c r="A971" s="14" t="str">
        <x:v>店长</x:v>
      </x:c>
      <x:c r="B971" s="15" t="str">
        <x:v>李雪雪</x:v>
      </x:c>
      <x:c r="C971" s="16" t="n">
        <x:v>46064</x:v>
      </x:c>
      <x:c r="D971" s="17" t="n">
        <x:v>0</x:v>
      </x:c>
      <x:c r="E971" s="17" t="n">
        <x:v>0</x:v>
      </x:c>
      <x:c r="F971" s="18" t="n">
        <x:v>0</x:v>
      </x:c>
    </x:row>
    <x:row r="972">
      <x:c r="A972" s="14" t="str">
        <x:v>店长</x:v>
      </x:c>
      <x:c r="B972" s="15" t="str">
        <x:v>李雪雪</x:v>
      </x:c>
      <x:c r="C972" s="16" t="n">
        <x:v>46065</x:v>
      </x:c>
      <x:c r="D972" s="17" t="n">
        <x:v>1</x:v>
      </x:c>
      <x:c r="E972" s="17" t="n">
        <x:v>2</x:v>
      </x:c>
      <x:c r="F972" s="18" t="n">
        <x:v>46.37</x:v>
      </x:c>
    </x:row>
    <x:row r="973">
      <x:c r="A973" s="14" t="str">
        <x:v>店长</x:v>
      </x:c>
      <x:c r="B973" s="15" t="str">
        <x:v>李雪雪</x:v>
      </x:c>
      <x:c r="C973" s="16" t="n">
        <x:v>46066</x:v>
      </x:c>
      <x:c r="D973" s="17" t="n">
        <x:v>0</x:v>
      </x:c>
      <x:c r="E973" s="17" t="n">
        <x:v>0</x:v>
      </x:c>
      <x:c r="F973" s="18" t="n">
        <x:v>0</x:v>
      </x:c>
    </x:row>
    <x:row r="974">
      <x:c r="A974" s="14" t="str">
        <x:v>店长</x:v>
      </x:c>
      <x:c r="B974" s="15" t="str">
        <x:v>李雪雪</x:v>
      </x:c>
      <x:c r="C974" s="16" t="n">
        <x:v>46067</x:v>
      </x:c>
      <x:c r="D974" s="17" t="n">
        <x:v>3</x:v>
      </x:c>
      <x:c r="E974" s="17" t="n">
        <x:v>5</x:v>
      </x:c>
      <x:c r="F974" s="18" t="n">
        <x:v>51.75</x:v>
      </x:c>
    </x:row>
    <x:row r="975">
      <x:c r="A975" s="14" t="str">
        <x:v>店长</x:v>
      </x:c>
      <x:c r="B975" s="15" t="str">
        <x:v>李雪雪</x:v>
      </x:c>
      <x:c r="C975" s="16" t="n">
        <x:v>46068</x:v>
      </x:c>
      <x:c r="D975" s="17" t="n">
        <x:v>0</x:v>
      </x:c>
      <x:c r="E975" s="17" t="n">
        <x:v>0</x:v>
      </x:c>
      <x:c r="F975" s="18" t="n">
        <x:v>0</x:v>
      </x:c>
    </x:row>
    <x:row r="976">
      <x:c r="A976" s="14" t="str">
        <x:v>店长</x:v>
      </x:c>
      <x:c r="B976" s="15" t="str">
        <x:v>李雪雪</x:v>
      </x:c>
      <x:c r="C976" s="16" t="n">
        <x:v>46069</x:v>
      </x:c>
      <x:c r="D976" s="17" t="n">
        <x:v>1</x:v>
      </x:c>
      <x:c r="E976" s="17" t="n">
        <x:v>1</x:v>
      </x:c>
      <x:c r="F976" s="18" t="n">
        <x:v>9.95</x:v>
      </x:c>
    </x:row>
    <x:row r="977">
      <x:c r="A977" s="14" t="str">
        <x:v>店长</x:v>
      </x:c>
      <x:c r="B977" s="15" t="str">
        <x:v>李雪雪</x:v>
      </x:c>
      <x:c r="C977" s="16" t="n">
        <x:v>46070</x:v>
      </x:c>
      <x:c r="D977" s="17" t="n">
        <x:v>1</x:v>
      </x:c>
      <x:c r="E977" s="17" t="n">
        <x:v>1</x:v>
      </x:c>
      <x:c r="F977" s="18" t="n">
        <x:v>12.28</x:v>
      </x:c>
    </x:row>
    <x:row r="978">
      <x:c r="A978" s="14" t="str">
        <x:v>店长</x:v>
      </x:c>
      <x:c r="B978" s="15" t="str">
        <x:v>李雪雪</x:v>
      </x:c>
      <x:c r="C978" s="16" t="n">
        <x:v>46071</x:v>
      </x:c>
      <x:c r="D978" s="17" t="n">
        <x:v>0</x:v>
      </x:c>
      <x:c r="E978" s="17" t="n">
        <x:v>0</x:v>
      </x:c>
      <x:c r="F978" s="18" t="n">
        <x:v>0</x:v>
      </x:c>
    </x:row>
    <x:row r="979">
      <x:c r="A979" s="14" t="str">
        <x:v>店长</x:v>
      </x:c>
      <x:c r="B979" s="15" t="str">
        <x:v>李雪雪</x:v>
      </x:c>
      <x:c r="C979" s="16" t="n">
        <x:v>46072</x:v>
      </x:c>
      <x:c r="D979" s="17" t="n">
        <x:v>0</x:v>
      </x:c>
      <x:c r="E979" s="17" t="n">
        <x:v>0</x:v>
      </x:c>
      <x:c r="F979" s="18" t="n">
        <x:v>0</x:v>
      </x:c>
    </x:row>
    <x:row r="980">
      <x:c r="A980" s="14" t="str">
        <x:v>店长</x:v>
      </x:c>
      <x:c r="B980" s="15" t="str">
        <x:v>李雪雪</x:v>
      </x:c>
      <x:c r="C980" s="16" t="n">
        <x:v>46073</x:v>
      </x:c>
      <x:c r="D980" s="17" t="n">
        <x:v>2</x:v>
      </x:c>
      <x:c r="E980" s="17" t="n">
        <x:v>2</x:v>
      </x:c>
      <x:c r="F980" s="18" t="n">
        <x:v>20.79</x:v>
      </x:c>
    </x:row>
    <x:row r="981">
      <x:c r="A981" s="14" t="str">
        <x:v>店长</x:v>
      </x:c>
      <x:c r="B981" s="15" t="str">
        <x:v>李雪雪</x:v>
      </x:c>
      <x:c r="C981" s="16" t="n">
        <x:v>46074</x:v>
      </x:c>
      <x:c r="D981" s="17" t="n">
        <x:v>0</x:v>
      </x:c>
      <x:c r="E981" s="17" t="n">
        <x:v>0</x:v>
      </x:c>
      <x:c r="F981" s="18" t="n">
        <x:v>0</x:v>
      </x:c>
    </x:row>
    <x:row r="982">
      <x:c r="A982" s="14" t="str">
        <x:v>店长</x:v>
      </x:c>
      <x:c r="B982" s="15" t="str">
        <x:v>李雪雪</x:v>
      </x:c>
      <x:c r="C982" s="16" t="n">
        <x:v>46075</x:v>
      </x:c>
      <x:c r="D982" s="17" t="n">
        <x:v>2</x:v>
      </x:c>
      <x:c r="E982" s="17" t="n">
        <x:v>4</x:v>
      </x:c>
      <x:c r="F982" s="18" t="n">
        <x:v>35.24</x:v>
      </x:c>
    </x:row>
    <x:row r="983">
      <x:c r="A983" s="14" t="str">
        <x:v>店长</x:v>
      </x:c>
      <x:c r="B983" s="15" t="str">
        <x:v>李雪雪</x:v>
      </x:c>
      <x:c r="C983" s="16" t="n">
        <x:v>46076</x:v>
      </x:c>
      <x:c r="D983" s="17" t="n">
        <x:v>1</x:v>
      </x:c>
      <x:c r="E983" s="17" t="n">
        <x:v>2</x:v>
      </x:c>
      <x:c r="F983" s="18" t="n">
        <x:v>46.37</x:v>
      </x:c>
    </x:row>
    <x:row r="984">
      <x:c r="A984" s="14" t="str">
        <x:v>店长</x:v>
      </x:c>
      <x:c r="B984" s="15" t="str">
        <x:v>李雪雪</x:v>
      </x:c>
      <x:c r="C984" s="16" t="n">
        <x:v>46077</x:v>
      </x:c>
      <x:c r="D984" s="17" t="n">
        <x:v>0</x:v>
      </x:c>
      <x:c r="E984" s="17" t="n">
        <x:v>0</x:v>
      </x:c>
      <x:c r="F984" s="18" t="n">
        <x:v>0</x:v>
      </x:c>
    </x:row>
    <x:row r="985">
      <x:c r="A985" s="14" t="str">
        <x:v>店长</x:v>
      </x:c>
      <x:c r="B985" s="15" t="str">
        <x:v>李雪雪</x:v>
      </x:c>
      <x:c r="C985" s="16" t="n">
        <x:v>46078</x:v>
      </x:c>
      <x:c r="D985" s="17" t="n">
        <x:v>4</x:v>
      </x:c>
      <x:c r="E985" s="17" t="n">
        <x:v>7</x:v>
      </x:c>
      <x:c r="F985" s="18" t="n">
        <x:v>54.08</x:v>
      </x:c>
    </x:row>
    <x:row r="986">
      <x:c r="A986" s="14" t="str">
        <x:v>店长</x:v>
      </x:c>
      <x:c r="B986" s="15" t="str">
        <x:v>李雪雪</x:v>
      </x:c>
      <x:c r="C986" s="16" t="n">
        <x:v>46079</x:v>
      </x:c>
      <x:c r="D986" s="17" t="n">
        <x:v>0</x:v>
      </x:c>
      <x:c r="E986" s="17" t="n">
        <x:v>0</x:v>
      </x:c>
      <x:c r="F986" s="18" t="n">
        <x:v>0</x:v>
      </x:c>
    </x:row>
    <x:row r="987">
      <x:c r="A987" s="14" t="str">
        <x:v>店长</x:v>
      </x:c>
      <x:c r="B987" s="15" t="str">
        <x:v>李雪雪</x:v>
      </x:c>
      <x:c r="C987" s="16" t="n">
        <x:v>46080</x:v>
      </x:c>
      <x:c r="D987" s="17" t="n">
        <x:v>0</x:v>
      </x:c>
      <x:c r="E987" s="17" t="n">
        <x:v>0</x:v>
      </x:c>
      <x:c r="F987" s="18" t="n">
        <x:v>0</x:v>
      </x:c>
    </x:row>
    <x:row r="988">
      <x:c r="A988" s="14" t="str">
        <x:v>店长</x:v>
      </x:c>
      <x:c r="B988" s="15" t="str">
        <x:v>李雪雪</x:v>
      </x:c>
      <x:c r="C988" s="16" t="n">
        <x:v>46081</x:v>
      </x:c>
      <x:c r="D988" s="17" t="n">
        <x:v>2</x:v>
      </x:c>
      <x:c r="E988" s="17" t="n">
        <x:v>2</x:v>
      </x:c>
      <x:c r="F988" s="18" t="n">
        <x:v>17.17</x:v>
      </x:c>
    </x:row>
    <x:row r="989">
      <x:c r="A989" s="14" t="str">
        <x:v>店长</x:v>
      </x:c>
      <x:c r="B989" s="15" t="str">
        <x:v>李雪雪</x:v>
      </x:c>
      <x:c r="C989" s="16" t="n">
        <x:v>46082</x:v>
      </x:c>
      <x:c r="D989" s="17" t="n">
        <x:v>0</x:v>
      </x:c>
      <x:c r="E989" s="17" t="n">
        <x:v>0</x:v>
      </x:c>
      <x:c r="F989" s="18" t="n">
        <x:v>0</x:v>
      </x:c>
    </x:row>
    <x:row r="990">
      <x:c r="A990" s="14" t="str">
        <x:v>店长</x:v>
      </x:c>
      <x:c r="B990" s="15" t="str">
        <x:v>李雪雪</x:v>
      </x:c>
      <x:c r="C990" s="16" t="n">
        <x:v>46083</x:v>
      </x:c>
      <x:c r="D990" s="17" t="n">
        <x:v>0</x:v>
      </x:c>
      <x:c r="E990" s="17" t="n">
        <x:v>0</x:v>
      </x:c>
      <x:c r="F990" s="18" t="n">
        <x:v>0</x:v>
      </x:c>
    </x:row>
    <x:row r="991">
      <x:c r="A991" s="14" t="str">
        <x:v>店长</x:v>
      </x:c>
      <x:c r="B991" s="15" t="str">
        <x:v>李雪雪</x:v>
      </x:c>
      <x:c r="C991" s="16" t="n">
        <x:v>46084</x:v>
      </x:c>
      <x:c r="D991" s="17" t="n">
        <x:v>0</x:v>
      </x:c>
      <x:c r="E991" s="17" t="n">
        <x:v>0</x:v>
      </x:c>
      <x:c r="F991" s="18" t="n">
        <x:v>0</x:v>
      </x:c>
    </x:row>
    <x:row r="992">
      <x:c r="A992" s="14" t="str">
        <x:v>店长</x:v>
      </x:c>
      <x:c r="B992" s="15" t="str">
        <x:v>李雪雪</x:v>
      </x:c>
      <x:c r="C992" s="16" t="n">
        <x:v>46085</x:v>
      </x:c>
      <x:c r="D992" s="17" t="n">
        <x:v>0</x:v>
      </x:c>
      <x:c r="E992" s="17" t="n">
        <x:v>0</x:v>
      </x:c>
      <x:c r="F992" s="18" t="n">
        <x:v>0</x:v>
      </x:c>
    </x:row>
    <x:row r="993">
      <x:c r="A993" s="14" t="str">
        <x:v>店长</x:v>
      </x:c>
      <x:c r="B993" s="15" t="str">
        <x:v>李雪雪</x:v>
      </x:c>
      <x:c r="C993" s="16" t="n">
        <x:v>46086</x:v>
      </x:c>
      <x:c r="D993" s="17" t="n">
        <x:v>1</x:v>
      </x:c>
      <x:c r="E993" s="17" t="n">
        <x:v>2</x:v>
      </x:c>
      <x:c r="F993" s="18" t="n">
        <x:v>12.28</x:v>
      </x:c>
    </x:row>
    <x:row r="994">
      <x:c r="A994" s="14" t="str">
        <x:v>店长</x:v>
      </x:c>
      <x:c r="B994" s="15" t="str">
        <x:v>李雪雪</x:v>
      </x:c>
      <x:c r="C994" s="16" t="n">
        <x:v>46087</x:v>
      </x:c>
      <x:c r="D994" s="17" t="n">
        <x:v>1</x:v>
      </x:c>
      <x:c r="E994" s="17" t="n">
        <x:v>2</x:v>
      </x:c>
      <x:c r="F994" s="18" t="n">
        <x:v>29.84</x:v>
      </x:c>
    </x:row>
    <x:row r="995">
      <x:c r="A995" s="14" t="str">
        <x:v>店长</x:v>
      </x:c>
      <x:c r="B995" s="15" t="str">
        <x:v>李雪雪</x:v>
      </x:c>
      <x:c r="C995" s="16" t="n">
        <x:v>46088</x:v>
      </x:c>
      <x:c r="D995" s="17" t="n">
        <x:v>3</x:v>
      </x:c>
      <x:c r="E995" s="17" t="n">
        <x:v>5</x:v>
      </x:c>
      <x:c r="F995" s="18" t="n">
        <x:v>45.82</x:v>
      </x:c>
    </x:row>
    <x:row r="996">
      <x:c r="A996" s="14" t="str">
        <x:v>店长</x:v>
      </x:c>
      <x:c r="B996" s="15" t="str">
        <x:v>李雪雪</x:v>
      </x:c>
      <x:c r="C996" s="16" t="n">
        <x:v>46089</x:v>
      </x:c>
      <x:c r="D996" s="17" t="n">
        <x:v>1</x:v>
      </x:c>
      <x:c r="E996" s="17" t="n">
        <x:v>2</x:v>
      </x:c>
      <x:c r="F996" s="18" t="n">
        <x:v>16.12</x:v>
      </x:c>
    </x:row>
    <x:row r="997">
      <x:c r="A997" s="14" t="str">
        <x:v>店长</x:v>
      </x:c>
      <x:c r="B997" s="15" t="str">
        <x:v>李雪雪</x:v>
      </x:c>
      <x:c r="C997" s="16" t="n">
        <x:v>46090</x:v>
      </x:c>
      <x:c r="D997" s="17" t="n">
        <x:v>1</x:v>
      </x:c>
      <x:c r="E997" s="17" t="n">
        <x:v>1</x:v>
      </x:c>
      <x:c r="F997" s="18" t="n">
        <x:v>13.06</x:v>
      </x:c>
    </x:row>
    <x:row r="998">
      <x:c r="A998" s="14" t="str">
        <x:v>店长</x:v>
      </x:c>
      <x:c r="B998" s="15" t="str">
        <x:v>李雪雪</x:v>
      </x:c>
      <x:c r="C998" s="16" t="n">
        <x:v>46091</x:v>
      </x:c>
      <x:c r="D998" s="17" t="n">
        <x:v>0</x:v>
      </x:c>
      <x:c r="E998" s="17" t="n">
        <x:v>0</x:v>
      </x:c>
      <x:c r="F998" s="18" t="n">
        <x:v>0</x:v>
      </x:c>
    </x:row>
    <x:row r="999">
      <x:c r="A999" s="14" t="str">
        <x:v>店长</x:v>
      </x:c>
      <x:c r="B999" s="15" t="str">
        <x:v>李雪雪</x:v>
      </x:c>
      <x:c r="C999" s="16" t="n">
        <x:v>46092</x:v>
      </x:c>
      <x:c r="D999" s="17" t="n">
        <x:v>1</x:v>
      </x:c>
      <x:c r="E999" s="17" t="n">
        <x:v>2</x:v>
      </x:c>
      <x:c r="F999" s="18" t="n">
        <x:v>23.16</x:v>
      </x:c>
    </x:row>
    <x:row r="1000">
      <x:c r="A1000" s="14" t="str">
        <x:v>店长</x:v>
      </x:c>
      <x:c r="B1000" s="15" t="str">
        <x:v>李雪雪</x:v>
      </x:c>
      <x:c r="C1000" s="16" t="n">
        <x:v>46093</x:v>
      </x:c>
      <x:c r="D1000" s="17" t="n">
        <x:v>3</x:v>
      </x:c>
      <x:c r="E1000" s="17" t="n">
        <x:v>3</x:v>
      </x:c>
      <x:c r="F1000" s="18" t="n">
        <x:v>39.94</x:v>
      </x:c>
    </x:row>
    <x:row r="1001">
      <x:c r="A1001" s="14" t="str">
        <x:v>店长</x:v>
      </x:c>
      <x:c r="B1001" s="15" t="str">
        <x:v>李雪雪</x:v>
      </x:c>
      <x:c r="C1001" s="16" t="n">
        <x:v>46094</x:v>
      </x:c>
      <x:c r="D1001" s="17" t="n">
        <x:v>2</x:v>
      </x:c>
      <x:c r="E1001" s="17" t="n">
        <x:v>4</x:v>
      </x:c>
      <x:c r="F1001" s="18" t="n">
        <x:v>25.92</x:v>
      </x:c>
    </x:row>
    <x:row r="1002">
      <x:c r="A1002" s="14" t="str">
        <x:v>店长</x:v>
      </x:c>
      <x:c r="B1002" s="15" t="str">
        <x:v>李雪雪</x:v>
      </x:c>
      <x:c r="C1002" s="16" t="n">
        <x:v>46095</x:v>
      </x:c>
      <x:c r="D1002" s="17" t="n">
        <x:v>1</x:v>
      </x:c>
      <x:c r="E1002" s="17" t="n">
        <x:v>1</x:v>
      </x:c>
      <x:c r="F1002" s="18" t="n">
        <x:v>8.51</x:v>
      </x:c>
    </x:row>
    <x:row r="1003">
      <x:c r="A1003" s="14" t="str">
        <x:v>店长</x:v>
      </x:c>
      <x:c r="B1003" s="15" t="str">
        <x:v>李雪雪</x:v>
      </x:c>
      <x:c r="C1003" s="16" t="n">
        <x:v>46096</x:v>
      </x:c>
      <x:c r="D1003" s="17" t="n">
        <x:v>0</x:v>
      </x:c>
      <x:c r="E1003" s="17" t="n">
        <x:v>0</x:v>
      </x:c>
      <x:c r="F1003" s="18" t="n">
        <x:v>0</x:v>
      </x:c>
    </x:row>
    <x:row r="1004">
      <x:c r="A1004" s="14" t="str">
        <x:v>店长</x:v>
      </x:c>
      <x:c r="B1004" s="15" t="str">
        <x:v>李雪雪</x:v>
      </x:c>
      <x:c r="C1004" s="16" t="n">
        <x:v>46097</x:v>
      </x:c>
      <x:c r="D1004" s="17" t="n">
        <x:v>2</x:v>
      </x:c>
      <x:c r="E1004" s="17" t="n">
        <x:v>7</x:v>
      </x:c>
      <x:c r="F1004" s="18" t="n">
        <x:v>57.34</x:v>
      </x:c>
    </x:row>
    <x:row r="1005">
      <x:c r="A1005" s="14" t="str">
        <x:v>店长</x:v>
      </x:c>
      <x:c r="B1005" s="15" t="str">
        <x:v>李雪雪</x:v>
      </x:c>
      <x:c r="C1005" s="16" t="n">
        <x:v>46098</x:v>
      </x:c>
      <x:c r="D1005" s="17" t="n">
        <x:v>3</x:v>
      </x:c>
      <x:c r="E1005" s="17" t="n">
        <x:v>4</x:v>
      </x:c>
      <x:c r="F1005" s="18" t="n">
        <x:v>28.72</x:v>
      </x:c>
    </x:row>
    <x:row r="1006">
      <x:c r="A1006" s="14" t="str">
        <x:v>店长</x:v>
      </x:c>
      <x:c r="B1006" s="15" t="str">
        <x:v>李雪雪</x:v>
      </x:c>
      <x:c r="C1006" s="16" t="n">
        <x:v>46099</x:v>
      </x:c>
      <x:c r="D1006" s="17" t="n">
        <x:v>1</x:v>
      </x:c>
      <x:c r="E1006" s="17" t="n">
        <x:v>2</x:v>
      </x:c>
      <x:c r="F1006" s="18" t="n">
        <x:v>18.7</x:v>
      </x:c>
    </x:row>
    <x:row r="1007">
      <x:c r="A1007" s="14" t="str">
        <x:v>店长</x:v>
      </x:c>
      <x:c r="B1007" s="15" t="str">
        <x:v>李雪雪</x:v>
      </x:c>
      <x:c r="C1007" s="16" t="n">
        <x:v>46100</x:v>
      </x:c>
      <x:c r="D1007" s="17" t="n">
        <x:v>2</x:v>
      </x:c>
      <x:c r="E1007" s="17" t="n">
        <x:v>4</x:v>
      </x:c>
      <x:c r="F1007" s="18" t="n">
        <x:v>37.33</x:v>
      </x:c>
    </x:row>
    <x:row r="1008">
      <x:c r="A1008" s="14" t="str">
        <x:v>店长</x:v>
      </x:c>
      <x:c r="B1008" s="15" t="str">
        <x:v>李雪雪</x:v>
      </x:c>
      <x:c r="C1008" s="16" t="n">
        <x:v>46101</x:v>
      </x:c>
      <x:c r="D1008" s="17" t="n">
        <x:v>2</x:v>
      </x:c>
      <x:c r="E1008" s="17" t="n">
        <x:v>2</x:v>
      </x:c>
      <x:c r="F1008" s="18" t="n">
        <x:v>27.34</x:v>
      </x:c>
    </x:row>
    <x:row r="1009">
      <x:c r="A1009" s="14" t="str">
        <x:v>店长</x:v>
      </x:c>
      <x:c r="B1009" s="15" t="str">
        <x:v>李雪雪</x:v>
      </x:c>
      <x:c r="C1009" s="16" t="n">
        <x:v>46102</x:v>
      </x:c>
      <x:c r="D1009" s="17" t="n">
        <x:v>0</x:v>
      </x:c>
      <x:c r="E1009" s="17" t="n">
        <x:v>0</x:v>
      </x:c>
      <x:c r="F1009" s="18" t="n">
        <x:v>0</x:v>
      </x:c>
    </x:row>
    <x:row r="1010">
      <x:c r="A1010" s="14" t="str">
        <x:v>店长</x:v>
      </x:c>
      <x:c r="B1010" s="15" t="str">
        <x:v>李雪雪</x:v>
      </x:c>
      <x:c r="C1010" s="16" t="n">
        <x:v>46103</x:v>
      </x:c>
      <x:c r="D1010" s="17" t="n">
        <x:v>0</x:v>
      </x:c>
      <x:c r="E1010" s="17" t="n">
        <x:v>0</x:v>
      </x:c>
      <x:c r="F1010" s="18" t="n">
        <x:v>0</x:v>
      </x:c>
    </x:row>
    <x:row r="1011">
      <x:c r="A1011" s="14" t="str">
        <x:v>店长</x:v>
      </x:c>
      <x:c r="B1011" s="15" t="str">
        <x:v>李雪雪</x:v>
      </x:c>
      <x:c r="C1011" s="16" t="n">
        <x:v>46104</x:v>
      </x:c>
      <x:c r="D1011" s="17" t="n">
        <x:v>4</x:v>
      </x:c>
      <x:c r="E1011" s="17" t="n">
        <x:v>4</x:v>
      </x:c>
      <x:c r="F1011" s="18" t="n">
        <x:v>49.53</x:v>
      </x:c>
    </x:row>
    <x:row r="1012">
      <x:c r="A1012" s="14" t="str">
        <x:v>店长</x:v>
      </x:c>
      <x:c r="B1012" s="15" t="str">
        <x:v>李雪雪</x:v>
      </x:c>
      <x:c r="C1012" s="16" t="n">
        <x:v>46105</x:v>
      </x:c>
      <x:c r="D1012" s="17" t="n">
        <x:v>1</x:v>
      </x:c>
      <x:c r="E1012" s="17" t="n">
        <x:v>2</x:v>
      </x:c>
      <x:c r="F1012" s="18" t="n">
        <x:v>13.57</x:v>
      </x:c>
    </x:row>
    <x:row r="1013">
      <x:c r="A1013" s="14" t="str">
        <x:v>店长</x:v>
      </x:c>
      <x:c r="B1013" s="15" t="str">
        <x:v>李雪雪</x:v>
      </x:c>
      <x:c r="C1013" s="16" t="n">
        <x:v>46106</x:v>
      </x:c>
      <x:c r="D1013" s="17" t="n">
        <x:v>1</x:v>
      </x:c>
      <x:c r="E1013" s="17" t="n">
        <x:v>2</x:v>
      </x:c>
      <x:c r="F1013" s="18" t="n">
        <x:v>7.84</x:v>
      </x:c>
    </x:row>
    <x:row r="1014">
      <x:c r="A1014" s="14" t="str">
        <x:v>店长</x:v>
      </x:c>
      <x:c r="B1014" s="15" t="str">
        <x:v>李雪雪</x:v>
      </x:c>
      <x:c r="C1014" s="16" t="n">
        <x:v>46107</x:v>
      </x:c>
      <x:c r="D1014" s="17" t="n">
        <x:v>0</x:v>
      </x:c>
      <x:c r="E1014" s="17" t="n">
        <x:v>0</x:v>
      </x:c>
      <x:c r="F1014" s="18" t="n">
        <x:v>0</x:v>
      </x:c>
    </x:row>
    <x:row r="1015">
      <x:c r="A1015" s="14" t="str">
        <x:v>店长</x:v>
      </x:c>
      <x:c r="B1015" s="15" t="str">
        <x:v>李雪雪</x:v>
      </x:c>
      <x:c r="C1015" s="16" t="n">
        <x:v>46108</x:v>
      </x:c>
      <x:c r="D1015" s="17" t="n">
        <x:v>0</x:v>
      </x:c>
      <x:c r="E1015" s="17" t="n">
        <x:v>0</x:v>
      </x:c>
      <x:c r="F1015" s="18" t="n">
        <x:v>0</x:v>
      </x:c>
    </x:row>
    <x:row r="1016">
      <x:c r="A1016" s="14" t="str">
        <x:v>店长</x:v>
      </x:c>
      <x:c r="B1016" s="15" t="str">
        <x:v>李雪雪</x:v>
      </x:c>
      <x:c r="C1016" s="16" t="n">
        <x:v>46109</x:v>
      </x:c>
      <x:c r="D1016" s="17" t="n">
        <x:v>0</x:v>
      </x:c>
      <x:c r="E1016" s="17" t="n">
        <x:v>0</x:v>
      </x:c>
      <x:c r="F1016" s="18" t="n">
        <x:v>0</x:v>
      </x:c>
    </x:row>
    <x:row r="1017">
      <x:c r="A1017" s="14" t="str">
        <x:v>店长</x:v>
      </x:c>
      <x:c r="B1017" s="15" t="str">
        <x:v>李雪雪</x:v>
      </x:c>
      <x:c r="C1017" s="16" t="n">
        <x:v>46110</x:v>
      </x:c>
      <x:c r="D1017" s="17" t="n">
        <x:v>1</x:v>
      </x:c>
      <x:c r="E1017" s="17" t="n">
        <x:v>60</x:v>
      </x:c>
      <x:c r="F1017" s="18" t="n">
        <x:v>17.88</x:v>
      </x:c>
    </x:row>
    <x:row r="1018">
      <x:c r="A1018" s="14" t="str">
        <x:v>店长</x:v>
      </x:c>
      <x:c r="B1018" s="15" t="str">
        <x:v>李雪雪</x:v>
      </x:c>
      <x:c r="C1018" s="16" t="n">
        <x:v>46111</x:v>
      </x:c>
      <x:c r="D1018" s="17" t="n">
        <x:v>0</x:v>
      </x:c>
      <x:c r="E1018" s="17" t="n">
        <x:v>0</x:v>
      </x:c>
      <x:c r="F1018" s="18" t="n">
        <x:v>0</x:v>
      </x:c>
    </x:row>
    <x:row r="1019">
      <x:c r="A1019" s="14" t="str">
        <x:v>店长</x:v>
      </x:c>
      <x:c r="B1019" s="15" t="str">
        <x:v>李雪雪</x:v>
      </x:c>
      <x:c r="C1019" s="16" t="n">
        <x:v>46112</x:v>
      </x:c>
      <x:c r="D1019" s="17" t="n">
        <x:v>0</x:v>
      </x:c>
      <x:c r="E1019" s="17" t="n">
        <x:v>0</x:v>
      </x:c>
      <x:c r="F1019" s="18" t="n">
        <x:v>0</x:v>
      </x:c>
    </x:row>
    <x:row r="1020">
      <x:c r="A1020" s="14" t="str">
        <x:v>店长</x:v>
      </x:c>
      <x:c r="B1020" s="15" t="str">
        <x:v>李雪雪</x:v>
      </x:c>
      <x:c r="C1020" s="16" t="n">
        <x:v>46113</x:v>
      </x:c>
      <x:c r="D1020" s="17" t="n">
        <x:v>0</x:v>
      </x:c>
      <x:c r="E1020" s="17" t="n">
        <x:v>0</x:v>
      </x:c>
      <x:c r="F1020" s="18" t="n">
        <x:v>0</x:v>
      </x:c>
    </x:row>
    <x:row r="1021">
      <x:c r="A1021" s="14" t="str">
        <x:v>店长</x:v>
      </x:c>
      <x:c r="B1021" s="15" t="str">
        <x:v>李雪雪</x:v>
      </x:c>
      <x:c r="C1021" s="16" t="n">
        <x:v>46114</x:v>
      </x:c>
      <x:c r="D1021" s="17" t="n">
        <x:v>0</x:v>
      </x:c>
      <x:c r="E1021" s="17" t="n">
        <x:v>0</x:v>
      </x:c>
      <x:c r="F1021" s="18" t="n">
        <x:v>0</x:v>
      </x:c>
    </x:row>
    <x:row r="1022">
      <x:c r="A1022" s="14" t="str">
        <x:v>店长</x:v>
      </x:c>
      <x:c r="B1022" s="15" t="str">
        <x:v>李雪雪</x:v>
      </x:c>
      <x:c r="C1022" s="16" t="n">
        <x:v>46115</x:v>
      </x:c>
      <x:c r="D1022" s="17" t="n">
        <x:v>0</x:v>
      </x:c>
      <x:c r="E1022" s="17" t="n">
        <x:v>0</x:v>
      </x:c>
      <x:c r="F1022" s="18" t="n">
        <x:v>0</x:v>
      </x:c>
    </x:row>
    <x:row r="1023">
      <x:c r="A1023" s="14" t="str">
        <x:v>店长</x:v>
      </x:c>
      <x:c r="B1023" s="15" t="str">
        <x:v>李雪雪</x:v>
      </x:c>
      <x:c r="C1023" s="16" t="n">
        <x:v>46116</x:v>
      </x:c>
      <x:c r="D1023" s="17" t="n">
        <x:v>0</x:v>
      </x:c>
      <x:c r="E1023" s="17" t="n">
        <x:v>0</x:v>
      </x:c>
      <x:c r="F1023" s="18" t="n">
        <x:v>0</x:v>
      </x:c>
    </x:row>
    <x:row r="1024">
      <x:c r="A1024" s="14" t="str">
        <x:v>店长</x:v>
      </x:c>
      <x:c r="B1024" s="15" t="str">
        <x:v>李雪雪</x:v>
      </x:c>
      <x:c r="C1024" s="16" t="n">
        <x:v>46117</x:v>
      </x:c>
      <x:c r="D1024" s="17" t="n">
        <x:v>1</x:v>
      </x:c>
      <x:c r="E1024" s="17" t="n">
        <x:v>1</x:v>
      </x:c>
      <x:c r="F1024" s="18" t="n">
        <x:v>11.76</x:v>
      </x:c>
    </x:row>
    <x:row r="1025">
      <x:c r="A1025" s="14" t="str">
        <x:v>店长</x:v>
      </x:c>
      <x:c r="B1025" s="15" t="str">
        <x:v>李雪雪</x:v>
      </x:c>
      <x:c r="C1025" s="16" t="n">
        <x:v>46118</x:v>
      </x:c>
      <x:c r="D1025" s="17" t="n">
        <x:v>0</x:v>
      </x:c>
      <x:c r="E1025" s="17" t="n">
        <x:v>0</x:v>
      </x:c>
      <x:c r="F1025" s="18" t="n">
        <x:v>0</x:v>
      </x:c>
    </x:row>
    <x:row r="1026">
      <x:c r="A1026" s="14" t="str">
        <x:v>店长</x:v>
      </x:c>
      <x:c r="B1026" s="15" t="str">
        <x:v>李雪雪</x:v>
      </x:c>
      <x:c r="C1026" s="16" t="n">
        <x:v>46119</x:v>
      </x:c>
      <x:c r="D1026" s="17" t="n">
        <x:v>1</x:v>
      </x:c>
      <x:c r="E1026" s="17" t="n">
        <x:v>1</x:v>
      </x:c>
      <x:c r="F1026" s="18" t="n">
        <x:v>5.89</x:v>
      </x:c>
    </x:row>
    <x:row r="1027">
      <x:c r="A1027" s="14" t="str">
        <x:v>店长</x:v>
      </x:c>
      <x:c r="B1027" s="15" t="str">
        <x:v>李雪雪</x:v>
      </x:c>
      <x:c r="C1027" s="16" t="n">
        <x:v>46120</x:v>
      </x:c>
      <x:c r="D1027" s="17" t="n">
        <x:v>0</x:v>
      </x:c>
      <x:c r="E1027" s="17" t="n">
        <x:v>0</x:v>
      </x:c>
      <x:c r="F1027" s="18" t="n">
        <x:v>0</x:v>
      </x:c>
    </x:row>
    <x:row r="1028">
      <x:c r="A1028" s="14" t="str">
        <x:v>店长</x:v>
      </x:c>
      <x:c r="B1028" s="15" t="str">
        <x:v>李雪雪</x:v>
      </x:c>
      <x:c r="C1028" s="16" t="n">
        <x:v>46121</x:v>
      </x:c>
      <x:c r="D1028" s="17" t="n">
        <x:v>2</x:v>
      </x:c>
      <x:c r="E1028" s="17" t="n">
        <x:v>2</x:v>
      </x:c>
      <x:c r="F1028" s="18" t="n">
        <x:v>22.23</x:v>
      </x:c>
    </x:row>
    <x:row r="1029">
      <x:c r="A1029" s="14" t="str">
        <x:v>店长</x:v>
      </x:c>
      <x:c r="B1029" s="15" t="str">
        <x:v>李雪雪</x:v>
      </x:c>
      <x:c r="C1029" s="16" t="n">
        <x:v>46122</x:v>
      </x:c>
      <x:c r="D1029" s="17" t="n">
        <x:v>2</x:v>
      </x:c>
      <x:c r="E1029" s="17" t="n">
        <x:v>2</x:v>
      </x:c>
      <x:c r="F1029" s="18" t="n">
        <x:v>16.48</x:v>
      </x:c>
    </x:row>
    <x:row r="1030">
      <x:c r="A1030" s="14" t="str">
        <x:v>店长</x:v>
      </x:c>
      <x:c r="B1030" s="15" t="str">
        <x:v>李雪雪</x:v>
      </x:c>
      <x:c r="C1030" s="16" t="n">
        <x:v>46123</x:v>
      </x:c>
      <x:c r="D1030" s="17" t="n">
        <x:v>2</x:v>
      </x:c>
      <x:c r="E1030" s="17" t="n">
        <x:v>2</x:v>
      </x:c>
      <x:c r="F1030" s="18" t="n">
        <x:v>14.92</x:v>
      </x:c>
    </x:row>
    <x:row r="1031">
      <x:c r="A1031" s="14" t="str">
        <x:v>店长</x:v>
      </x:c>
      <x:c r="B1031" s="15" t="str">
        <x:v>李雪雪</x:v>
      </x:c>
      <x:c r="C1031" s="16" t="n">
        <x:v>46124</x:v>
      </x:c>
      <x:c r="D1031" s="17" t="n">
        <x:v>1</x:v>
      </x:c>
      <x:c r="E1031" s="17" t="n">
        <x:v>1</x:v>
      </x:c>
      <x:c r="F1031" s="18" t="n">
        <x:v>5.89</x:v>
      </x:c>
    </x:row>
    <x:row r="1032">
      <x:c r="A1032" s="14" t="str">
        <x:v>店长</x:v>
      </x:c>
      <x:c r="B1032" s="15" t="str">
        <x:v>李雪雪</x:v>
      </x:c>
      <x:c r="C1032" s="16" t="n">
        <x:v>46125</x:v>
      </x:c>
      <x:c r="D1032" s="17" t="n">
        <x:v>1</x:v>
      </x:c>
      <x:c r="E1032" s="17" t="n">
        <x:v>1</x:v>
      </x:c>
      <x:c r="F1032" s="18" t="n">
        <x:v>18.52</x:v>
      </x:c>
    </x:row>
    <x:row r="1033">
      <x:c r="A1033" s="14" t="str">
        <x:v>店长</x:v>
      </x:c>
      <x:c r="B1033" s="15" t="str">
        <x:v>李雪雪</x:v>
      </x:c>
      <x:c r="C1033" s="16" t="n">
        <x:v>46126</x:v>
      </x:c>
      <x:c r="D1033" s="17" t="n">
        <x:v>1</x:v>
      </x:c>
      <x:c r="E1033" s="17" t="n">
        <x:v>2</x:v>
      </x:c>
      <x:c r="F1033" s="18" t="n">
        <x:v>19.58</x:v>
      </x:c>
    </x:row>
    <x:row r="1034">
      <x:c r="A1034" s="14" t="str">
        <x:v>店长</x:v>
      </x:c>
      <x:c r="B1034" s="15" t="str">
        <x:v>李雪雪</x:v>
      </x:c>
      <x:c r="C1034" s="16" t="n">
        <x:v>46127</x:v>
      </x:c>
      <x:c r="D1034" s="17" t="n">
        <x:v>0</x:v>
      </x:c>
      <x:c r="E1034" s="17" t="n">
        <x:v>0</x:v>
      </x:c>
      <x:c r="F1034" s="18" t="n">
        <x:v>0</x:v>
      </x:c>
    </x:row>
    <x:row r="1035">
      <x:c r="A1035" s="14" t="str">
        <x:v>店长</x:v>
      </x:c>
      <x:c r="B1035" s="15" t="str">
        <x:v>李雪雪</x:v>
      </x:c>
      <x:c r="C1035" s="16" t="n">
        <x:v>46128</x:v>
      </x:c>
      <x:c r="D1035" s="17" t="n">
        <x:v>2</x:v>
      </x:c>
      <x:c r="E1035" s="17" t="n">
        <x:v>2</x:v>
      </x:c>
      <x:c r="F1035" s="18" t="n">
        <x:v>11.79</x:v>
      </x:c>
    </x:row>
    <x:row r="1036">
      <x:c r="A1036" s="14" t="str">
        <x:v>店长</x:v>
      </x:c>
      <x:c r="B1036" s="15" t="str">
        <x:v>李雪雪</x:v>
      </x:c>
      <x:c r="C1036" s="16" t="n">
        <x:v>46129</x:v>
      </x:c>
      <x:c r="D1036" s="17" t="n">
        <x:v>1</x:v>
      </x:c>
      <x:c r="E1036" s="17" t="n">
        <x:v>1</x:v>
      </x:c>
      <x:c r="F1036" s="18" t="n">
        <x:v>5.89</x:v>
      </x:c>
    </x:row>
    <x:row r="1037">
      <x:c r="A1037" s="14" t="str">
        <x:v>店长</x:v>
      </x:c>
      <x:c r="B1037" s="15" t="str">
        <x:v>李雪雪</x:v>
      </x:c>
      <x:c r="C1037" s="16" t="n">
        <x:v>46130</x:v>
      </x:c>
      <x:c r="D1037" s="17" t="n">
        <x:v>0</x:v>
      </x:c>
      <x:c r="E1037" s="17" t="n">
        <x:v>0</x:v>
      </x:c>
      <x:c r="F1037" s="18" t="n">
        <x:v>0</x:v>
      </x:c>
    </x:row>
    <x:row r="1038">
      <x:c r="A1038" s="14" t="str">
        <x:v>店长</x:v>
      </x:c>
      <x:c r="B1038" s="15" t="str">
        <x:v>李雪雪</x:v>
      </x:c>
      <x:c r="C1038" s="16" t="n">
        <x:v>46131</x:v>
      </x:c>
      <x:c r="D1038" s="17" t="n">
        <x:v>1</x:v>
      </x:c>
      <x:c r="E1038" s="17" t="n">
        <x:v>2</x:v>
      </x:c>
      <x:c r="F1038" s="18" t="n">
        <x:v>11.66</x:v>
      </x:c>
    </x:row>
    <x:row r="1039">
      <x:c r="A1039" s="14" t="str">
        <x:v>店长</x:v>
      </x:c>
      <x:c r="B1039" s="15" t="str">
        <x:v>李雪雪</x:v>
      </x:c>
      <x:c r="C1039" s="16" t="n">
        <x:v>46132</x:v>
      </x:c>
      <x:c r="D1039" s="17" t="n">
        <x:v>4</x:v>
      </x:c>
      <x:c r="E1039" s="17" t="n">
        <x:v>6</x:v>
      </x:c>
      <x:c r="F1039" s="18" t="n">
        <x:v>35.17</x:v>
      </x:c>
    </x:row>
    <x:row r="1040">
      <x:c r="A1040" s="14" t="str">
        <x:v>店长</x:v>
      </x:c>
      <x:c r="B1040" s="15" t="str">
        <x:v>李雪雪</x:v>
      </x:c>
      <x:c r="C1040" s="16" t="n">
        <x:v>46133</x:v>
      </x:c>
      <x:c r="D1040" s="17" t="n">
        <x:v>1</x:v>
      </x:c>
      <x:c r="E1040" s="17" t="n">
        <x:v>1</x:v>
      </x:c>
      <x:c r="F1040" s="18" t="n">
        <x:v>12.28</x:v>
      </x:c>
    </x:row>
    <x:row r="1041">
      <x:c r="A1041" s="14" t="str">
        <x:v>店长</x:v>
      </x:c>
      <x:c r="B1041" s="15" t="str">
        <x:v>李雪雪</x:v>
      </x:c>
      <x:c r="C1041" s="16" t="n">
        <x:v>46134</x:v>
      </x:c>
      <x:c r="D1041" s="17" t="n">
        <x:v>1</x:v>
      </x:c>
      <x:c r="E1041" s="17" t="n">
        <x:v>1</x:v>
      </x:c>
      <x:c r="F1041" s="18" t="n">
        <x:v>22.46</x:v>
      </x:c>
    </x:row>
    <x:row r="1042">
      <x:c r="A1042" s="14" t="str">
        <x:v>店长</x:v>
      </x:c>
      <x:c r="B1042" s="15" t="str">
        <x:v>李雪雪</x:v>
      </x:c>
      <x:c r="C1042" s="16" t="n">
        <x:v>46135</x:v>
      </x:c>
      <x:c r="D1042" s="17" t="n">
        <x:v>1</x:v>
      </x:c>
      <x:c r="E1042" s="17" t="n">
        <x:v>1</x:v>
      </x:c>
      <x:c r="F1042" s="18" t="n">
        <x:v>5.89</x:v>
      </x:c>
    </x:row>
    <x:row r="1043">
      <x:c r="A1043" s="14" t="str">
        <x:v>店长</x:v>
      </x:c>
      <x:c r="B1043" s="15" t="str">
        <x:v>李雪雪</x:v>
      </x:c>
      <x:c r="C1043" s="16" t="n">
        <x:v>46136</x:v>
      </x:c>
      <x:c r="D1043" s="17" t="n">
        <x:v>3</x:v>
      </x:c>
      <x:c r="E1043" s="17" t="n">
        <x:v>4</x:v>
      </x:c>
      <x:c r="F1043" s="18" t="n">
        <x:v>34.56</x:v>
      </x:c>
    </x:row>
    <x:row r="1044">
      <x:c r="A1044" s="14" t="str">
        <x:v>店长</x:v>
      </x:c>
      <x:c r="B1044" s="15" t="str">
        <x:v>李雪雪</x:v>
      </x:c>
      <x:c r="C1044" s="16" t="n">
        <x:v>46137</x:v>
      </x:c>
      <x:c r="D1044" s="17" t="n">
        <x:v>2</x:v>
      </x:c>
      <x:c r="E1044" s="17" t="n">
        <x:v>4</x:v>
      </x:c>
      <x:c r="F1044" s="18" t="n">
        <x:v>17.56</x:v>
      </x:c>
    </x:row>
    <x:row r="1045">
      <x:c r="A1045" s="14" t="str">
        <x:v>店长</x:v>
      </x:c>
      <x:c r="B1045" s="15" t="str">
        <x:v>李雪雪</x:v>
      </x:c>
      <x:c r="C1045" s="16" t="n">
        <x:v>46138</x:v>
      </x:c>
      <x:c r="D1045" s="17" t="n">
        <x:v>1</x:v>
      </x:c>
      <x:c r="E1045" s="17" t="n">
        <x:v>2</x:v>
      </x:c>
      <x:c r="F1045" s="18" t="n">
        <x:v>12.28</x:v>
      </x:c>
    </x:row>
    <x:row r="1046">
      <x:c r="A1046" s="14" t="str">
        <x:v>店长</x:v>
      </x:c>
      <x:c r="B1046" s="15" t="str">
        <x:v>李雪雪</x:v>
      </x:c>
      <x:c r="C1046" s="16" t="n">
        <x:v>46139</x:v>
      </x:c>
      <x:c r="D1046" s="17" t="n">
        <x:v>0</x:v>
      </x:c>
      <x:c r="E1046" s="17" t="n">
        <x:v>0</x:v>
      </x:c>
      <x:c r="F1046" s="18" t="n">
        <x:v>0</x:v>
      </x:c>
    </x:row>
    <x:row r="1047">
      <x:c r="A1047" s="14" t="str">
        <x:v>店长</x:v>
      </x:c>
      <x:c r="B1047" s="15" t="str">
        <x:v>李雪雪</x:v>
      </x:c>
      <x:c r="C1047" s="16" t="n">
        <x:v>46140</x:v>
      </x:c>
      <x:c r="D1047" s="17" t="n">
        <x:v>0</x:v>
      </x:c>
      <x:c r="E1047" s="17" t="n">
        <x:v>0</x:v>
      </x:c>
      <x:c r="F1047" s="18" t="n">
        <x:v>0</x:v>
      </x:c>
    </x:row>
    <x:row r="1048">
      <x:c r="A1048" s="14" t="str">
        <x:v>店长</x:v>
      </x:c>
      <x:c r="B1048" s="15" t="str">
        <x:v>李雪雪</x:v>
      </x:c>
      <x:c r="C1048" s="16" t="n">
        <x:v>46141</x:v>
      </x:c>
      <x:c r="D1048" s="17" t="n">
        <x:v>2</x:v>
      </x:c>
      <x:c r="E1048" s="17" t="n">
        <x:v>2</x:v>
      </x:c>
      <x:c r="F1048" s="18" t="n">
        <x:v>29.64</x:v>
      </x:c>
    </x:row>
    <x:row r="1049">
      <x:c r="A1049" s="14" t="str">
        <x:v>店长</x:v>
      </x:c>
      <x:c r="B1049" s="15" t="str">
        <x:v>李雪雪</x:v>
      </x:c>
      <x:c r="C1049" s="16" t="n">
        <x:v>46142</x:v>
      </x:c>
      <x:c r="D1049" s="17" t="n">
        <x:v>0</x:v>
      </x:c>
      <x:c r="E1049" s="17" t="n">
        <x:v>0</x:v>
      </x:c>
      <x:c r="F1049" s="18" t="n">
        <x:v>0</x:v>
      </x:c>
    </x:row>
    <x:row r="1050">
      <x:c r="A1050" s="14" t="str">
        <x:v>店长</x:v>
      </x:c>
      <x:c r="B1050" s="15" t="str">
        <x:v>李雪雪</x:v>
      </x:c>
      <x:c r="C1050" s="16" t="n">
        <x:v>46143</x:v>
      </x:c>
      <x:c r="D1050" s="17" t="n">
        <x:v>2</x:v>
      </x:c>
      <x:c r="E1050" s="17" t="n">
        <x:v>3</x:v>
      </x:c>
      <x:c r="F1050" s="18" t="n">
        <x:v>39.06</x:v>
      </x:c>
    </x:row>
    <x:row r="1051">
      <x:c r="A1051" s="14" t="str">
        <x:v>店长</x:v>
      </x:c>
      <x:c r="B1051" s="15" t="str">
        <x:v>李雪雪</x:v>
      </x:c>
      <x:c r="C1051" s="16" t="n">
        <x:v>46144</x:v>
      </x:c>
      <x:c r="D1051" s="17" t="n">
        <x:v>5</x:v>
      </x:c>
      <x:c r="E1051" s="17" t="n">
        <x:v>7</x:v>
      </x:c>
      <x:c r="F1051" s="18" t="n">
        <x:v>61.29</x:v>
      </x:c>
    </x:row>
    <x:row r="1052">
      <x:c r="A1052" s="14" t="str">
        <x:v>店长</x:v>
      </x:c>
      <x:c r="B1052" s="15" t="str">
        <x:v>李雪雪</x:v>
      </x:c>
      <x:c r="C1052" s="16" t="n">
        <x:v>46145</x:v>
      </x:c>
      <x:c r="D1052" s="17" t="n">
        <x:v>2</x:v>
      </x:c>
      <x:c r="E1052" s="17" t="n">
        <x:v>5</x:v>
      </x:c>
      <x:c r="F1052" s="18" t="n">
        <x:v>29.36</x:v>
      </x:c>
    </x:row>
    <x:row r="1053">
      <x:c r="A1053" s="14" t="str">
        <x:v>店长</x:v>
      </x:c>
      <x:c r="B1053" s="15" t="str">
        <x:v>李雪雪</x:v>
      </x:c>
      <x:c r="C1053" s="16" t="n">
        <x:v>46146</x:v>
      </x:c>
      <x:c r="D1053" s="17" t="n">
        <x:v>2</x:v>
      </x:c>
      <x:c r="E1053" s="17" t="n">
        <x:v>2</x:v>
      </x:c>
      <x:c r="F1053" s="18" t="n">
        <x:v>18.16</x:v>
      </x:c>
    </x:row>
    <x:row r="1054">
      <x:c r="A1054" s="14" t="str">
        <x:v>店长</x:v>
      </x:c>
      <x:c r="B1054" s="15" t="str">
        <x:v>李雪雪</x:v>
      </x:c>
      <x:c r="C1054" s="16" t="n">
        <x:v>46147</x:v>
      </x:c>
      <x:c r="D1054" s="17" t="n">
        <x:v>1</x:v>
      </x:c>
      <x:c r="E1054" s="17" t="n">
        <x:v>2</x:v>
      </x:c>
      <x:c r="F1054" s="18" t="n">
        <x:v>12.24</x:v>
      </x:c>
    </x:row>
    <x:row r="1055">
      <x:c r="A1055" s="14" t="str">
        <x:v>店长</x:v>
      </x:c>
      <x:c r="B1055" s="15" t="str">
        <x:v>李雪雪</x:v>
      </x:c>
      <x:c r="C1055" s="16" t="n">
        <x:v>46148</x:v>
      </x:c>
      <x:c r="D1055" s="17" t="n">
        <x:v>2</x:v>
      </x:c>
      <x:c r="E1055" s="17" t="n">
        <x:v>2</x:v>
      </x:c>
      <x:c r="F1055" s="18" t="n">
        <x:v>36.3</x:v>
      </x:c>
    </x:row>
    <x:row r="1056">
      <x:c r="A1056" s="14" t="str">
        <x:v>店长</x:v>
      </x:c>
      <x:c r="B1056" s="15" t="str">
        <x:v>李雪雪</x:v>
      </x:c>
      <x:c r="C1056" s="16" t="n">
        <x:v>46149</x:v>
      </x:c>
      <x:c r="D1056" s="17" t="n">
        <x:v>1</x:v>
      </x:c>
      <x:c r="E1056" s="17" t="n">
        <x:v>1</x:v>
      </x:c>
      <x:c r="F1056" s="18" t="n">
        <x:v>6.02</x:v>
      </x:c>
    </x:row>
    <x:row r="1057">
      <x:c r="A1057" s="14" t="str">
        <x:v>店长</x:v>
      </x:c>
      <x:c r="B1057" s="15" t="str">
        <x:v>李雪雪</x:v>
      </x:c>
      <x:c r="C1057" s="16" t="n">
        <x:v>46150</x:v>
      </x:c>
      <x:c r="D1057" s="17" t="n">
        <x:v>3</x:v>
      </x:c>
      <x:c r="E1057" s="17" t="n">
        <x:v>3</x:v>
      </x:c>
      <x:c r="F1057" s="18" t="n">
        <x:v>69.21</x:v>
      </x:c>
    </x:row>
    <x:row r="1058">
      <x:c r="A1058" s="14" t="str">
        <x:v>店长</x:v>
      </x:c>
      <x:c r="B1058" s="15" t="str">
        <x:v>李雪雪</x:v>
      </x:c>
      <x:c r="C1058" s="16" t="n">
        <x:v>46151</x:v>
      </x:c>
      <x:c r="D1058" s="17" t="n">
        <x:v>2</x:v>
      </x:c>
      <x:c r="E1058" s="17" t="n">
        <x:v>2</x:v>
      </x:c>
      <x:c r="F1058" s="18" t="n">
        <x:v>34.5</x:v>
      </x:c>
    </x:row>
    <x:row r="1059">
      <x:c r="A1059" s="14" t="str">
        <x:v>店长</x:v>
      </x:c>
      <x:c r="B1059" s="15" t="str">
        <x:v>李雪雪</x:v>
      </x:c>
      <x:c r="C1059" s="16" t="n">
        <x:v>46152</x:v>
      </x:c>
      <x:c r="D1059" s="17" t="n">
        <x:v>9</x:v>
      </x:c>
      <x:c r="E1059" s="17" t="n">
        <x:v>10</x:v>
      </x:c>
      <x:c r="F1059" s="18" t="n">
        <x:v>95.68</x:v>
      </x:c>
    </x:row>
    <x:row r="1060">
      <x:c r="A1060" s="14" t="str">
        <x:v>店长</x:v>
      </x:c>
      <x:c r="B1060" s="15" t="str">
        <x:v>李雪雪</x:v>
      </x:c>
      <x:c r="C1060" s="16" t="n">
        <x:v>46153</x:v>
      </x:c>
      <x:c r="D1060" s="17" t="n">
        <x:v>32</x:v>
      </x:c>
      <x:c r="E1060" s="17" t="n">
        <x:v>33</x:v>
      </x:c>
      <x:c r="F1060" s="18" t="n">
        <x:v>213.48</x:v>
      </x:c>
    </x:row>
    <x:row r="1061">
      <x:c r="A1061" s="14" t="str">
        <x:v>店长</x:v>
      </x:c>
      <x:c r="B1061" s="15" t="str">
        <x:v>李雪雪</x:v>
      </x:c>
      <x:c r="C1061" s="16" t="n">
        <x:v>46154</x:v>
      </x:c>
      <x:c r="D1061" s="17" t="n">
        <x:v>30</x:v>
      </x:c>
      <x:c r="E1061" s="17" t="n">
        <x:v>34</x:v>
      </x:c>
      <x:c r="F1061" s="18" t="n">
        <x:v>251.6</x:v>
      </x:c>
    </x:row>
    <x:row r="1062">
      <x:c r="A1062" s="14" t="str">
        <x:v>店长</x:v>
      </x:c>
      <x:c r="B1062" s="15" t="str">
        <x:v>李雪雪</x:v>
      </x:c>
      <x:c r="C1062" s="16" t="n">
        <x:v>46155</x:v>
      </x:c>
      <x:c r="D1062" s="17" t="n">
        <x:v>22</x:v>
      </x:c>
      <x:c r="E1062" s="17" t="n">
        <x:v>24</x:v>
      </x:c>
      <x:c r="F1062" s="18" t="n">
        <x:v>177.6</x:v>
      </x:c>
    </x:row>
    <x:row r="1063">
      <x:c r="A1063" s="14" t="str">
        <x:v>店长</x:v>
      </x:c>
      <x:c r="B1063" s="15" t="str">
        <x:v>李雪雪</x:v>
      </x:c>
      <x:c r="C1063" s="16" t="n">
        <x:v>46156</x:v>
      </x:c>
      <x:c r="D1063" s="17" t="n">
        <x:v>6</x:v>
      </x:c>
      <x:c r="E1063" s="17" t="n">
        <x:v>6</x:v>
      </x:c>
      <x:c r="F1063" s="18" t="n">
        <x:v>44.4</x:v>
      </x:c>
    </x:row>
    <x:row r="1064">
      <x:c r="A1064" s="14" t="str">
        <x:v>店长</x:v>
      </x:c>
      <x:c r="B1064" s="15" t="str">
        <x:v>李雪雪</x:v>
      </x:c>
      <x:c r="C1064" s="16" t="n">
        <x:v>46157</x:v>
      </x:c>
      <x:c r="D1064" s="17" t="n">
        <x:v>5</x:v>
      </x:c>
      <x:c r="E1064" s="17" t="n">
        <x:v>5</x:v>
      </x:c>
      <x:c r="F1064" s="18" t="n">
        <x:v>38.17</x:v>
      </x:c>
    </x:row>
    <x:row r="1065">
      <x:c r="A1065" s="14" t="str">
        <x:v>店长</x:v>
      </x:c>
      <x:c r="B1065" s="15" t="str">
        <x:v>李雪雪</x:v>
      </x:c>
      <x:c r="C1065" s="16" t="n">
        <x:v>46158</x:v>
      </x:c>
      <x:c r="D1065" s="17" t="n">
        <x:v>6</x:v>
      </x:c>
      <x:c r="E1065" s="17" t="n">
        <x:v>7</x:v>
      </x:c>
      <x:c r="F1065" s="18" t="n">
        <x:v>58.26</x:v>
      </x:c>
    </x:row>
    <x:row r="1066">
      <x:c r="A1066" s="14" t="str">
        <x:v>店长</x:v>
      </x:c>
      <x:c r="B1066" s="15" t="str">
        <x:v>李雪雪</x:v>
      </x:c>
      <x:c r="C1066" s="16" t="n">
        <x:v>46159</x:v>
      </x:c>
      <x:c r="D1066" s="17" t="n">
        <x:v>9</x:v>
      </x:c>
      <x:c r="E1066" s="17" t="n">
        <x:v>9</x:v>
      </x:c>
      <x:c r="F1066" s="18" t="n">
        <x:v>66.6</x:v>
      </x:c>
    </x:row>
    <x:row r="1067">
      <x:c r="A1067" s="14" t="str">
        <x:v>店长</x:v>
      </x:c>
      <x:c r="B1067" s="15" t="str">
        <x:v>李雪雪</x:v>
      </x:c>
      <x:c r="C1067" s="16" t="n">
        <x:v>46160</x:v>
      </x:c>
      <x:c r="D1067" s="17" t="n">
        <x:v>0</x:v>
      </x:c>
      <x:c r="E1067" s="17" t="n">
        <x:v>0</x:v>
      </x:c>
      <x:c r="F1067" s="18" t="n">
        <x:v>0</x:v>
      </x:c>
    </x:row>
    <x:row r="1068">
      <x:c r="A1068" s="14" t="str">
        <x:v>店长</x:v>
      </x:c>
      <x:c r="B1068" s="15" t="str">
        <x:v>李雪雪</x:v>
      </x:c>
      <x:c r="C1068" s="16" t="n">
        <x:v>46161</x:v>
      </x:c>
      <x:c r="D1068" s="17" t="n">
        <x:v>2</x:v>
      </x:c>
      <x:c r="E1068" s="17" t="n">
        <x:v>2</x:v>
      </x:c>
      <x:c r="F1068" s="18" t="n">
        <x:v>14.8</x:v>
      </x:c>
    </x:row>
    <x:row r="1069">
      <x:c r="A1069" s="14" t="str">
        <x:v>店长</x:v>
      </x:c>
      <x:c r="B1069" s="15" t="str">
        <x:v>李雪雪</x:v>
      </x:c>
      <x:c r="C1069" s="16" t="n">
        <x:v>46162</x:v>
      </x:c>
      <x:c r="D1069" s="17" t="n">
        <x:v>0</x:v>
      </x:c>
      <x:c r="E1069" s="17" t="n">
        <x:v>0</x:v>
      </x:c>
      <x:c r="F1069" s="18" t="n">
        <x:v>0</x:v>
      </x:c>
    </x:row>
    <x:row r="1070">
      <x:c r="A1070" s="14" t="str">
        <x:v>店长</x:v>
      </x:c>
      <x:c r="B1070" s="15" t="str">
        <x:v>李雪雪</x:v>
      </x:c>
      <x:c r="C1070" s="16" t="n">
        <x:v>46163</x:v>
      </x:c>
      <x:c r="D1070" s="17" t="n">
        <x:v>0</x:v>
      </x:c>
      <x:c r="E1070" s="17" t="n">
        <x:v>0</x:v>
      </x:c>
      <x:c r="F1070" s="18" t="n">
        <x:v>0</x:v>
      </x:c>
    </x:row>
    <x:row r="1071">
      <x:c r="A1071" s="14" t="str">
        <x:v>店长</x:v>
      </x:c>
      <x:c r="B1071" s="15" t="str">
        <x:v>李雪雪</x:v>
      </x:c>
      <x:c r="C1071" s="16" t="n">
        <x:v>46164</x:v>
      </x:c>
      <x:c r="D1071" s="17" t="n">
        <x:v>0</x:v>
      </x:c>
      <x:c r="E1071" s="17" t="n">
        <x:v>0</x:v>
      </x:c>
      <x:c r="F1071" s="18" t="n">
        <x:v>0</x:v>
      </x:c>
    </x:row>
    <x:row r="1072">
      <x:c r="A1072" s="14" t="str">
        <x:v>店长</x:v>
      </x:c>
      <x:c r="B1072" s="15" t="str">
        <x:v>李雪雪</x:v>
      </x:c>
      <x:c r="C1072" s="16" t="n">
        <x:v>46165</x:v>
      </x:c>
      <x:c r="D1072" s="17" t="n">
        <x:v>2</x:v>
      </x:c>
      <x:c r="E1072" s="17" t="n">
        <x:v>3</x:v>
      </x:c>
      <x:c r="F1072" s="18" t="n">
        <x:v>20.82</x:v>
      </x:c>
    </x:row>
    <x:row r="1073">
      <x:c r="A1073" s="14" t="str">
        <x:v>店长</x:v>
      </x:c>
      <x:c r="B1073" s="15" t="str">
        <x:v>李雪雪</x:v>
      </x:c>
      <x:c r="C1073" s="16" t="n">
        <x:v>46166</x:v>
      </x:c>
      <x:c r="D1073" s="17" t="n">
        <x:v>1</x:v>
      </x:c>
      <x:c r="E1073" s="17" t="n">
        <x:v>1</x:v>
      </x:c>
      <x:c r="F1073" s="18" t="n">
        <x:v>24.3</x:v>
      </x:c>
    </x:row>
    <x:row r="1074">
      <x:c r="A1074" s="14" t="str">
        <x:v>店长</x:v>
      </x:c>
      <x:c r="B1074" s="15" t="str">
        <x:v>李雪雪</x:v>
      </x:c>
      <x:c r="C1074" s="16" t="n">
        <x:v>46167</x:v>
      </x:c>
      <x:c r="D1074" s="17" t="n">
        <x:v>1</x:v>
      </x:c>
      <x:c r="E1074" s="17" t="n">
        <x:v>2</x:v>
      </x:c>
      <x:c r="F1074" s="18" t="n">
        <x:v>16.97</x:v>
      </x:c>
    </x:row>
    <x:row r="1075">
      <x:c r="A1075" s="14" t="str">
        <x:v>店长</x:v>
      </x:c>
      <x:c r="B1075" s="15" t="str">
        <x:v>李雪雪</x:v>
      </x:c>
      <x:c r="C1075" s="16" t="n">
        <x:v>46168</x:v>
      </x:c>
      <x:c r="D1075" s="17" t="n">
        <x:v>1</x:v>
      </x:c>
      <x:c r="E1075" s="17" t="n">
        <x:v>1</x:v>
      </x:c>
      <x:c r="F1075" s="18" t="n">
        <x:v>24.26</x:v>
      </x:c>
    </x:row>
    <x:row r="1076">
      <x:c r="A1076" s="14" t="str">
        <x:v>店长</x:v>
      </x:c>
      <x:c r="B1076" s="15" t="str">
        <x:v>李雪雪</x:v>
      </x:c>
      <x:c r="C1076" s="16" t="n">
        <x:v>46169</x:v>
      </x:c>
      <x:c r="D1076" s="17" t="n">
        <x:v>1</x:v>
      </x:c>
      <x:c r="E1076" s="17" t="n">
        <x:v>2</x:v>
      </x:c>
      <x:c r="F1076" s="18" t="n">
        <x:v>23.82</x:v>
      </x:c>
    </x:row>
    <x:row r="1077">
      <x:c r="A1077" s="14" t="str">
        <x:v>店长</x:v>
      </x:c>
      <x:c r="B1077" s="15" t="str">
        <x:v>李雪雪</x:v>
      </x:c>
      <x:c r="C1077" s="16" t="n">
        <x:v>46170</x:v>
      </x:c>
      <x:c r="D1077" s="17" t="n">
        <x:v>5</x:v>
      </x:c>
      <x:c r="E1077" s="17" t="n">
        <x:v>6</x:v>
      </x:c>
      <x:c r="F1077" s="18" t="n">
        <x:v>90.91</x:v>
      </x:c>
    </x:row>
    <x:row r="1078">
      <x:c r="A1078" s="14" t="str">
        <x:v>店长</x:v>
      </x:c>
      <x:c r="B1078" s="15" t="str">
        <x:v>李雪雪</x:v>
      </x:c>
      <x:c r="C1078" s="16" t="n">
        <x:v>46171</x:v>
      </x:c>
      <x:c r="D1078" s="17" t="n">
        <x:v>0</x:v>
      </x:c>
      <x:c r="E1078" s="17" t="n">
        <x:v>0</x:v>
      </x:c>
      <x:c r="F1078" s="18" t="n">
        <x:v>0</x:v>
      </x:c>
    </x:row>
    <x:row r="1079">
      <x:c r="A1079" s="14" t="str">
        <x:v>店长</x:v>
      </x:c>
      <x:c r="B1079" s="15" t="str">
        <x:v>李雪雪</x:v>
      </x:c>
      <x:c r="C1079" s="16" t="n">
        <x:v>46172</x:v>
      </x:c>
      <x:c r="D1079" s="17" t="n">
        <x:v>1</x:v>
      </x:c>
      <x:c r="E1079" s="17" t="n">
        <x:v>2</x:v>
      </x:c>
      <x:c r="F1079" s="18" t="n">
        <x:v>13.13</x:v>
      </x:c>
    </x:row>
    <x:row r="1080">
      <x:c r="A1080" s="14" t="str">
        <x:v>店长</x:v>
      </x:c>
      <x:c r="B1080" s="15" t="str">
        <x:v>李雪雪</x:v>
      </x:c>
      <x:c r="C1080" s="16" t="n">
        <x:v>46173</x:v>
      </x:c>
      <x:c r="D1080" s="17" t="n">
        <x:v>3</x:v>
      </x:c>
      <x:c r="E1080" s="17" t="n">
        <x:v>4</x:v>
      </x:c>
      <x:c r="F1080" s="18" t="n">
        <x:v>37.25</x:v>
      </x:c>
    </x:row>
    <x:row r="1081">
      <x:c r="A1081" s="14" t="str">
        <x:v>店长</x:v>
      </x:c>
      <x:c r="B1081" s="15" t="str">
        <x:v>李雪雪</x:v>
      </x:c>
      <x:c r="C1081" s="16" t="n">
        <x:v>46174</x:v>
      </x:c>
      <x:c r="D1081" s="17" t="n">
        <x:v>3</x:v>
      </x:c>
      <x:c r="E1081" s="17" t="n">
        <x:v>10</x:v>
      </x:c>
      <x:c r="F1081" s="18" t="n">
        <x:v>73.84</x:v>
      </x:c>
    </x:row>
    <x:row r="1082">
      <x:c r="A1082" s="14" t="str">
        <x:v>店长</x:v>
      </x:c>
      <x:c r="B1082" s="15" t="str">
        <x:v>李雪雪</x:v>
      </x:c>
      <x:c r="C1082" s="16" t="n">
        <x:v>46175</x:v>
      </x:c>
      <x:c r="D1082" s="17" t="n">
        <x:v>3</x:v>
      </x:c>
      <x:c r="E1082" s="17" t="n">
        <x:v>4</x:v>
      </x:c>
      <x:c r="F1082" s="18" t="n">
        <x:v>27.93</x:v>
      </x:c>
    </x:row>
    <x:row r="1083">
      <x:c r="A1083" s="14" t="str">
        <x:v>店长</x:v>
      </x:c>
      <x:c r="B1083" s="15" t="str">
        <x:v>李雪雪</x:v>
      </x:c>
      <x:c r="C1083" s="16" t="n">
        <x:v>46176</x:v>
      </x:c>
      <x:c r="D1083" s="17" t="n">
        <x:v>4</x:v>
      </x:c>
      <x:c r="E1083" s="17" t="n">
        <x:v>4</x:v>
      </x:c>
      <x:c r="F1083" s="18" t="n">
        <x:v>29.6</x:v>
      </x:c>
    </x:row>
    <x:row r="1084">
      <x:c r="A1084" s="14" t="str">
        <x:v>店长</x:v>
      </x:c>
      <x:c r="B1084" s="15" t="str">
        <x:v>李雪雪</x:v>
      </x:c>
      <x:c r="C1084" s="16" t="n">
        <x:v>46177</x:v>
      </x:c>
      <x:c r="D1084" s="17" t="n">
        <x:v>2</x:v>
      </x:c>
      <x:c r="E1084" s="17" t="n">
        <x:v>2</x:v>
      </x:c>
      <x:c r="F1084" s="18" t="n">
        <x:v>14.8</x:v>
      </x:c>
    </x:row>
    <x:row r="1085">
      <x:c r="A1085" s="14" t="str">
        <x:v>店长</x:v>
      </x:c>
      <x:c r="B1085" s="15" t="str">
        <x:v>李雪雪</x:v>
      </x:c>
      <x:c r="C1085" s="16" t="n">
        <x:v>46178</x:v>
      </x:c>
      <x:c r="D1085" s="17" t="n">
        <x:v>3</x:v>
      </x:c>
      <x:c r="E1085" s="17" t="n">
        <x:v>3</x:v>
      </x:c>
      <x:c r="F1085" s="18" t="n">
        <x:v>23.46</x:v>
      </x:c>
    </x:row>
    <x:row r="1086">
      <x:c r="A1086" s="14" t="str">
        <x:v>店长</x:v>
      </x:c>
      <x:c r="B1086" s="15" t="str">
        <x:v>李雪雪</x:v>
      </x:c>
      <x:c r="C1086" s="16" t="n">
        <x:v>46179</x:v>
      </x:c>
      <x:c r="D1086" s="17" t="n">
        <x:v>2</x:v>
      </x:c>
      <x:c r="E1086" s="17" t="n">
        <x:v>2</x:v>
      </x:c>
      <x:c r="F1086" s="18" t="n">
        <x:v>18.43</x:v>
      </x:c>
    </x:row>
    <x:row r="1087">
      <x:c r="A1087" s="14" t="str">
        <x:v>店长</x:v>
      </x:c>
      <x:c r="B1087" s="15" t="str">
        <x:v>李雪雪</x:v>
      </x:c>
      <x:c r="C1087" s="16" t="n">
        <x:v>46180</x:v>
      </x:c>
      <x:c r="D1087" s="17" t="n">
        <x:v>2</x:v>
      </x:c>
      <x:c r="E1087" s="17" t="n">
        <x:v>3</x:v>
      </x:c>
      <x:c r="F1087" s="18" t="n">
        <x:v>20.53</x:v>
      </x:c>
    </x:row>
    <x:row r="1088">
      <x:c r="A1088" s="14" t="str">
        <x:v>店长</x:v>
      </x:c>
      <x:c r="B1088" s="15" t="str">
        <x:v>李雪雪</x:v>
      </x:c>
      <x:c r="C1088" s="16" t="n">
        <x:v>46181</x:v>
      </x:c>
      <x:c r="D1088" s="17" t="n">
        <x:v>4</x:v>
      </x:c>
      <x:c r="E1088" s="17" t="n">
        <x:v>6</x:v>
      </x:c>
      <x:c r="F1088" s="18" t="n">
        <x:v>48.05</x:v>
      </x:c>
    </x:row>
    <x:row r="1089">
      <x:c r="A1089" s="14" t="str">
        <x:v>店长</x:v>
      </x:c>
      <x:c r="B1089" s="15" t="str">
        <x:v>李雪雪</x:v>
      </x:c>
      <x:c r="C1089" s="16" t="n">
        <x:v>46182</x:v>
      </x:c>
      <x:c r="D1089" s="17" t="n">
        <x:v>3</x:v>
      </x:c>
      <x:c r="E1089" s="17" t="n">
        <x:v>5</x:v>
      </x:c>
      <x:c r="F1089" s="18" t="n">
        <x:v>29.47</x:v>
      </x:c>
    </x:row>
    <x:row r="1090">
      <x:c r="A1090" s="14" t="str">
        <x:v>店长</x:v>
      </x:c>
      <x:c r="B1090" s="15" t="str">
        <x:v>李雪雪</x:v>
      </x:c>
      <x:c r="C1090" s="16" t="n">
        <x:v>46183</x:v>
      </x:c>
      <x:c r="D1090" s="17" t="n">
        <x:v>2</x:v>
      </x:c>
      <x:c r="E1090" s="17" t="n">
        <x:v>4</x:v>
      </x:c>
      <x:c r="F1090" s="18" t="n">
        <x:v>27.72</x:v>
      </x:c>
    </x:row>
    <x:row r="1091">
      <x:c r="A1091" s="14" t="str">
        <x:v>店长</x:v>
      </x:c>
      <x:c r="B1091" s="15" t="str">
        <x:v>李雪雪</x:v>
      </x:c>
      <x:c r="C1091" s="16" t="n">
        <x:v>46184</x:v>
      </x:c>
      <x:c r="D1091" s="17" t="n">
        <x:v>3</x:v>
      </x:c>
      <x:c r="E1091" s="17" t="n">
        <x:v>4</x:v>
      </x:c>
      <x:c r="F1091" s="18" t="n">
        <x:v>28.77</x:v>
      </x:c>
    </x:row>
    <x:row r="1092">
      <x:c r="A1092" s="14" t="str">
        <x:v>店长</x:v>
      </x:c>
      <x:c r="B1092" s="15" t="str">
        <x:v>李雪雪</x:v>
      </x:c>
      <x:c r="C1092" s="16" t="n">
        <x:v>46185</x:v>
      </x:c>
      <x:c r="D1092" s="17" t="n">
        <x:v>6</x:v>
      </x:c>
      <x:c r="E1092" s="17" t="n">
        <x:v>6</x:v>
      </x:c>
      <x:c r="F1092" s="18" t="n">
        <x:v>48.14</x:v>
      </x:c>
    </x:row>
    <x:row r="1093">
      <x:c r="A1093" s="14" t="str">
        <x:v>店长</x:v>
      </x:c>
      <x:c r="B1093" s="15" t="str">
        <x:v>李雪雪</x:v>
      </x:c>
      <x:c r="C1093" s="16" t="n">
        <x:v>46186</x:v>
      </x:c>
      <x:c r="D1093" s="17" t="n">
        <x:v>8</x:v>
      </x:c>
      <x:c r="E1093" s="17" t="n">
        <x:v>8</x:v>
      </x:c>
      <x:c r="F1093" s="18" t="n">
        <x:v>60.6</x:v>
      </x:c>
    </x:row>
    <x:row r="1094">
      <x:c r="A1094" s="14" t="str">
        <x:v>店长</x:v>
      </x:c>
      <x:c r="B1094" s="15" t="str">
        <x:v>李雪雪</x:v>
      </x:c>
      <x:c r="C1094" s="16" t="n">
        <x:v>46187</x:v>
      </x:c>
      <x:c r="D1094" s="17" t="n">
        <x:v>12</x:v>
      </x:c>
      <x:c r="E1094" s="17" t="n">
        <x:v>13</x:v>
      </x:c>
      <x:c r="F1094" s="18" t="n">
        <x:v>96.2</x:v>
      </x:c>
    </x:row>
    <x:row r="1095">
      <x:c r="A1095" s="14" t="str">
        <x:v>店长</x:v>
      </x:c>
      <x:c r="B1095" s="15" t="str">
        <x:v>李雪雪</x:v>
      </x:c>
      <x:c r="C1095" s="16" t="n">
        <x:v>46188</x:v>
      </x:c>
      <x:c r="D1095" s="17" t="n">
        <x:v>6</x:v>
      </x:c>
      <x:c r="E1095" s="17" t="n">
        <x:v>6</x:v>
      </x:c>
      <x:c r="F1095" s="18" t="n">
        <x:v>48.41</x:v>
      </x:c>
    </x:row>
    <x:row r="1096">
      <x:c r="A1096" s="14" t="str">
        <x:v>店长</x:v>
      </x:c>
      <x:c r="B1096" s="15" t="str">
        <x:v>李雪雪</x:v>
      </x:c>
      <x:c r="C1096" s="16" t="n">
        <x:v>46189</x:v>
      </x:c>
      <x:c r="D1096" s="17" t="n">
        <x:v>7</x:v>
      </x:c>
      <x:c r="E1096" s="17" t="n">
        <x:v>7</x:v>
      </x:c>
      <x:c r="F1096" s="18" t="n">
        <x:v>51.8</x:v>
      </x:c>
    </x:row>
    <x:row r="1097">
      <x:c r="A1097" s="14" t="str">
        <x:v>店长</x:v>
      </x:c>
      <x:c r="B1097" s="15" t="str">
        <x:v>李雪雪</x:v>
      </x:c>
      <x:c r="C1097" s="16" t="n">
        <x:v>46190</x:v>
      </x:c>
      <x:c r="D1097" s="17" t="n">
        <x:v>10</x:v>
      </x:c>
      <x:c r="E1097" s="17" t="n">
        <x:v>11</x:v>
      </x:c>
      <x:c r="F1097" s="18" t="n">
        <x:v>92.48</x:v>
      </x:c>
    </x:row>
    <x:row r="1098">
      <x:c r="A1098" s="14" t="str">
        <x:v>店长</x:v>
      </x:c>
      <x:c r="B1098" s="15" t="str">
        <x:v>李雪雪</x:v>
      </x:c>
      <x:c r="C1098" s="16" t="n">
        <x:v>46191</x:v>
      </x:c>
      <x:c r="D1098" s="17" t="n">
        <x:v>6</x:v>
      </x:c>
      <x:c r="E1098" s="17" t="n">
        <x:v>7</x:v>
      </x:c>
      <x:c r="F1098" s="18" t="n">
        <x:v>60.98</x:v>
      </x:c>
    </x:row>
    <x:row r="1099">
      <x:c r="A1099" s="14" t="str">
        <x:v>店长</x:v>
      </x:c>
      <x:c r="B1099" s="15" t="str">
        <x:v>李雪雪</x:v>
      </x:c>
      <x:c r="C1099" s="16" t="n">
        <x:v>46192</x:v>
      </x:c>
      <x:c r="D1099" s="17" t="n">
        <x:v>13</x:v>
      </x:c>
      <x:c r="E1099" s="17" t="n">
        <x:v>13</x:v>
      </x:c>
      <x:c r="F1099" s="18" t="n">
        <x:v>100.98</x:v>
      </x:c>
    </x:row>
    <x:row r="1100">
      <x:c r="A1100" s="14" t="str">
        <x:v>店长</x:v>
      </x:c>
      <x:c r="B1100" s="15" t="str">
        <x:v>李雪雪</x:v>
      </x:c>
      <x:c r="C1100" s="16" t="n">
        <x:v>46193</x:v>
      </x:c>
      <x:c r="D1100" s="17" t="n">
        <x:v>14</x:v>
      </x:c>
      <x:c r="E1100" s="17" t="n">
        <x:v>21</x:v>
      </x:c>
      <x:c r="F1100" s="18" t="n">
        <x:v>166.89</x:v>
      </x:c>
    </x:row>
    <x:row r="1101">
      <x:c r="A1101" s="14" t="str">
        <x:v>店长</x:v>
      </x:c>
      <x:c r="B1101" s="15" t="str">
        <x:v>李雪雪</x:v>
      </x:c>
      <x:c r="C1101" s="16" t="n">
        <x:v>46194</x:v>
      </x:c>
      <x:c r="D1101" s="17" t="n">
        <x:v>15</x:v>
      </x:c>
      <x:c r="E1101" s="17" t="n">
        <x:v>17</x:v>
      </x:c>
      <x:c r="F1101" s="18" t="n">
        <x:v>118.01</x:v>
      </x:c>
    </x:row>
    <x:row r="1102">
      <x:c r="A1102" s="14" t="str">
        <x:v>店长</x:v>
      </x:c>
      <x:c r="B1102" s="15" t="str">
        <x:v>李雪雪</x:v>
      </x:c>
      <x:c r="C1102" s="16" t="n">
        <x:v>46195</x:v>
      </x:c>
      <x:c r="D1102" s="17" t="n">
        <x:v>11</x:v>
      </x:c>
      <x:c r="E1102" s="17" t="n">
        <x:v>12</x:v>
      </x:c>
      <x:c r="F1102" s="18" t="n">
        <x:v>92.43</x:v>
      </x:c>
    </x:row>
    <x:row r="1103">
      <x:c r="A1103" s="14" t="str">
        <x:v>店长</x:v>
      </x:c>
      <x:c r="B1103" s="15" t="str">
        <x:v>李雪雪</x:v>
      </x:c>
      <x:c r="C1103" s="16" t="n">
        <x:v>46196</x:v>
      </x:c>
      <x:c r="D1103" s="17" t="n">
        <x:v>25</x:v>
      </x:c>
      <x:c r="E1103" s="17" t="n">
        <x:v>29</x:v>
      </x:c>
      <x:c r="F1103" s="18" t="n">
        <x:v>209.17</x:v>
      </x:c>
    </x:row>
    <x:row r="1104">
      <x:c r="A1104" s="14" t="str">
        <x:v>店长</x:v>
      </x:c>
      <x:c r="B1104" s="15" t="str">
        <x:v>李雪雪</x:v>
      </x:c>
      <x:c r="C1104" s="16" t="n">
        <x:v>46197</x:v>
      </x:c>
      <x:c r="D1104" s="17" t="n">
        <x:v>4</x:v>
      </x:c>
      <x:c r="E1104" s="17" t="n">
        <x:v>5</x:v>
      </x:c>
      <x:c r="F1104" s="18" t="n">
        <x:v>35.26</x:v>
      </x:c>
    </x:row>
    <x:row r="1105">
      <x:c r="A1105" s="14" t="str">
        <x:v>店长</x:v>
      </x:c>
      <x:c r="B1105" s="15" t="str">
        <x:v>李雪雪</x:v>
      </x:c>
      <x:c r="C1105" s="16" t="n">
        <x:v>46198</x:v>
      </x:c>
      <x:c r="D1105" s="17" t="n">
        <x:v>3</x:v>
      </x:c>
      <x:c r="E1105" s="17" t="n">
        <x:v>4</x:v>
      </x:c>
      <x:c r="F1105" s="18" t="n">
        <x:v>45.08</x:v>
      </x:c>
    </x:row>
    <x:row r="1106">
      <x:c r="A1106" s="14" t="str">
        <x:v>店长</x:v>
      </x:c>
      <x:c r="B1106" s="15" t="str">
        <x:v>李雪雪</x:v>
      </x:c>
      <x:c r="C1106" s="16" t="n">
        <x:v>46199</x:v>
      </x:c>
      <x:c r="D1106" s="17" t="n">
        <x:v>5</x:v>
      </x:c>
      <x:c r="E1106" s="17" t="n">
        <x:v>5</x:v>
      </x:c>
      <x:c r="F1106" s="18" t="n">
        <x:v>50.18</x:v>
      </x:c>
    </x:row>
    <x:row r="1107">
      <x:c r="A1107" s="14" t="str">
        <x:v>店长</x:v>
      </x:c>
      <x:c r="B1107" s="15" t="str">
        <x:v>李雪雪</x:v>
      </x:c>
      <x:c r="C1107" s="16" t="n">
        <x:v>46200</x:v>
      </x:c>
      <x:c r="D1107" s="17" t="n">
        <x:v>1</x:v>
      </x:c>
      <x:c r="E1107" s="17" t="n">
        <x:v>1</x:v>
      </x:c>
      <x:c r="F1107" s="18" t="n">
        <x:v>12.18</x:v>
      </x:c>
    </x:row>
    <x:row r="1108">
      <x:c r="A1108" s="14" t="str">
        <x:v>店长</x:v>
      </x:c>
      <x:c r="B1108" s="15" t="str">
        <x:v>李雪雪</x:v>
      </x:c>
      <x:c r="C1108" s="16" t="n">
        <x:v>46201</x:v>
      </x:c>
      <x:c r="D1108" s="17" t="n">
        <x:v>5</x:v>
      </x:c>
      <x:c r="E1108" s="17" t="n">
        <x:v>6</x:v>
      </x:c>
      <x:c r="F1108" s="18" t="n">
        <x:v>51.34</x:v>
      </x:c>
    </x:row>
    <x:row r="1109">
      <x:c r="A1109" s="14" t="str">
        <x:v>店长</x:v>
      </x:c>
      <x:c r="B1109" s="15" t="str">
        <x:v>李雪雪</x:v>
      </x:c>
      <x:c r="C1109" s="16" t="n">
        <x:v>46202</x:v>
      </x:c>
      <x:c r="D1109" s="17" t="n">
        <x:v>3</x:v>
      </x:c>
      <x:c r="E1109" s="17" t="n">
        <x:v>8</x:v>
      </x:c>
      <x:c r="F1109" s="18" t="n">
        <x:v>59.97</x:v>
      </x:c>
    </x:row>
    <x:row r="1110">
      <x:c r="A1110" s="14" t="str">
        <x:v>店长</x:v>
      </x:c>
      <x:c r="B1110" s="15" t="str">
        <x:v>李雪雪</x:v>
      </x:c>
      <x:c r="C1110" s="16" t="n">
        <x:v>46203</x:v>
      </x:c>
      <x:c r="D1110" s="17" t="n">
        <x:v>3</x:v>
      </x:c>
      <x:c r="E1110" s="17" t="n">
        <x:v>4</x:v>
      </x:c>
      <x:c r="F1110" s="18" t="n">
        <x:v>45.87</x:v>
      </x:c>
    </x:row>
    <x:row r="1111">
      <x:c r="A1111" s="14" t="str">
        <x:v>店长</x:v>
      </x:c>
      <x:c r="B1111" s="15" t="str">
        <x:v>李雪雪</x:v>
      </x:c>
      <x:c r="C1111" s="16" t="n">
        <x:v>46204</x:v>
      </x:c>
      <x:c r="D1111" s="17" t="n">
        <x:v>1</x:v>
      </x:c>
      <x:c r="E1111" s="17" t="n">
        <x:v>2</x:v>
      </x:c>
      <x:c r="F1111" s="18" t="n">
        <x:v>13.86</x:v>
      </x:c>
    </x:row>
    <x:row r="1112">
      <x:c r="A1112" s="14" t="str">
        <x:v>店长</x:v>
      </x:c>
      <x:c r="B1112" s="15" t="str">
        <x:v>李雪雪</x:v>
      </x:c>
      <x:c r="C1112" s="16" t="n">
        <x:v>46205</x:v>
      </x:c>
      <x:c r="D1112" s="17" t="n">
        <x:v>0</x:v>
      </x:c>
      <x:c r="E1112" s="17" t="n">
        <x:v>0</x:v>
      </x:c>
      <x:c r="F1112" s="18" t="n">
        <x:v>0</x:v>
      </x:c>
    </x:row>
    <x:row r="1113">
      <x:c r="A1113" s="14" t="str">
        <x:v>店长</x:v>
      </x:c>
      <x:c r="B1113" s="15" t="str">
        <x:v>李雪雪</x:v>
      </x:c>
      <x:c r="C1113" s="16" t="n">
        <x:v>46206</x:v>
      </x:c>
      <x:c r="D1113" s="17" t="n">
        <x:v>1</x:v>
      </x:c>
      <x:c r="E1113" s="17" t="n">
        <x:v>1</x:v>
      </x:c>
      <x:c r="F1113" s="18" t="n">
        <x:v>7.51</x:v>
      </x:c>
    </x:row>
    <x:row r="1114">
      <x:c r="A1114" s="14" t="str">
        <x:v>店长</x:v>
      </x:c>
      <x:c r="B1114" s="15" t="str">
        <x:v>李雪雪</x:v>
      </x:c>
      <x:c r="C1114" s="16" t="n">
        <x:v>46207</x:v>
      </x:c>
      <x:c r="D1114" s="17" t="n">
        <x:v>2</x:v>
      </x:c>
      <x:c r="E1114" s="17" t="n">
        <x:v>3</x:v>
      </x:c>
      <x:c r="F1114" s="18" t="n">
        <x:v>28.78</x:v>
      </x:c>
    </x:row>
    <x:row r="1115">
      <x:c r="A1115" s="14" t="str">
        <x:v>店长</x:v>
      </x:c>
      <x:c r="B1115" s="15" t="str">
        <x:v>李雪雪</x:v>
      </x:c>
      <x:c r="C1115" s="16" t="n">
        <x:v>46208</x:v>
      </x:c>
      <x:c r="D1115" s="17" t="n">
        <x:v>3</x:v>
      </x:c>
      <x:c r="E1115" s="17" t="n">
        <x:v>5</x:v>
      </x:c>
      <x:c r="F1115" s="18" t="n">
        <x:v>37.33</x:v>
      </x:c>
    </x:row>
    <x:row r="1116">
      <x:c r="A1116" s="14" t="str">
        <x:v>店长</x:v>
      </x:c>
      <x:c r="B1116" s="15" t="str">
        <x:v>李雪雪</x:v>
      </x:c>
      <x:c r="C1116" s="16" t="n">
        <x:v>46209</x:v>
      </x:c>
      <x:c r="D1116" s="17" t="n">
        <x:v>1</x:v>
      </x:c>
      <x:c r="E1116" s="17" t="n">
        <x:v>1</x:v>
      </x:c>
      <x:c r="F1116" s="18" t="n">
        <x:v>9.7</x:v>
      </x:c>
    </x:row>
    <x:row r="1117">
      <x:c r="A1117" s="14" t="str">
        <x:v>店长</x:v>
      </x:c>
      <x:c r="B1117" s="15" t="str">
        <x:v>李雪雪</x:v>
      </x:c>
      <x:c r="C1117" s="16" t="n">
        <x:v>46210</x:v>
      </x:c>
      <x:c r="D1117" s="17" t="n">
        <x:v>1</x:v>
      </x:c>
      <x:c r="E1117" s="17" t="n">
        <x:v>1</x:v>
      </x:c>
      <x:c r="F1117" s="18" t="n">
        <x:v>8.39</x:v>
      </x:c>
    </x:row>
    <x:row r="1118">
      <x:c r="A1118" s="14" t="str">
        <x:v>店长</x:v>
      </x:c>
      <x:c r="B1118" s="15" t="str">
        <x:v>李雪雪</x:v>
      </x:c>
      <x:c r="C1118" s="16" t="n">
        <x:v>46211</x:v>
      </x:c>
      <x:c r="D1118" s="17" t="n">
        <x:v>6</x:v>
      </x:c>
      <x:c r="E1118" s="17" t="n">
        <x:v>12</x:v>
      </x:c>
      <x:c r="F1118" s="18" t="n">
        <x:v>84.49</x:v>
      </x:c>
    </x:row>
    <x:row r="1119">
      <x:c r="A1119" s="14" t="str">
        <x:v>店长</x:v>
      </x:c>
      <x:c r="B1119" s="15" t="str">
        <x:v>李雪雪</x:v>
      </x:c>
      <x:c r="C1119" s="16" t="n">
        <x:v>46212</x:v>
      </x:c>
      <x:c r="D1119" s="17" t="n">
        <x:v>0</x:v>
      </x:c>
      <x:c r="E1119" s="17" t="n">
        <x:v>0</x:v>
      </x:c>
      <x:c r="F1119" s="18" t="n">
        <x:v>0</x:v>
      </x:c>
    </x:row>
    <x:row r="1120">
      <x:c r="A1120" s="14" t="str">
        <x:v>店长</x:v>
      </x:c>
      <x:c r="B1120" s="15" t="str">
        <x:v>李雪雪</x:v>
      </x:c>
      <x:c r="C1120" s="16" t="n">
        <x:v>46213</x:v>
      </x:c>
      <x:c r="D1120" s="17" t="n">
        <x:v>2</x:v>
      </x:c>
      <x:c r="E1120" s="17" t="n">
        <x:v>3</x:v>
      </x:c>
      <x:c r="F1120" s="18" t="n">
        <x:v>28.76</x:v>
      </x:c>
    </x:row>
    <x:row r="1121">
      <x:c r="A1121" s="14" t="str">
        <x:v>店长</x:v>
      </x:c>
      <x:c r="B1121" s="15" t="str">
        <x:v>李雪雪</x:v>
      </x:c>
      <x:c r="C1121" s="16" t="n">
        <x:v>46214</x:v>
      </x:c>
      <x:c r="D1121" s="17" t="n">
        <x:v>4</x:v>
      </x:c>
      <x:c r="E1121" s="17" t="n">
        <x:v>6</x:v>
      </x:c>
      <x:c r="F1121" s="18" t="n">
        <x:v>41.8</x:v>
      </x:c>
    </x:row>
    <x:row r="1122">
      <x:c r="A1122" s="14" t="str">
        <x:v>店长</x:v>
      </x:c>
      <x:c r="B1122" s="15" t="str">
        <x:v>李雪雪</x:v>
      </x:c>
      <x:c r="C1122" s="16" t="n">
        <x:v>46215</x:v>
      </x:c>
      <x:c r="D1122" s="17" t="n">
        <x:v>2</x:v>
      </x:c>
      <x:c r="E1122" s="17" t="n">
        <x:v>2</x:v>
      </x:c>
      <x:c r="F1122" s="18" t="n">
        <x:v>52.72</x:v>
      </x:c>
    </x:row>
    <x:row r="1123">
      <x:c r="A1123" s="14" t="str">
        <x:v>店长</x:v>
      </x:c>
      <x:c r="B1123" s="15" t="str">
        <x:v>李雪雪</x:v>
      </x:c>
      <x:c r="C1123" s="16" t="n">
        <x:v>46216</x:v>
      </x:c>
      <x:c r="D1123" s="17" t="n">
        <x:v>6</x:v>
      </x:c>
      <x:c r="E1123" s="17" t="n">
        <x:v>13</x:v>
      </x:c>
      <x:c r="F1123" s="18" t="n">
        <x:v>74.06</x:v>
      </x:c>
    </x:row>
    <x:row r="1124">
      <x:c r="A1124" s="14" t="str">
        <x:v>店长</x:v>
      </x:c>
      <x:c r="B1124" s="15" t="str">
        <x:v>李雪雪</x:v>
      </x:c>
      <x:c r="C1124" s="16" t="n">
        <x:v>46217</x:v>
      </x:c>
      <x:c r="D1124" s="17" t="n">
        <x:v>2</x:v>
      </x:c>
      <x:c r="E1124" s="17" t="n">
        <x:v>3</x:v>
      </x:c>
      <x:c r="F1124" s="18" t="n">
        <x:v>20.46</x:v>
      </x:c>
    </x:row>
    <x:row r="1125">
      <x:c r="A1125" s="14" t="str">
        <x:v>店长</x:v>
      </x:c>
      <x:c r="B1125" s="15" t="str">
        <x:v>李雪雪</x:v>
      </x:c>
      <x:c r="C1125" s="16" t="n">
        <x:v>46218</x:v>
      </x:c>
      <x:c r="D1125" s="17" t="n">
        <x:v>1</x:v>
      </x:c>
      <x:c r="E1125" s="17" t="n">
        <x:v>1</x:v>
      </x:c>
      <x:c r="F1125" s="18" t="n">
        <x:v>9.7</x:v>
      </x:c>
    </x:row>
    <x:row r="1126">
      <x:c r="A1126" s="14" t="str">
        <x:v>店长</x:v>
      </x:c>
      <x:c r="B1126" s="15" t="str">
        <x:v>李雪雪</x:v>
      </x:c>
      <x:c r="C1126" s="16" t="n">
        <x:v>46219</x:v>
      </x:c>
      <x:c r="D1126" s="17" t="n">
        <x:v>0</x:v>
      </x:c>
      <x:c r="E1126" s="17" t="n">
        <x:v>0</x:v>
      </x:c>
      <x:c r="F1126" s="18" t="n">
        <x:v>0</x:v>
      </x:c>
    </x:row>
    <x:row r="1127">
      <x:c r="A1127" s="14" t="str">
        <x:v>店长</x:v>
      </x:c>
      <x:c r="B1127" s="15" t="str">
        <x:v>李雪雪</x:v>
      </x:c>
      <x:c r="C1127" s="16" t="n">
        <x:v>46220</x:v>
      </x:c>
      <x:c r="D1127" s="17" t="n">
        <x:v>4</x:v>
      </x:c>
      <x:c r="E1127" s="17" t="n">
        <x:v>7</x:v>
      </x:c>
      <x:c r="F1127" s="18" t="n">
        <x:v>54.68</x:v>
      </x:c>
    </x:row>
    <x:row r="1128">
      <x:c r="A1128" s="14" t="str">
        <x:v>店长</x:v>
      </x:c>
      <x:c r="B1128" s="15" t="str">
        <x:v>李雪雪</x:v>
      </x:c>
      <x:c r="C1128" s="16" t="n">
        <x:v>46221</x:v>
      </x:c>
      <x:c r="D1128" s="17" t="n">
        <x:v>2</x:v>
      </x:c>
      <x:c r="E1128" s="17" t="n">
        <x:v>5</x:v>
      </x:c>
      <x:c r="F1128" s="18" t="n">
        <x:v>25.96</x:v>
      </x:c>
    </x:row>
    <x:row r="1129">
      <x:c r="A1129" s="14" t="str">
        <x:v>店长</x:v>
      </x:c>
      <x:c r="B1129" s="15" t="str">
        <x:v>李雪雪</x:v>
      </x:c>
      <x:c r="C1129" s="16" t="n">
        <x:v>46222</x:v>
      </x:c>
      <x:c r="D1129" s="17" t="n">
        <x:v>0</x:v>
      </x:c>
      <x:c r="E1129" s="17" t="n">
        <x:v>0</x:v>
      </x:c>
      <x:c r="F1129" s="18" t="n">
        <x:v>0</x:v>
      </x:c>
    </x:row>
    <x:row r="1130">
      <x:c r="A1130" s="14" t="str">
        <x:v>店长</x:v>
      </x:c>
      <x:c r="B1130" s="15" t="str">
        <x:v>李雪雪</x:v>
      </x:c>
      <x:c r="C1130" s="16" t="n">
        <x:v>46223</x:v>
      </x:c>
      <x:c r="D1130" s="17" t="n">
        <x:v>1</x:v>
      </x:c>
      <x:c r="E1130" s="17" t="n">
        <x:v>1</x:v>
      </x:c>
      <x:c r="F1130" s="18" t="n">
        <x:v>28.82</x:v>
      </x:c>
    </x:row>
    <x:row r="1131">
      <x:c r="A1131" s="14" t="str">
        <x:v>店长</x:v>
      </x:c>
      <x:c r="B1131" s="15" t="str">
        <x:v>李雪雪</x:v>
      </x:c>
      <x:c r="C1131" s="16" t="n">
        <x:v>46224</x:v>
      </x:c>
      <x:c r="D1131" s="17" t="n">
        <x:v>0</x:v>
      </x:c>
      <x:c r="E1131" s="17" t="n">
        <x:v>0</x:v>
      </x:c>
      <x:c r="F1131" s="18" t="n">
        <x:v>0</x:v>
      </x:c>
    </x:row>
    <x:row r="1132">
      <x:c r="A1132" s="14" t="str">
        <x:v>店长</x:v>
      </x:c>
      <x:c r="B1132" s="15" t="str">
        <x:v>李雪雪</x:v>
      </x:c>
      <x:c r="C1132" s="16" t="n">
        <x:v>46225</x:v>
      </x:c>
      <x:c r="D1132" s="17" t="n">
        <x:v>0</x:v>
      </x:c>
      <x:c r="E1132" s="17" t="n">
        <x:v>0</x:v>
      </x:c>
      <x:c r="F1132" s="18" t="n">
        <x:v>0</x:v>
      </x:c>
    </x:row>
    <x:row r="1133">
      <x:c r="A1133" s="14" t="str">
        <x:v>店长</x:v>
      </x:c>
      <x:c r="B1133" s="15" t="str">
        <x:v>李雪雪</x:v>
      </x:c>
      <x:c r="C1133" s="16" t="n">
        <x:v>46226</x:v>
      </x:c>
      <x:c r="D1133" s="17" t="n">
        <x:v>1</x:v>
      </x:c>
      <x:c r="E1133" s="17" t="n">
        <x:v>2</x:v>
      </x:c>
      <x:c r="F1133" s="18" t="n">
        <x:v>17.51</x:v>
      </x:c>
    </x:row>
    <x:row r="1134">
      <x:c r="A1134" s="14" t="str">
        <x:v>店长</x:v>
      </x:c>
      <x:c r="B1134" s="15" t="str">
        <x:v>李雪雪</x:v>
      </x:c>
      <x:c r="C1134" s="16" t="n">
        <x:v>46227</x:v>
      </x:c>
      <x:c r="D1134" s="17" t="n">
        <x:v>1</x:v>
      </x:c>
      <x:c r="E1134" s="17" t="n">
        <x:v>1</x:v>
      </x:c>
      <x:c r="F1134" s="18" t="n">
        <x:v>8.97</x:v>
      </x:c>
    </x:row>
    <x:row r="1135">
      <x:c r="A1135" s="14" t="str">
        <x:v>店长</x:v>
      </x:c>
      <x:c r="B1135" s="15" t="str">
        <x:v>李雪雪</x:v>
      </x:c>
      <x:c r="C1135" s="16" t="n">
        <x:v>46228</x:v>
      </x:c>
      <x:c r="D1135" s="17" t="n">
        <x:v>0</x:v>
      </x:c>
      <x:c r="E1135" s="17" t="n">
        <x:v>0</x:v>
      </x:c>
      <x:c r="F1135" s="18" t="n">
        <x:v>0</x:v>
      </x:c>
    </x:row>
    <x:row r="1136">
      <x:c r="A1136" s="14" t="str">
        <x:v>店长</x:v>
      </x:c>
      <x:c r="B1136" s="15" t="str">
        <x:v>李雪雪</x:v>
      </x:c>
      <x:c r="C1136" s="16" t="n">
        <x:v>46229</x:v>
      </x:c>
      <x:c r="D1136" s="17" t="n">
        <x:v>1</x:v>
      </x:c>
      <x:c r="E1136" s="17" t="n">
        <x:v>1</x:v>
      </x:c>
      <x:c r="F1136" s="18" t="n">
        <x:v>41.82</x:v>
      </x:c>
    </x:row>
    <x:row r="1137">
      <x:c r="A1137" s="14" t="str">
        <x:v>店长</x:v>
      </x:c>
      <x:c r="B1137" s="15" t="str">
        <x:v>李雪雪</x:v>
      </x:c>
      <x:c r="C1137" s="16" t="n">
        <x:v>46230</x:v>
      </x:c>
      <x:c r="D1137" s="17" t="n">
        <x:v>3</x:v>
      </x:c>
      <x:c r="E1137" s="17" t="n">
        <x:v>5</x:v>
      </x:c>
      <x:c r="F1137" s="18" t="n">
        <x:v>54.05</x:v>
      </x:c>
    </x:row>
    <x:row r="1138">
      <x:c r="A1138" s="14" t="str">
        <x:v>店长</x:v>
      </x:c>
      <x:c r="B1138" s="15" t="str">
        <x:v>李雪雪</x:v>
      </x:c>
      <x:c r="C1138" s="16" t="n">
        <x:v>46231</x:v>
      </x:c>
      <x:c r="D1138" s="17" t="n">
        <x:v>2</x:v>
      </x:c>
      <x:c r="E1138" s="17" t="n">
        <x:v>3</x:v>
      </x:c>
      <x:c r="F1138" s="18" t="n">
        <x:v>24.61</x:v>
      </x:c>
    </x:row>
    <x:row r="1139">
      <x:c r="A1139" s="14" t="str">
        <x:v>店长</x:v>
      </x:c>
      <x:c r="B1139" s="15" t="str">
        <x:v>李雪雪</x:v>
      </x:c>
      <x:c r="C1139" s="16" t="n">
        <x:v>46232</x:v>
      </x:c>
      <x:c r="D1139" s="17" t="n">
        <x:v>1</x:v>
      </x:c>
      <x:c r="E1139" s="17" t="n">
        <x:v>1</x:v>
      </x:c>
      <x:c r="F1139" s="18" t="n">
        <x:v>16.85</x:v>
      </x:c>
    </x:row>
    <x:row r="1140">
      <x:c r="A1140" s="14" t="str">
        <x:v>店长</x:v>
      </x:c>
      <x:c r="B1140" s="15" t="str">
        <x:v>李雪雪</x:v>
      </x:c>
      <x:c r="C1140" s="16" t="n">
        <x:v>46233</x:v>
      </x:c>
      <x:c r="D1140" s="17" t="n">
        <x:v>0</x:v>
      </x:c>
      <x:c r="E1140" s="17" t="n">
        <x:v>0</x:v>
      </x:c>
      <x:c r="F1140" s="18" t="n">
        <x:v>0</x:v>
      </x:c>
    </x:row>
    <x:row r="1141">
      <x:c r="A1141" s="14" t="str">
        <x:v>店长</x:v>
      </x:c>
      <x:c r="B1141" s="15" t="str">
        <x:v>李雪雪</x:v>
      </x:c>
      <x:c r="C1141" s="16" t="n">
        <x:v>46234</x:v>
      </x:c>
      <x:c r="D1141" s="17" t="n">
        <x:v>4</x:v>
      </x:c>
      <x:c r="E1141" s="17" t="n">
        <x:v>5</x:v>
      </x:c>
      <x:c r="F1141" s="18" t="n">
        <x:v>57.07</x:v>
      </x:c>
    </x:row>
    <x:row r="1142">
      <x:c r="A1142" s="14" t="str">
        <x:v>店长</x:v>
      </x:c>
      <x:c r="B1142" s="15" t="str">
        <x:v>李雪雪</x:v>
      </x:c>
      <x:c r="C1142" s="16" t="n">
        <x:v>46235</x:v>
      </x:c>
      <x:c r="D1142" s="17" t="n">
        <x:v>3</x:v>
      </x:c>
      <x:c r="E1142" s="17" t="n">
        <x:v>8</x:v>
      </x:c>
      <x:c r="F1142" s="18" t="n">
        <x:v>66.18</x:v>
      </x:c>
    </x:row>
    <x:row r="1143">
      <x:c r="A1143" s="14" t="str">
        <x:v>店长</x:v>
      </x:c>
      <x:c r="B1143" s="15" t="str">
        <x:v>李雪雪</x:v>
      </x:c>
      <x:c r="C1143" s="16" t="n">
        <x:v>46236</x:v>
      </x:c>
      <x:c r="D1143" s="17" t="n">
        <x:v>1</x:v>
      </x:c>
      <x:c r="E1143" s="17" t="n">
        <x:v>2</x:v>
      </x:c>
      <x:c r="F1143" s="18" t="n">
        <x:v>18.75</x:v>
      </x:c>
    </x:row>
    <x:row r="1144">
      <x:c r="A1144" s="14" t="str">
        <x:v>店长</x:v>
      </x:c>
      <x:c r="B1144" s="15" t="str">
        <x:v>李雪雪</x:v>
      </x:c>
      <x:c r="C1144" s="16" t="n">
        <x:v>46237</x:v>
      </x:c>
      <x:c r="D1144" s="17" t="n">
        <x:v>4</x:v>
      </x:c>
      <x:c r="E1144" s="17" t="n">
        <x:v>5</x:v>
      </x:c>
      <x:c r="F1144" s="18" t="n">
        <x:v>124.63</x:v>
      </x:c>
    </x:row>
    <x:row r="1145">
      <x:c r="A1145" s="14" t="str">
        <x:v>店长</x:v>
      </x:c>
      <x:c r="B1145" s="15" t="str">
        <x:v>李雪雪</x:v>
      </x:c>
      <x:c r="C1145" s="16" t="n">
        <x:v>46238</x:v>
      </x:c>
      <x:c r="D1145" s="17" t="n">
        <x:v>4</x:v>
      </x:c>
      <x:c r="E1145" s="17" t="n">
        <x:v>8</x:v>
      </x:c>
      <x:c r="F1145" s="18" t="n">
        <x:v>53.98</x:v>
      </x:c>
    </x:row>
    <x:row r="1146">
      <x:c r="A1146" s="14" t="str">
        <x:v>店长</x:v>
      </x:c>
      <x:c r="B1146" s="15" t="str">
        <x:v>李雪雪</x:v>
      </x:c>
      <x:c r="C1146" s="16" t="n">
        <x:v>46239</x:v>
      </x:c>
      <x:c r="D1146" s="17" t="n">
        <x:v>2</x:v>
      </x:c>
      <x:c r="E1146" s="17" t="n">
        <x:v>4</x:v>
      </x:c>
      <x:c r="F1146" s="18" t="n">
        <x:v>33.03</x:v>
      </x:c>
    </x:row>
    <x:row r="1147">
      <x:c r="A1147" s="14" t="str">
        <x:v>店长</x:v>
      </x:c>
      <x:c r="B1147" s="15" t="str">
        <x:v>李雪雪</x:v>
      </x:c>
      <x:c r="C1147" s="16" t="n">
        <x:v>46240</x:v>
      </x:c>
      <x:c r="D1147" s="17" t="n">
        <x:v>4</x:v>
      </x:c>
      <x:c r="E1147" s="17" t="n">
        <x:v>9</x:v>
      </x:c>
      <x:c r="F1147" s="18" t="n">
        <x:v>79.53</x:v>
      </x:c>
    </x:row>
    <x:row r="1148">
      <x:c r="A1148" s="14" t="str">
        <x:v>店长</x:v>
      </x:c>
      <x:c r="B1148" s="15" t="str">
        <x:v>李雪雪</x:v>
      </x:c>
      <x:c r="C1148" s="16" t="n">
        <x:v>46241</x:v>
      </x:c>
      <x:c r="D1148" s="17" t="n">
        <x:v>1</x:v>
      </x:c>
      <x:c r="E1148" s="17" t="n">
        <x:v>1</x:v>
      </x:c>
      <x:c r="F1148" s="18" t="n">
        <x:v>12.26</x:v>
      </x:c>
    </x:row>
    <x:row r="1149">
      <x:c r="A1149" s="14" t="str">
        <x:v>店长</x:v>
      </x:c>
      <x:c r="B1149" s="15" t="str">
        <x:v>李雪雪</x:v>
      </x:c>
      <x:c r="C1149" s="16" t="n">
        <x:v>46242</x:v>
      </x:c>
      <x:c r="D1149" s="17" t="n">
        <x:v>1</x:v>
      </x:c>
      <x:c r="E1149" s="17" t="n">
        <x:v>1</x:v>
      </x:c>
      <x:c r="F1149" s="18" t="n">
        <x:v>17.34</x:v>
      </x:c>
    </x:row>
    <x:row r="1150">
      <x:c r="A1150" s="14" t="str">
        <x:v>店长</x:v>
      </x:c>
      <x:c r="B1150" s="15" t="str">
        <x:v>李雪雪</x:v>
      </x:c>
      <x:c r="C1150" s="16" t="n">
        <x:v>46243</x:v>
      </x:c>
      <x:c r="D1150" s="17" t="n">
        <x:v>1</x:v>
      </x:c>
      <x:c r="E1150" s="17" t="n">
        <x:v>1</x:v>
      </x:c>
      <x:c r="F1150" s="18" t="n">
        <x:v>9.15</x:v>
      </x:c>
    </x:row>
    <x:row r="1151">
      <x:c r="A1151" s="14" t="str">
        <x:v>店长</x:v>
      </x:c>
      <x:c r="B1151" s="15" t="str">
        <x:v>李雪雪</x:v>
      </x:c>
      <x:c r="C1151" s="16" t="n">
        <x:v>46244</x:v>
      </x:c>
      <x:c r="D1151" s="17" t="n">
        <x:v>0</x:v>
      </x:c>
      <x:c r="E1151" s="17" t="n">
        <x:v>0</x:v>
      </x:c>
      <x:c r="F1151" s="18" t="n">
        <x:v>0</x:v>
      </x:c>
    </x:row>
    <x:row r="1152">
      <x:c r="A1152" s="14" t="str">
        <x:v>店长</x:v>
      </x:c>
      <x:c r="B1152" s="15" t="str">
        <x:v>李雪雪</x:v>
      </x:c>
      <x:c r="C1152" s="16" t="n">
        <x:v>46245</x:v>
      </x:c>
      <x:c r="D1152" s="17" t="n">
        <x:v>0</x:v>
      </x:c>
      <x:c r="E1152" s="17" t="n">
        <x:v>0</x:v>
      </x:c>
      <x:c r="F1152" s="18" t="n">
        <x:v>0</x:v>
      </x:c>
    </x:row>
    <x:row r="1153">
      <x:c r="A1153" s="14" t="str">
        <x:v>店长</x:v>
      </x:c>
      <x:c r="B1153" s="15" t="str">
        <x:v>李雪雪</x:v>
      </x:c>
      <x:c r="C1153" s="16" t="n">
        <x:v>46246</x:v>
      </x:c>
      <x:c r="D1153" s="17" t="n">
        <x:v>1</x:v>
      </x:c>
      <x:c r="E1153" s="17" t="n">
        <x:v>2</x:v>
      </x:c>
      <x:c r="F1153" s="18" t="n">
        <x:v>11.55</x:v>
      </x:c>
    </x:row>
    <x:row r="1154">
      <x:c r="A1154" s="14" t="str">
        <x:v>店长</x:v>
      </x:c>
      <x:c r="B1154" s="15" t="str">
        <x:v>李雪雪</x:v>
      </x:c>
      <x:c r="C1154" s="16" t="n">
        <x:v>46247</x:v>
      </x:c>
      <x:c r="D1154" s="17" t="n">
        <x:v>0</x:v>
      </x:c>
      <x:c r="E1154" s="17" t="n">
        <x:v>0</x:v>
      </x:c>
      <x:c r="F1154" s="18" t="n">
        <x:v>0</x:v>
      </x:c>
    </x:row>
    <x:row r="1155">
      <x:c r="A1155" s="14" t="str">
        <x:v>店长</x:v>
      </x:c>
      <x:c r="B1155" s="15" t="str">
        <x:v>李雪雪</x:v>
      </x:c>
      <x:c r="C1155" s="16" t="n">
        <x:v>46248</x:v>
      </x:c>
      <x:c r="D1155" s="17" t="n">
        <x:v>2</x:v>
      </x:c>
      <x:c r="E1155" s="17" t="n">
        <x:v>2</x:v>
      </x:c>
      <x:c r="F1155" s="18" t="n">
        <x:v>26.06</x:v>
      </x:c>
    </x:row>
    <x:row r="1156">
      <x:c r="A1156" s="14" t="str">
        <x:v>店长</x:v>
      </x:c>
      <x:c r="B1156" s="15" t="str">
        <x:v>李雪雪</x:v>
      </x:c>
      <x:c r="C1156" s="16" t="n">
        <x:v>46249</x:v>
      </x:c>
      <x:c r="D1156" s="17" t="n">
        <x:v>0</x:v>
      </x:c>
      <x:c r="E1156" s="17" t="n">
        <x:v>0</x:v>
      </x:c>
      <x:c r="F1156" s="18" t="n">
        <x:v>0</x:v>
      </x:c>
    </x:row>
    <x:row r="1157">
      <x:c r="A1157" s="14" t="str">
        <x:v>店长</x:v>
      </x:c>
      <x:c r="B1157" s="15" t="str">
        <x:v>李雪雪</x:v>
      </x:c>
      <x:c r="C1157" s="16" t="n">
        <x:v>46250</x:v>
      </x:c>
      <x:c r="D1157" s="17" t="n">
        <x:v>0</x:v>
      </x:c>
      <x:c r="E1157" s="17" t="n">
        <x:v>0</x:v>
      </x:c>
      <x:c r="F1157" s="18" t="n">
        <x:v>0</x:v>
      </x:c>
    </x:row>
    <x:row r="1158">
      <x:c r="A1158" s="14" t="str">
        <x:v>店长</x:v>
      </x:c>
      <x:c r="B1158" s="15" t="str">
        <x:v>李雪雪</x:v>
      </x:c>
      <x:c r="C1158" s="16" t="n">
        <x:v>46251</x:v>
      </x:c>
      <x:c r="D1158" s="17" t="n">
        <x:v>20</x:v>
      </x:c>
      <x:c r="E1158" s="17" t="n">
        <x:v>22</x:v>
      </x:c>
      <x:c r="F1158" s="18" t="n">
        <x:v>267.79</x:v>
      </x:c>
    </x:row>
    <x:row r="1159">
      <x:c r="A1159" s="14" t="str">
        <x:v>店长</x:v>
      </x:c>
      <x:c r="B1159" s="15" t="str">
        <x:v>李雪雪</x:v>
      </x:c>
      <x:c r="C1159" s="16" t="n">
        <x:v>46252</x:v>
      </x:c>
      <x:c r="D1159" s="17" t="n">
        <x:v>1</x:v>
      </x:c>
      <x:c r="E1159" s="17" t="n">
        <x:v>1</x:v>
      </x:c>
      <x:c r="F1159" s="18" t="n">
        <x:v>12.24</x:v>
      </x:c>
    </x:row>
    <x:row r="1160">
      <x:c r="A1160" s="14" t="str">
        <x:v>店长</x:v>
      </x:c>
      <x:c r="B1160" s="15" t="str">
        <x:v>李雪雪</x:v>
      </x:c>
      <x:c r="C1160" s="16" t="n">
        <x:v>46253</x:v>
      </x:c>
      <x:c r="D1160" s="17" t="n">
        <x:v>1</x:v>
      </x:c>
      <x:c r="E1160" s="17" t="n">
        <x:v>1</x:v>
      </x:c>
      <x:c r="F1160" s="18" t="n">
        <x:v>12.24</x:v>
      </x:c>
    </x:row>
    <x:row r="1161">
      <x:c r="A1161" s="14" t="str">
        <x:v>店长</x:v>
      </x:c>
      <x:c r="B1161" s="15" t="str">
        <x:v>李雪雪</x:v>
      </x:c>
      <x:c r="C1161" s="16" t="n">
        <x:v>46254</x:v>
      </x:c>
      <x:c r="D1161" s="17" t="n">
        <x:v>0</x:v>
      </x:c>
      <x:c r="E1161" s="17" t="n">
        <x:v>0</x:v>
      </x:c>
      <x:c r="F1161" s="18" t="n">
        <x:v>0</x:v>
      </x:c>
    </x:row>
    <x:row r="1162">
      <x:c r="A1162" s="14" t="str">
        <x:v>店长</x:v>
      </x:c>
      <x:c r="B1162" s="15" t="str">
        <x:v>朱春雨</x:v>
      </x:c>
      <x:c r="C1162" s="16" t="n">
        <x:v>46023</x:v>
      </x:c>
      <x:c r="D1162" s="17" t="n">
        <x:v>99</x:v>
      </x:c>
      <x:c r="E1162" s="17" t="n">
        <x:v>258</x:v>
      </x:c>
      <x:c r="F1162" s="18" t="n">
        <x:v>2922.08</x:v>
      </x:c>
    </x:row>
    <x:row r="1163">
      <x:c r="A1163" s="14" t="str">
        <x:v>店长</x:v>
      </x:c>
      <x:c r="B1163" s="15" t="str">
        <x:v>朱春雨</x:v>
      </x:c>
      <x:c r="C1163" s="16" t="n">
        <x:v>46024</x:v>
      </x:c>
      <x:c r="D1163" s="17" t="n">
        <x:v>200</x:v>
      </x:c>
      <x:c r="E1163" s="17" t="n">
        <x:v>298</x:v>
      </x:c>
      <x:c r="F1163" s="18" t="n">
        <x:v>3616.9</x:v>
      </x:c>
    </x:row>
    <x:row r="1164">
      <x:c r="A1164" s="14" t="str">
        <x:v>店长</x:v>
      </x:c>
      <x:c r="B1164" s="15" t="str">
        <x:v>朱春雨</x:v>
      </x:c>
      <x:c r="C1164" s="16" t="n">
        <x:v>46025</x:v>
      </x:c>
      <x:c r="D1164" s="17" t="n">
        <x:v>167</x:v>
      </x:c>
      <x:c r="E1164" s="17" t="n">
        <x:v>194</x:v>
      </x:c>
      <x:c r="F1164" s="18" t="n">
        <x:v>2210.02</x:v>
      </x:c>
    </x:row>
    <x:row r="1165">
      <x:c r="A1165" s="14" t="str">
        <x:v>店长</x:v>
      </x:c>
      <x:c r="B1165" s="15" t="str">
        <x:v>朱春雨</x:v>
      </x:c>
      <x:c r="C1165" s="16" t="n">
        <x:v>46026</x:v>
      </x:c>
      <x:c r="D1165" s="17" t="n">
        <x:v>289</x:v>
      </x:c>
      <x:c r="E1165" s="17" t="n">
        <x:v>374</x:v>
      </x:c>
      <x:c r="F1165" s="18" t="n">
        <x:v>3695.9</x:v>
      </x:c>
    </x:row>
    <x:row r="1166">
      <x:c r="A1166" s="14" t="str">
        <x:v>店长</x:v>
      </x:c>
      <x:c r="B1166" s="15" t="str">
        <x:v>朱春雨</x:v>
      </x:c>
      <x:c r="C1166" s="16" t="n">
        <x:v>46027</x:v>
      </x:c>
      <x:c r="D1166" s="17" t="n">
        <x:v>216</x:v>
      </x:c>
      <x:c r="E1166" s="17" t="n">
        <x:v>314</x:v>
      </x:c>
      <x:c r="F1166" s="18" t="n">
        <x:v>3413.13</x:v>
      </x:c>
    </x:row>
    <x:row r="1167">
      <x:c r="A1167" s="14" t="str">
        <x:v>店长</x:v>
      </x:c>
      <x:c r="B1167" s="15" t="str">
        <x:v>朱春雨</x:v>
      </x:c>
      <x:c r="C1167" s="16" t="n">
        <x:v>46028</x:v>
      </x:c>
      <x:c r="D1167" s="17" t="n">
        <x:v>204</x:v>
      </x:c>
      <x:c r="E1167" s="17" t="n">
        <x:v>280</x:v>
      </x:c>
      <x:c r="F1167" s="18" t="n">
        <x:v>2775.35</x:v>
      </x:c>
    </x:row>
    <x:row r="1168">
      <x:c r="A1168" s="14" t="str">
        <x:v>店长</x:v>
      </x:c>
      <x:c r="B1168" s="15" t="str">
        <x:v>朱春雨</x:v>
      </x:c>
      <x:c r="C1168" s="16" t="n">
        <x:v>46029</x:v>
      </x:c>
      <x:c r="D1168" s="17" t="n">
        <x:v>160</x:v>
      </x:c>
      <x:c r="E1168" s="17" t="n">
        <x:v>207</x:v>
      </x:c>
      <x:c r="F1168" s="18" t="n">
        <x:v>2481.19</x:v>
      </x:c>
    </x:row>
    <x:row r="1169">
      <x:c r="A1169" s="14" t="str">
        <x:v>店长</x:v>
      </x:c>
      <x:c r="B1169" s="15" t="str">
        <x:v>朱春雨</x:v>
      </x:c>
      <x:c r="C1169" s="16" t="n">
        <x:v>46030</x:v>
      </x:c>
      <x:c r="D1169" s="17" t="n">
        <x:v>136</x:v>
      </x:c>
      <x:c r="E1169" s="17" t="n">
        <x:v>186</x:v>
      </x:c>
      <x:c r="F1169" s="18" t="n">
        <x:v>2362.77</x:v>
      </x:c>
    </x:row>
    <x:row r="1170">
      <x:c r="A1170" s="14" t="str">
        <x:v>店长</x:v>
      </x:c>
      <x:c r="B1170" s="15" t="str">
        <x:v>朱春雨</x:v>
      </x:c>
      <x:c r="C1170" s="16" t="n">
        <x:v>46031</x:v>
      </x:c>
      <x:c r="D1170" s="17" t="n">
        <x:v>160</x:v>
      </x:c>
      <x:c r="E1170" s="17" t="n">
        <x:v>218</x:v>
      </x:c>
      <x:c r="F1170" s="18" t="n">
        <x:v>2578.33</x:v>
      </x:c>
    </x:row>
    <x:row r="1171">
      <x:c r="A1171" s="14" t="str">
        <x:v>店长</x:v>
      </x:c>
      <x:c r="B1171" s="15" t="str">
        <x:v>朱春雨</x:v>
      </x:c>
      <x:c r="C1171" s="16" t="n">
        <x:v>46032</x:v>
      </x:c>
      <x:c r="D1171" s="17" t="n">
        <x:v>92</x:v>
      </x:c>
      <x:c r="E1171" s="17" t="n">
        <x:v>124</x:v>
      </x:c>
      <x:c r="F1171" s="18" t="n">
        <x:v>1517.39</x:v>
      </x:c>
    </x:row>
    <x:row r="1172">
      <x:c r="A1172" s="14" t="str">
        <x:v>店长</x:v>
      </x:c>
      <x:c r="B1172" s="15" t="str">
        <x:v>朱春雨</x:v>
      </x:c>
      <x:c r="C1172" s="16" t="n">
        <x:v>46033</x:v>
      </x:c>
      <x:c r="D1172" s="17" t="n">
        <x:v>110</x:v>
      </x:c>
      <x:c r="E1172" s="17" t="n">
        <x:v>170</x:v>
      </x:c>
      <x:c r="F1172" s="18" t="n">
        <x:v>2171.66</x:v>
      </x:c>
    </x:row>
    <x:row r="1173">
      <x:c r="A1173" s="14" t="str">
        <x:v>店长</x:v>
      </x:c>
      <x:c r="B1173" s="15" t="str">
        <x:v>朱春雨</x:v>
      </x:c>
      <x:c r="C1173" s="16" t="n">
        <x:v>46034</x:v>
      </x:c>
      <x:c r="D1173" s="17" t="n">
        <x:v>141</x:v>
      </x:c>
      <x:c r="E1173" s="17" t="n">
        <x:v>176</x:v>
      </x:c>
      <x:c r="F1173" s="18" t="n">
        <x:v>2455.48</x:v>
      </x:c>
    </x:row>
    <x:row r="1174">
      <x:c r="A1174" s="14" t="str">
        <x:v>店长</x:v>
      </x:c>
      <x:c r="B1174" s="15" t="str">
        <x:v>朱春雨</x:v>
      </x:c>
      <x:c r="C1174" s="16" t="n">
        <x:v>46035</x:v>
      </x:c>
      <x:c r="D1174" s="17" t="n">
        <x:v>135</x:v>
      </x:c>
      <x:c r="E1174" s="17" t="n">
        <x:v>192</x:v>
      </x:c>
      <x:c r="F1174" s="18" t="n">
        <x:v>2398.61</x:v>
      </x:c>
    </x:row>
    <x:row r="1175">
      <x:c r="A1175" s="14" t="str">
        <x:v>店长</x:v>
      </x:c>
      <x:c r="B1175" s="15" t="str">
        <x:v>朱春雨</x:v>
      </x:c>
      <x:c r="C1175" s="16" t="n">
        <x:v>46036</x:v>
      </x:c>
      <x:c r="D1175" s="17" t="n">
        <x:v>142</x:v>
      </x:c>
      <x:c r="E1175" s="17" t="n">
        <x:v>172</x:v>
      </x:c>
      <x:c r="F1175" s="18" t="n">
        <x:v>2119.46</x:v>
      </x:c>
    </x:row>
    <x:row r="1176">
      <x:c r="A1176" s="14" t="str">
        <x:v>店长</x:v>
      </x:c>
      <x:c r="B1176" s="15" t="str">
        <x:v>朱春雨</x:v>
      </x:c>
      <x:c r="C1176" s="16" t="n">
        <x:v>46037</x:v>
      </x:c>
      <x:c r="D1176" s="17" t="n">
        <x:v>139</x:v>
      </x:c>
      <x:c r="E1176" s="17" t="n">
        <x:v>173</x:v>
      </x:c>
      <x:c r="F1176" s="18" t="n">
        <x:v>2122.29</x:v>
      </x:c>
    </x:row>
    <x:row r="1177">
      <x:c r="A1177" s="14" t="str">
        <x:v>店长</x:v>
      </x:c>
      <x:c r="B1177" s="15" t="str">
        <x:v>朱春雨</x:v>
      </x:c>
      <x:c r="C1177" s="16" t="n">
        <x:v>46038</x:v>
      </x:c>
      <x:c r="D1177" s="17" t="n">
        <x:v>118</x:v>
      </x:c>
      <x:c r="E1177" s="17" t="n">
        <x:v>166</x:v>
      </x:c>
      <x:c r="F1177" s="18" t="n">
        <x:v>1951.21</x:v>
      </x:c>
    </x:row>
    <x:row r="1178">
      <x:c r="A1178" s="14" t="str">
        <x:v>店长</x:v>
      </x:c>
      <x:c r="B1178" s="15" t="str">
        <x:v>朱春雨</x:v>
      </x:c>
      <x:c r="C1178" s="16" t="n">
        <x:v>46039</x:v>
      </x:c>
      <x:c r="D1178" s="17" t="n">
        <x:v>100</x:v>
      </x:c>
      <x:c r="E1178" s="17" t="n">
        <x:v>133</x:v>
      </x:c>
      <x:c r="F1178" s="18" t="n">
        <x:v>1627.86</x:v>
      </x:c>
    </x:row>
    <x:row r="1179">
      <x:c r="A1179" s="14" t="str">
        <x:v>店长</x:v>
      </x:c>
      <x:c r="B1179" s="15" t="str">
        <x:v>朱春雨</x:v>
      </x:c>
      <x:c r="C1179" s="16" t="n">
        <x:v>46040</x:v>
      </x:c>
      <x:c r="D1179" s="17" t="n">
        <x:v>86</x:v>
      </x:c>
      <x:c r="E1179" s="17" t="n">
        <x:v>110</x:v>
      </x:c>
      <x:c r="F1179" s="18" t="n">
        <x:v>1482.37</x:v>
      </x:c>
    </x:row>
    <x:row r="1180">
      <x:c r="A1180" s="14" t="str">
        <x:v>店长</x:v>
      </x:c>
      <x:c r="B1180" s="15" t="str">
        <x:v>朱春雨</x:v>
      </x:c>
      <x:c r="C1180" s="16" t="n">
        <x:v>46041</x:v>
      </x:c>
      <x:c r="D1180" s="17" t="n">
        <x:v>121</x:v>
      </x:c>
      <x:c r="E1180" s="17" t="n">
        <x:v>142</x:v>
      </x:c>
      <x:c r="F1180" s="18" t="n">
        <x:v>1718.01</x:v>
      </x:c>
    </x:row>
    <x:row r="1181">
      <x:c r="A1181" s="14" t="str">
        <x:v>店长</x:v>
      </x:c>
      <x:c r="B1181" s="15" t="str">
        <x:v>朱春雨</x:v>
      </x:c>
      <x:c r="C1181" s="16" t="n">
        <x:v>46042</x:v>
      </x:c>
      <x:c r="D1181" s="17" t="n">
        <x:v>108</x:v>
      </x:c>
      <x:c r="E1181" s="17" t="n">
        <x:v>124</x:v>
      </x:c>
      <x:c r="F1181" s="18" t="n">
        <x:v>1497.62</x:v>
      </x:c>
    </x:row>
    <x:row r="1182">
      <x:c r="A1182" s="14" t="str">
        <x:v>店长</x:v>
      </x:c>
      <x:c r="B1182" s="15" t="str">
        <x:v>朱春雨</x:v>
      </x:c>
      <x:c r="C1182" s="16" t="n">
        <x:v>46043</x:v>
      </x:c>
      <x:c r="D1182" s="17" t="n">
        <x:v>147</x:v>
      </x:c>
      <x:c r="E1182" s="17" t="n">
        <x:v>187</x:v>
      </x:c>
      <x:c r="F1182" s="18" t="n">
        <x:v>2240.47</x:v>
      </x:c>
    </x:row>
    <x:row r="1183">
      <x:c r="A1183" s="14" t="str">
        <x:v>店长</x:v>
      </x:c>
      <x:c r="B1183" s="15" t="str">
        <x:v>朱春雨</x:v>
      </x:c>
      <x:c r="C1183" s="16" t="n">
        <x:v>46044</x:v>
      </x:c>
      <x:c r="D1183" s="17" t="n">
        <x:v>85</x:v>
      </x:c>
      <x:c r="E1183" s="17" t="n">
        <x:v>113</x:v>
      </x:c>
      <x:c r="F1183" s="18" t="n">
        <x:v>1455.18</x:v>
      </x:c>
    </x:row>
    <x:row r="1184">
      <x:c r="A1184" s="14" t="str">
        <x:v>店长</x:v>
      </x:c>
      <x:c r="B1184" s="15" t="str">
        <x:v>朱春雨</x:v>
      </x:c>
      <x:c r="C1184" s="16" t="n">
        <x:v>46045</x:v>
      </x:c>
      <x:c r="D1184" s="17" t="n">
        <x:v>79</x:v>
      </x:c>
      <x:c r="E1184" s="17" t="n">
        <x:v>99</x:v>
      </x:c>
      <x:c r="F1184" s="18" t="n">
        <x:v>1166.47</x:v>
      </x:c>
    </x:row>
    <x:row r="1185">
      <x:c r="A1185" s="14" t="str">
        <x:v>店长</x:v>
      </x:c>
      <x:c r="B1185" s="15" t="str">
        <x:v>朱春雨</x:v>
      </x:c>
      <x:c r="C1185" s="16" t="n">
        <x:v>46046</x:v>
      </x:c>
      <x:c r="D1185" s="17" t="n">
        <x:v>84</x:v>
      </x:c>
      <x:c r="E1185" s="17" t="n">
        <x:v>109</x:v>
      </x:c>
      <x:c r="F1185" s="18" t="n">
        <x:v>1353.5</x:v>
      </x:c>
    </x:row>
    <x:row r="1186">
      <x:c r="A1186" s="14" t="str">
        <x:v>店长</x:v>
      </x:c>
      <x:c r="B1186" s="15" t="str">
        <x:v>朱春雨</x:v>
      </x:c>
      <x:c r="C1186" s="16" t="n">
        <x:v>46047</x:v>
      </x:c>
      <x:c r="D1186" s="17" t="n">
        <x:v>84</x:v>
      </x:c>
      <x:c r="E1186" s="17" t="n">
        <x:v>105</x:v>
      </x:c>
      <x:c r="F1186" s="18" t="n">
        <x:v>1309.26</x:v>
      </x:c>
    </x:row>
    <x:row r="1187">
      <x:c r="A1187" s="14" t="str">
        <x:v>店长</x:v>
      </x:c>
      <x:c r="B1187" s="15" t="str">
        <x:v>朱春雨</x:v>
      </x:c>
      <x:c r="C1187" s="16" t="n">
        <x:v>46048</x:v>
      </x:c>
      <x:c r="D1187" s="17" t="n">
        <x:v>123</x:v>
      </x:c>
      <x:c r="E1187" s="17" t="n">
        <x:v>151</x:v>
      </x:c>
      <x:c r="F1187" s="18" t="n">
        <x:v>1720.86</x:v>
      </x:c>
    </x:row>
    <x:row r="1188">
      <x:c r="A1188" s="14" t="str">
        <x:v>店长</x:v>
      </x:c>
      <x:c r="B1188" s="15" t="str">
        <x:v>朱春雨</x:v>
      </x:c>
      <x:c r="C1188" s="16" t="n">
        <x:v>46049</x:v>
      </x:c>
      <x:c r="D1188" s="17" t="n">
        <x:v>112</x:v>
      </x:c>
      <x:c r="E1188" s="17" t="n">
        <x:v>145</x:v>
      </x:c>
      <x:c r="F1188" s="18" t="n">
        <x:v>1909.87</x:v>
      </x:c>
    </x:row>
    <x:row r="1189">
      <x:c r="A1189" s="14" t="str">
        <x:v>店长</x:v>
      </x:c>
      <x:c r="B1189" s="15" t="str">
        <x:v>朱春雨</x:v>
      </x:c>
      <x:c r="C1189" s="16" t="n">
        <x:v>46050</x:v>
      </x:c>
      <x:c r="D1189" s="17" t="n">
        <x:v>133</x:v>
      </x:c>
      <x:c r="E1189" s="17" t="n">
        <x:v>179</x:v>
      </x:c>
      <x:c r="F1189" s="18" t="n">
        <x:v>2229.16</x:v>
      </x:c>
    </x:row>
    <x:row r="1190">
      <x:c r="A1190" s="14" t="str">
        <x:v>店长</x:v>
      </x:c>
      <x:c r="B1190" s="15" t="str">
        <x:v>朱春雨</x:v>
      </x:c>
      <x:c r="C1190" s="16" t="n">
        <x:v>46051</x:v>
      </x:c>
      <x:c r="D1190" s="17" t="n">
        <x:v>102</x:v>
      </x:c>
      <x:c r="E1190" s="17" t="n">
        <x:v>137</x:v>
      </x:c>
      <x:c r="F1190" s="18" t="n">
        <x:v>1589.04</x:v>
      </x:c>
    </x:row>
    <x:row r="1191">
      <x:c r="A1191" s="14" t="str">
        <x:v>店长</x:v>
      </x:c>
      <x:c r="B1191" s="15" t="str">
        <x:v>朱春雨</x:v>
      </x:c>
      <x:c r="C1191" s="16" t="n">
        <x:v>46052</x:v>
      </x:c>
      <x:c r="D1191" s="17" t="n">
        <x:v>96</x:v>
      </x:c>
      <x:c r="E1191" s="17" t="n">
        <x:v>145</x:v>
      </x:c>
      <x:c r="F1191" s="18" t="n">
        <x:v>1742.21</x:v>
      </x:c>
    </x:row>
    <x:row r="1192">
      <x:c r="A1192" s="14" t="str">
        <x:v>店长</x:v>
      </x:c>
      <x:c r="B1192" s="15" t="str">
        <x:v>朱春雨</x:v>
      </x:c>
      <x:c r="C1192" s="16" t="n">
        <x:v>46053</x:v>
      </x:c>
      <x:c r="D1192" s="17" t="n">
        <x:v>81</x:v>
      </x:c>
      <x:c r="E1192" s="17" t="n">
        <x:v>111</x:v>
      </x:c>
      <x:c r="F1192" s="18" t="n">
        <x:v>1903.74</x:v>
      </x:c>
    </x:row>
    <x:row r="1193">
      <x:c r="A1193" s="14" t="str">
        <x:v>店长</x:v>
      </x:c>
      <x:c r="B1193" s="15" t="str">
        <x:v>朱春雨</x:v>
      </x:c>
      <x:c r="C1193" s="16" t="n">
        <x:v>46054</x:v>
      </x:c>
      <x:c r="D1193" s="17" t="n">
        <x:v>98</x:v>
      </x:c>
      <x:c r="E1193" s="17" t="n">
        <x:v>122</x:v>
      </x:c>
      <x:c r="F1193" s="18" t="n">
        <x:v>1689.64</x:v>
      </x:c>
    </x:row>
    <x:row r="1194">
      <x:c r="A1194" s="14" t="str">
        <x:v>店长</x:v>
      </x:c>
      <x:c r="B1194" s="15" t="str">
        <x:v>朱春雨</x:v>
      </x:c>
      <x:c r="C1194" s="16" t="n">
        <x:v>46055</x:v>
      </x:c>
      <x:c r="D1194" s="17" t="n">
        <x:v>141</x:v>
      </x:c>
      <x:c r="E1194" s="17" t="n">
        <x:v>176</x:v>
      </x:c>
      <x:c r="F1194" s="18" t="n">
        <x:v>2352.46</x:v>
      </x:c>
    </x:row>
    <x:row r="1195">
      <x:c r="A1195" s="14" t="str">
        <x:v>店长</x:v>
      </x:c>
      <x:c r="B1195" s="15" t="str">
        <x:v>朱春雨</x:v>
      </x:c>
      <x:c r="C1195" s="16" t="n">
        <x:v>46056</x:v>
      </x:c>
      <x:c r="D1195" s="17" t="n">
        <x:v>110</x:v>
      </x:c>
      <x:c r="E1195" s="17" t="n">
        <x:v>157</x:v>
      </x:c>
      <x:c r="F1195" s="18" t="n">
        <x:v>1943.52</x:v>
      </x:c>
    </x:row>
    <x:row r="1196">
      <x:c r="A1196" s="14" t="str">
        <x:v>店长</x:v>
      </x:c>
      <x:c r="B1196" s="15" t="str">
        <x:v>朱春雨</x:v>
      </x:c>
      <x:c r="C1196" s="16" t="n">
        <x:v>46057</x:v>
      </x:c>
      <x:c r="D1196" s="17" t="n">
        <x:v>127</x:v>
      </x:c>
      <x:c r="E1196" s="17" t="n">
        <x:v>178</x:v>
      </x:c>
      <x:c r="F1196" s="18" t="n">
        <x:v>2309.17</x:v>
      </x:c>
    </x:row>
    <x:row r="1197">
      <x:c r="A1197" s="14" t="str">
        <x:v>店长</x:v>
      </x:c>
      <x:c r="B1197" s="15" t="str">
        <x:v>朱春雨</x:v>
      </x:c>
      <x:c r="C1197" s="16" t="n">
        <x:v>46058</x:v>
      </x:c>
      <x:c r="D1197" s="17" t="n">
        <x:v>87</x:v>
      </x:c>
      <x:c r="E1197" s="17" t="n">
        <x:v>116</x:v>
      </x:c>
      <x:c r="F1197" s="18" t="n">
        <x:v>1572.47</x:v>
      </x:c>
    </x:row>
    <x:row r="1198">
      <x:c r="A1198" s="14" t="str">
        <x:v>店长</x:v>
      </x:c>
      <x:c r="B1198" s="15" t="str">
        <x:v>朱春雨</x:v>
      </x:c>
      <x:c r="C1198" s="16" t="n">
        <x:v>46059</x:v>
      </x:c>
      <x:c r="D1198" s="17" t="n">
        <x:v>86</x:v>
      </x:c>
      <x:c r="E1198" s="17" t="n">
        <x:v>111</x:v>
      </x:c>
      <x:c r="F1198" s="18" t="n">
        <x:v>1505.46</x:v>
      </x:c>
    </x:row>
    <x:row r="1199">
      <x:c r="A1199" s="14" t="str">
        <x:v>店长</x:v>
      </x:c>
      <x:c r="B1199" s="15" t="str">
        <x:v>朱春雨</x:v>
      </x:c>
      <x:c r="C1199" s="16" t="n">
        <x:v>46060</x:v>
      </x:c>
      <x:c r="D1199" s="17" t="n">
        <x:v>107</x:v>
      </x:c>
      <x:c r="E1199" s="17" t="n">
        <x:v>160</x:v>
      </x:c>
      <x:c r="F1199" s="18" t="n">
        <x:v>2137.84</x:v>
      </x:c>
    </x:row>
    <x:row r="1200">
      <x:c r="A1200" s="14" t="str">
        <x:v>店长</x:v>
      </x:c>
      <x:c r="B1200" s="15" t="str">
        <x:v>朱春雨</x:v>
      </x:c>
      <x:c r="C1200" s="16" t="n">
        <x:v>46061</x:v>
      </x:c>
      <x:c r="D1200" s="17" t="n">
        <x:v>101</x:v>
      </x:c>
      <x:c r="E1200" s="17" t="n">
        <x:v>147</x:v>
      </x:c>
      <x:c r="F1200" s="18" t="n">
        <x:v>1971.49</x:v>
      </x:c>
    </x:row>
    <x:row r="1201">
      <x:c r="A1201" s="14" t="str">
        <x:v>店长</x:v>
      </x:c>
      <x:c r="B1201" s="15" t="str">
        <x:v>朱春雨</x:v>
      </x:c>
      <x:c r="C1201" s="16" t="n">
        <x:v>46062</x:v>
      </x:c>
      <x:c r="D1201" s="17" t="n">
        <x:v>106</x:v>
      </x:c>
      <x:c r="E1201" s="17" t="n">
        <x:v>125</x:v>
      </x:c>
      <x:c r="F1201" s="18" t="n">
        <x:v>1693.54</x:v>
      </x:c>
    </x:row>
    <x:row r="1202">
      <x:c r="A1202" s="14" t="str">
        <x:v>店长</x:v>
      </x:c>
      <x:c r="B1202" s="15" t="str">
        <x:v>朱春雨</x:v>
      </x:c>
      <x:c r="C1202" s="16" t="n">
        <x:v>46063</x:v>
      </x:c>
      <x:c r="D1202" s="17" t="n">
        <x:v>90</x:v>
      </x:c>
      <x:c r="E1202" s="17" t="n">
        <x:v>124</x:v>
      </x:c>
      <x:c r="F1202" s="18" t="n">
        <x:v>1510.18</x:v>
      </x:c>
    </x:row>
    <x:row r="1203">
      <x:c r="A1203" s="14" t="str">
        <x:v>店长</x:v>
      </x:c>
      <x:c r="B1203" s="15" t="str">
        <x:v>朱春雨</x:v>
      </x:c>
      <x:c r="C1203" s="16" t="n">
        <x:v>46064</x:v>
      </x:c>
      <x:c r="D1203" s="17" t="n">
        <x:v>106</x:v>
      </x:c>
      <x:c r="E1203" s="17" t="n">
        <x:v>138</x:v>
      </x:c>
      <x:c r="F1203" s="18" t="n">
        <x:v>1788.49</x:v>
      </x:c>
    </x:row>
    <x:row r="1204">
      <x:c r="A1204" s="14" t="str">
        <x:v>店长</x:v>
      </x:c>
      <x:c r="B1204" s="15" t="str">
        <x:v>朱春雨</x:v>
      </x:c>
      <x:c r="C1204" s="16" t="n">
        <x:v>46065</x:v>
      </x:c>
      <x:c r="D1204" s="17" t="n">
        <x:v>66</x:v>
      </x:c>
      <x:c r="E1204" s="17" t="n">
        <x:v>86</x:v>
      </x:c>
      <x:c r="F1204" s="18" t="n">
        <x:v>1170.8</x:v>
      </x:c>
    </x:row>
    <x:row r="1205">
      <x:c r="A1205" s="14" t="str">
        <x:v>店长</x:v>
      </x:c>
      <x:c r="B1205" s="15" t="str">
        <x:v>朱春雨</x:v>
      </x:c>
      <x:c r="C1205" s="16" t="n">
        <x:v>46066</x:v>
      </x:c>
      <x:c r="D1205" s="17" t="n">
        <x:v>90</x:v>
      </x:c>
      <x:c r="E1205" s="17" t="n">
        <x:v>123</x:v>
      </x:c>
      <x:c r="F1205" s="18" t="n">
        <x:v>1527.01</x:v>
      </x:c>
    </x:row>
    <x:row r="1206">
      <x:c r="A1206" s="14" t="str">
        <x:v>店长</x:v>
      </x:c>
      <x:c r="B1206" s="15" t="str">
        <x:v>朱春雨</x:v>
      </x:c>
      <x:c r="C1206" s="16" t="n">
        <x:v>46067</x:v>
      </x:c>
      <x:c r="D1206" s="17" t="n">
        <x:v>80</x:v>
      </x:c>
      <x:c r="E1206" s="17" t="n">
        <x:v>101</x:v>
      </x:c>
      <x:c r="F1206" s="18" t="n">
        <x:v>1336.22</x:v>
      </x:c>
    </x:row>
    <x:row r="1207">
      <x:c r="A1207" s="14" t="str">
        <x:v>店长</x:v>
      </x:c>
      <x:c r="B1207" s="15" t="str">
        <x:v>朱春雨</x:v>
      </x:c>
      <x:c r="C1207" s="16" t="n">
        <x:v>46068</x:v>
      </x:c>
      <x:c r="D1207" s="17" t="n">
        <x:v>74</x:v>
      </x:c>
      <x:c r="E1207" s="17" t="n">
        <x:v>86</x:v>
      </x:c>
      <x:c r="F1207" s="18" t="n">
        <x:v>1251.99</x:v>
      </x:c>
    </x:row>
    <x:row r="1208">
      <x:c r="A1208" s="14" t="str">
        <x:v>店长</x:v>
      </x:c>
      <x:c r="B1208" s="15" t="str">
        <x:v>朱春雨</x:v>
      </x:c>
      <x:c r="C1208" s="16" t="n">
        <x:v>46069</x:v>
      </x:c>
      <x:c r="D1208" s="17" t="n">
        <x:v>82</x:v>
      </x:c>
      <x:c r="E1208" s="17" t="n">
        <x:v>107</x:v>
      </x:c>
      <x:c r="F1208" s="18" t="n">
        <x:v>1452.72</x:v>
      </x:c>
    </x:row>
    <x:row r="1209">
      <x:c r="A1209" s="14" t="str">
        <x:v>店长</x:v>
      </x:c>
      <x:c r="B1209" s="15" t="str">
        <x:v>朱春雨</x:v>
      </x:c>
      <x:c r="C1209" s="16" t="n">
        <x:v>46070</x:v>
      </x:c>
      <x:c r="D1209" s="17" t="n">
        <x:v>48</x:v>
      </x:c>
      <x:c r="E1209" s="17" t="n">
        <x:v>55</x:v>
      </x:c>
      <x:c r="F1209" s="18" t="n">
        <x:v>708.98</x:v>
      </x:c>
    </x:row>
    <x:row r="1210">
      <x:c r="A1210" s="14" t="str">
        <x:v>店长</x:v>
      </x:c>
      <x:c r="B1210" s="15" t="str">
        <x:v>朱春雨</x:v>
      </x:c>
      <x:c r="C1210" s="16" t="n">
        <x:v>46071</x:v>
      </x:c>
      <x:c r="D1210" s="17" t="n">
        <x:v>37</x:v>
      </x:c>
      <x:c r="E1210" s="17" t="n">
        <x:v>59</x:v>
      </x:c>
      <x:c r="F1210" s="18" t="n">
        <x:v>737.3</x:v>
      </x:c>
    </x:row>
    <x:row r="1211">
      <x:c r="A1211" s="14" t="str">
        <x:v>店长</x:v>
      </x:c>
      <x:c r="B1211" s="15" t="str">
        <x:v>朱春雨</x:v>
      </x:c>
      <x:c r="C1211" s="16" t="n">
        <x:v>46072</x:v>
      </x:c>
      <x:c r="D1211" s="17" t="n">
        <x:v>20</x:v>
      </x:c>
      <x:c r="E1211" s="17" t="n">
        <x:v>22</x:v>
      </x:c>
      <x:c r="F1211" s="18" t="n">
        <x:v>290.95</x:v>
      </x:c>
    </x:row>
    <x:row r="1212">
      <x:c r="A1212" s="14" t="str">
        <x:v>店长</x:v>
      </x:c>
      <x:c r="B1212" s="15" t="str">
        <x:v>朱春雨</x:v>
      </x:c>
      <x:c r="C1212" s="16" t="n">
        <x:v>46073</x:v>
      </x:c>
      <x:c r="D1212" s="17" t="n">
        <x:v>29</x:v>
      </x:c>
      <x:c r="E1212" s="17" t="n">
        <x:v>39</x:v>
      </x:c>
      <x:c r="F1212" s="18" t="n">
        <x:v>625.2</x:v>
      </x:c>
    </x:row>
    <x:row r="1213">
      <x:c r="A1213" s="14" t="str">
        <x:v>店长</x:v>
      </x:c>
      <x:c r="B1213" s="15" t="str">
        <x:v>朱春雨</x:v>
      </x:c>
      <x:c r="C1213" s="16" t="n">
        <x:v>46074</x:v>
      </x:c>
      <x:c r="D1213" s="17" t="n">
        <x:v>23</x:v>
      </x:c>
      <x:c r="E1213" s="17" t="n">
        <x:v>33</x:v>
      </x:c>
      <x:c r="F1213" s="18" t="n">
        <x:v>544.45</x:v>
      </x:c>
    </x:row>
    <x:row r="1214">
      <x:c r="A1214" s="14" t="str">
        <x:v>店长</x:v>
      </x:c>
      <x:c r="B1214" s="15" t="str">
        <x:v>朱春雨</x:v>
      </x:c>
      <x:c r="C1214" s="16" t="n">
        <x:v>46075</x:v>
      </x:c>
      <x:c r="D1214" s="17" t="n">
        <x:v>54</x:v>
      </x:c>
      <x:c r="E1214" s="17" t="n">
        <x:v>75</x:v>
      </x:c>
      <x:c r="F1214" s="18" t="n">
        <x:v>957.06</x:v>
      </x:c>
    </x:row>
    <x:row r="1215">
      <x:c r="A1215" s="14" t="str">
        <x:v>店长</x:v>
      </x:c>
      <x:c r="B1215" s="15" t="str">
        <x:v>朱春雨</x:v>
      </x:c>
      <x:c r="C1215" s="16" t="n">
        <x:v>46076</x:v>
      </x:c>
      <x:c r="D1215" s="17" t="n">
        <x:v>38</x:v>
      </x:c>
      <x:c r="E1215" s="17" t="n">
        <x:v>54</x:v>
      </x:c>
      <x:c r="F1215" s="18" t="n">
        <x:v>642.73</x:v>
      </x:c>
    </x:row>
    <x:row r="1216">
      <x:c r="A1216" s="14" t="str">
        <x:v>店长</x:v>
      </x:c>
      <x:c r="B1216" s="15" t="str">
        <x:v>朱春雨</x:v>
      </x:c>
      <x:c r="C1216" s="16" t="n">
        <x:v>46077</x:v>
      </x:c>
      <x:c r="D1216" s="17" t="n">
        <x:v>38</x:v>
      </x:c>
      <x:c r="E1216" s="17" t="n">
        <x:v>42</x:v>
      </x:c>
      <x:c r="F1216" s="18" t="n">
        <x:v>595</x:v>
      </x:c>
    </x:row>
    <x:row r="1217">
      <x:c r="A1217" s="14" t="str">
        <x:v>店长</x:v>
      </x:c>
      <x:c r="B1217" s="15" t="str">
        <x:v>朱春雨</x:v>
      </x:c>
      <x:c r="C1217" s="16" t="n">
        <x:v>46078</x:v>
      </x:c>
      <x:c r="D1217" s="17" t="n">
        <x:v>38</x:v>
      </x:c>
      <x:c r="E1217" s="17" t="n">
        <x:v>49</x:v>
      </x:c>
      <x:c r="F1217" s="18" t="n">
        <x:v>615.12</x:v>
      </x:c>
    </x:row>
    <x:row r="1218">
      <x:c r="A1218" s="14" t="str">
        <x:v>店长</x:v>
      </x:c>
      <x:c r="B1218" s="15" t="str">
        <x:v>朱春雨</x:v>
      </x:c>
      <x:c r="C1218" s="16" t="n">
        <x:v>46079</x:v>
      </x:c>
      <x:c r="D1218" s="17" t="n">
        <x:v>43</x:v>
      </x:c>
      <x:c r="E1218" s="17" t="n">
        <x:v>55</x:v>
      </x:c>
      <x:c r="F1218" s="18" t="n">
        <x:v>618.96</x:v>
      </x:c>
    </x:row>
    <x:row r="1219">
      <x:c r="A1219" s="14" t="str">
        <x:v>店长</x:v>
      </x:c>
      <x:c r="B1219" s="15" t="str">
        <x:v>朱春雨</x:v>
      </x:c>
      <x:c r="C1219" s="16" t="n">
        <x:v>46080</x:v>
      </x:c>
      <x:c r="D1219" s="17" t="n">
        <x:v>62</x:v>
      </x:c>
      <x:c r="E1219" s="17" t="n">
        <x:v>82</x:v>
      </x:c>
      <x:c r="F1219" s="18" t="n">
        <x:v>1297.33</x:v>
      </x:c>
    </x:row>
    <x:row r="1220">
      <x:c r="A1220" s="14" t="str">
        <x:v>店长</x:v>
      </x:c>
      <x:c r="B1220" s="15" t="str">
        <x:v>朱春雨</x:v>
      </x:c>
      <x:c r="C1220" s="16" t="n">
        <x:v>46081</x:v>
      </x:c>
      <x:c r="D1220" s="17" t="n">
        <x:v>46</x:v>
      </x:c>
      <x:c r="E1220" s="17" t="n">
        <x:v>59</x:v>
      </x:c>
      <x:c r="F1220" s="18" t="n">
        <x:v>941.49</x:v>
      </x:c>
    </x:row>
    <x:row r="1221">
      <x:c r="A1221" s="14" t="str">
        <x:v>店长</x:v>
      </x:c>
      <x:c r="B1221" s="15" t="str">
        <x:v>朱春雨</x:v>
      </x:c>
      <x:c r="C1221" s="16" t="n">
        <x:v>46082</x:v>
      </x:c>
      <x:c r="D1221" s="17" t="n">
        <x:v>42</x:v>
      </x:c>
      <x:c r="E1221" s="17" t="n">
        <x:v>44</x:v>
      </x:c>
      <x:c r="F1221" s="18" t="n">
        <x:v>611.39</x:v>
      </x:c>
    </x:row>
    <x:row r="1222">
      <x:c r="A1222" s="14" t="str">
        <x:v>店长</x:v>
      </x:c>
      <x:c r="B1222" s="15" t="str">
        <x:v>朱春雨</x:v>
      </x:c>
      <x:c r="C1222" s="16" t="n">
        <x:v>46083</x:v>
      </x:c>
      <x:c r="D1222" s="17" t="n">
        <x:v>41</x:v>
      </x:c>
      <x:c r="E1222" s="17" t="n">
        <x:v>60</x:v>
      </x:c>
      <x:c r="F1222" s="18" t="n">
        <x:v>885.28</x:v>
      </x:c>
    </x:row>
    <x:row r="1223">
      <x:c r="A1223" s="14" t="str">
        <x:v>店长</x:v>
      </x:c>
      <x:c r="B1223" s="15" t="str">
        <x:v>朱春雨</x:v>
      </x:c>
      <x:c r="C1223" s="16" t="n">
        <x:v>46084</x:v>
      </x:c>
      <x:c r="D1223" s="17" t="n">
        <x:v>45</x:v>
      </x:c>
      <x:c r="E1223" s="17" t="n">
        <x:v>56</x:v>
      </x:c>
      <x:c r="F1223" s="18" t="n">
        <x:v>818.88</x:v>
      </x:c>
    </x:row>
    <x:row r="1224">
      <x:c r="A1224" s="14" t="str">
        <x:v>店长</x:v>
      </x:c>
      <x:c r="B1224" s="15" t="str">
        <x:v>朱春雨</x:v>
      </x:c>
      <x:c r="C1224" s="16" t="n">
        <x:v>46085</x:v>
      </x:c>
      <x:c r="D1224" s="17" t="n">
        <x:v>43</x:v>
      </x:c>
      <x:c r="E1224" s="17" t="n">
        <x:v>51</x:v>
      </x:c>
      <x:c r="F1224" s="18" t="n">
        <x:v>685.61</x:v>
      </x:c>
    </x:row>
    <x:row r="1225">
      <x:c r="A1225" s="14" t="str">
        <x:v>店长</x:v>
      </x:c>
      <x:c r="B1225" s="15" t="str">
        <x:v>朱春雨</x:v>
      </x:c>
      <x:c r="C1225" s="16" t="n">
        <x:v>46086</x:v>
      </x:c>
      <x:c r="D1225" s="17" t="n">
        <x:v>45</x:v>
      </x:c>
      <x:c r="E1225" s="17" t="n">
        <x:v>53</x:v>
      </x:c>
      <x:c r="F1225" s="18" t="n">
        <x:v>698.09</x:v>
      </x:c>
    </x:row>
    <x:row r="1226">
      <x:c r="A1226" s="14" t="str">
        <x:v>店长</x:v>
      </x:c>
      <x:c r="B1226" s="15" t="str">
        <x:v>朱春雨</x:v>
      </x:c>
      <x:c r="C1226" s="16" t="n">
        <x:v>46087</x:v>
      </x:c>
      <x:c r="D1226" s="17" t="n">
        <x:v>49</x:v>
      </x:c>
      <x:c r="E1226" s="17" t="n">
        <x:v>57</x:v>
      </x:c>
      <x:c r="F1226" s="18" t="n">
        <x:v>768.32</x:v>
      </x:c>
    </x:row>
    <x:row r="1227">
      <x:c r="A1227" s="14" t="str">
        <x:v>店长</x:v>
      </x:c>
      <x:c r="B1227" s="15" t="str">
        <x:v>朱春雨</x:v>
      </x:c>
      <x:c r="C1227" s="16" t="n">
        <x:v>46088</x:v>
      </x:c>
      <x:c r="D1227" s="17" t="n">
        <x:v>32</x:v>
      </x:c>
      <x:c r="E1227" s="17" t="n">
        <x:v>39</x:v>
      </x:c>
      <x:c r="F1227" s="18" t="n">
        <x:v>495.03</x:v>
      </x:c>
    </x:row>
    <x:row r="1228">
      <x:c r="A1228" s="14" t="str">
        <x:v>店长</x:v>
      </x:c>
      <x:c r="B1228" s="15" t="str">
        <x:v>朱春雨</x:v>
      </x:c>
      <x:c r="C1228" s="16" t="n">
        <x:v>46089</x:v>
      </x:c>
      <x:c r="D1228" s="17" t="n">
        <x:v>39</x:v>
      </x:c>
      <x:c r="E1228" s="17" t="n">
        <x:v>46</x:v>
      </x:c>
      <x:c r="F1228" s="18" t="n">
        <x:v>549.74</x:v>
      </x:c>
    </x:row>
    <x:row r="1229">
      <x:c r="A1229" s="14" t="str">
        <x:v>店长</x:v>
      </x:c>
      <x:c r="B1229" s="15" t="str">
        <x:v>朱春雨</x:v>
      </x:c>
      <x:c r="C1229" s="16" t="n">
        <x:v>46090</x:v>
      </x:c>
      <x:c r="D1229" s="17" t="n">
        <x:v>40</x:v>
      </x:c>
      <x:c r="E1229" s="17" t="n">
        <x:v>43</x:v>
      </x:c>
      <x:c r="F1229" s="18" t="n">
        <x:v>810.68</x:v>
      </x:c>
    </x:row>
    <x:row r="1230">
      <x:c r="A1230" s="14" t="str">
        <x:v>店长</x:v>
      </x:c>
      <x:c r="B1230" s="15" t="str">
        <x:v>朱春雨</x:v>
      </x:c>
      <x:c r="C1230" s="16" t="n">
        <x:v>46091</x:v>
      </x:c>
      <x:c r="D1230" s="17" t="n">
        <x:v>32</x:v>
      </x:c>
      <x:c r="E1230" s="17" t="n">
        <x:v>38</x:v>
      </x:c>
      <x:c r="F1230" s="18" t="n">
        <x:v>612.45</x:v>
      </x:c>
    </x:row>
    <x:row r="1231">
      <x:c r="A1231" s="14" t="str">
        <x:v>店长</x:v>
      </x:c>
      <x:c r="B1231" s="15" t="str">
        <x:v>朱春雨</x:v>
      </x:c>
      <x:c r="C1231" s="16" t="n">
        <x:v>46092</x:v>
      </x:c>
      <x:c r="D1231" s="17" t="n">
        <x:v>44</x:v>
      </x:c>
      <x:c r="E1231" s="17" t="n">
        <x:v>59</x:v>
      </x:c>
      <x:c r="F1231" s="18" t="n">
        <x:v>940.29</x:v>
      </x:c>
    </x:row>
    <x:row r="1232">
      <x:c r="A1232" s="14" t="str">
        <x:v>店长</x:v>
      </x:c>
      <x:c r="B1232" s="15" t="str">
        <x:v>朱春雨</x:v>
      </x:c>
      <x:c r="C1232" s="16" t="n">
        <x:v>46093</x:v>
      </x:c>
      <x:c r="D1232" s="17" t="n">
        <x:v>37</x:v>
      </x:c>
      <x:c r="E1232" s="17" t="n">
        <x:v>45</x:v>
      </x:c>
      <x:c r="F1232" s="18" t="n">
        <x:v>673.22</x:v>
      </x:c>
    </x:row>
    <x:row r="1233">
      <x:c r="A1233" s="14" t="str">
        <x:v>店长</x:v>
      </x:c>
      <x:c r="B1233" s="15" t="str">
        <x:v>朱春雨</x:v>
      </x:c>
      <x:c r="C1233" s="16" t="n">
        <x:v>46094</x:v>
      </x:c>
      <x:c r="D1233" s="17" t="n">
        <x:v>43</x:v>
      </x:c>
      <x:c r="E1233" s="17" t="n">
        <x:v>56</x:v>
      </x:c>
      <x:c r="F1233" s="18" t="n">
        <x:v>728.9</x:v>
      </x:c>
    </x:row>
    <x:row r="1234">
      <x:c r="A1234" s="14" t="str">
        <x:v>店长</x:v>
      </x:c>
      <x:c r="B1234" s="15" t="str">
        <x:v>朱春雨</x:v>
      </x:c>
      <x:c r="C1234" s="16" t="n">
        <x:v>46095</x:v>
      </x:c>
      <x:c r="D1234" s="17" t="n">
        <x:v>32</x:v>
      </x:c>
      <x:c r="E1234" s="17" t="n">
        <x:v>38</x:v>
      </x:c>
      <x:c r="F1234" s="18" t="n">
        <x:v>437.28</x:v>
      </x:c>
    </x:row>
    <x:row r="1235">
      <x:c r="A1235" s="14" t="str">
        <x:v>店长</x:v>
      </x:c>
      <x:c r="B1235" s="15" t="str">
        <x:v>朱春雨</x:v>
      </x:c>
      <x:c r="C1235" s="16" t="n">
        <x:v>46096</x:v>
      </x:c>
      <x:c r="D1235" s="17" t="n">
        <x:v>33</x:v>
      </x:c>
      <x:c r="E1235" s="17" t="n">
        <x:v>39</x:v>
      </x:c>
      <x:c r="F1235" s="18" t="n">
        <x:v>564.78</x:v>
      </x:c>
    </x:row>
    <x:row r="1236">
      <x:c r="A1236" s="14" t="str">
        <x:v>店长</x:v>
      </x:c>
      <x:c r="B1236" s="15" t="str">
        <x:v>朱春雨</x:v>
      </x:c>
      <x:c r="C1236" s="16" t="n">
        <x:v>46097</x:v>
      </x:c>
      <x:c r="D1236" s="17" t="n">
        <x:v>40</x:v>
      </x:c>
      <x:c r="E1236" s="17" t="n">
        <x:v>48</x:v>
      </x:c>
      <x:c r="F1236" s="18" t="n">
        <x:v>576.44</x:v>
      </x:c>
    </x:row>
    <x:row r="1237">
      <x:c r="A1237" s="14" t="str">
        <x:v>店长</x:v>
      </x:c>
      <x:c r="B1237" s="15" t="str">
        <x:v>朱春雨</x:v>
      </x:c>
      <x:c r="C1237" s="16" t="n">
        <x:v>46098</x:v>
      </x:c>
      <x:c r="D1237" s="17" t="n">
        <x:v>36</x:v>
      </x:c>
      <x:c r="E1237" s="17" t="n">
        <x:v>50</x:v>
      </x:c>
      <x:c r="F1237" s="18" t="n">
        <x:v>627.27</x:v>
      </x:c>
    </x:row>
    <x:row r="1238">
      <x:c r="A1238" s="14" t="str">
        <x:v>店长</x:v>
      </x:c>
      <x:c r="B1238" s="15" t="str">
        <x:v>朱春雨</x:v>
      </x:c>
      <x:c r="C1238" s="16" t="n">
        <x:v>46099</x:v>
      </x:c>
      <x:c r="D1238" s="17" t="n">
        <x:v>44</x:v>
      </x:c>
      <x:c r="E1238" s="17" t="n">
        <x:v>62</x:v>
      </x:c>
      <x:c r="F1238" s="18" t="n">
        <x:v>899.81</x:v>
      </x:c>
    </x:row>
    <x:row r="1239">
      <x:c r="A1239" s="14" t="str">
        <x:v>店长</x:v>
      </x:c>
      <x:c r="B1239" s="15" t="str">
        <x:v>朱春雨</x:v>
      </x:c>
      <x:c r="C1239" s="16" t="n">
        <x:v>46100</x:v>
      </x:c>
      <x:c r="D1239" s="17" t="n">
        <x:v>51</x:v>
      </x:c>
      <x:c r="E1239" s="17" t="n">
        <x:v>78</x:v>
      </x:c>
      <x:c r="F1239" s="18" t="n">
        <x:v>858.38</x:v>
      </x:c>
    </x:row>
    <x:row r="1240">
      <x:c r="A1240" s="14" t="str">
        <x:v>店长</x:v>
      </x:c>
      <x:c r="B1240" s="15" t="str">
        <x:v>朱春雨</x:v>
      </x:c>
      <x:c r="C1240" s="16" t="n">
        <x:v>46101</x:v>
      </x:c>
      <x:c r="D1240" s="17" t="n">
        <x:v>49</x:v>
      </x:c>
      <x:c r="E1240" s="17" t="n">
        <x:v>57</x:v>
      </x:c>
      <x:c r="F1240" s="18" t="n">
        <x:v>673.63</x:v>
      </x:c>
    </x:row>
    <x:row r="1241">
      <x:c r="A1241" s="14" t="str">
        <x:v>店长</x:v>
      </x:c>
      <x:c r="B1241" s="15" t="str">
        <x:v>朱春雨</x:v>
      </x:c>
      <x:c r="C1241" s="16" t="n">
        <x:v>46102</x:v>
      </x:c>
      <x:c r="D1241" s="17" t="n">
        <x:v>41</x:v>
      </x:c>
      <x:c r="E1241" s="17" t="n">
        <x:v>51</x:v>
      </x:c>
      <x:c r="F1241" s="18" t="n">
        <x:v>537.46</x:v>
      </x:c>
    </x:row>
    <x:row r="1242">
      <x:c r="A1242" s="14" t="str">
        <x:v>店长</x:v>
      </x:c>
      <x:c r="B1242" s="15" t="str">
        <x:v>朱春雨</x:v>
      </x:c>
      <x:c r="C1242" s="16" t="n">
        <x:v>46103</x:v>
      </x:c>
      <x:c r="D1242" s="17" t="n">
        <x:v>34</x:v>
      </x:c>
      <x:c r="E1242" s="17" t="n">
        <x:v>48</x:v>
      </x:c>
      <x:c r="F1242" s="18" t="n">
        <x:v>528.71</x:v>
      </x:c>
    </x:row>
    <x:row r="1243">
      <x:c r="A1243" s="14" t="str">
        <x:v>店长</x:v>
      </x:c>
      <x:c r="B1243" s="15" t="str">
        <x:v>朱春雨</x:v>
      </x:c>
      <x:c r="C1243" s="16" t="n">
        <x:v>46104</x:v>
      </x:c>
      <x:c r="D1243" s="17" t="n">
        <x:v>51</x:v>
      </x:c>
      <x:c r="E1243" s="17" t="n">
        <x:v>67</x:v>
      </x:c>
      <x:c r="F1243" s="18" t="n">
        <x:v>780.78</x:v>
      </x:c>
    </x:row>
    <x:row r="1244">
      <x:c r="A1244" s="14" t="str">
        <x:v>店长</x:v>
      </x:c>
      <x:c r="B1244" s="15" t="str">
        <x:v>朱春雨</x:v>
      </x:c>
      <x:c r="C1244" s="16" t="n">
        <x:v>46105</x:v>
      </x:c>
      <x:c r="D1244" s="17" t="n">
        <x:v>52</x:v>
      </x:c>
      <x:c r="E1244" s="17" t="n">
        <x:v>71</x:v>
      </x:c>
      <x:c r="F1244" s="18" t="n">
        <x:v>849.99</x:v>
      </x:c>
    </x:row>
    <x:row r="1245">
      <x:c r="A1245" s="14" t="str">
        <x:v>店长</x:v>
      </x:c>
      <x:c r="B1245" s="15" t="str">
        <x:v>朱春雨</x:v>
      </x:c>
      <x:c r="C1245" s="16" t="n">
        <x:v>46106</x:v>
      </x:c>
      <x:c r="D1245" s="17" t="n">
        <x:v>92</x:v>
      </x:c>
      <x:c r="E1245" s="17" t="n">
        <x:v>119</x:v>
      </x:c>
      <x:c r="F1245" s="18" t="n">
        <x:v>1309.86</x:v>
      </x:c>
    </x:row>
    <x:row r="1246">
      <x:c r="A1246" s="14" t="str">
        <x:v>店长</x:v>
      </x:c>
      <x:c r="B1246" s="15" t="str">
        <x:v>朱春雨</x:v>
      </x:c>
      <x:c r="C1246" s="16" t="n">
        <x:v>46107</x:v>
      </x:c>
      <x:c r="D1246" s="17" t="n">
        <x:v>62</x:v>
      </x:c>
      <x:c r="E1246" s="17" t="n">
        <x:v>80</x:v>
      </x:c>
      <x:c r="F1246" s="18" t="n">
        <x:v>962.88</x:v>
      </x:c>
    </x:row>
    <x:row r="1247">
      <x:c r="A1247" s="14" t="str">
        <x:v>店长</x:v>
      </x:c>
      <x:c r="B1247" s="15" t="str">
        <x:v>朱春雨</x:v>
      </x:c>
      <x:c r="C1247" s="16" t="n">
        <x:v>46108</x:v>
      </x:c>
      <x:c r="D1247" s="17" t="n">
        <x:v>61</x:v>
      </x:c>
      <x:c r="E1247" s="17" t="n">
        <x:v>90</x:v>
      </x:c>
      <x:c r="F1247" s="18" t="n">
        <x:v>874.24</x:v>
      </x:c>
    </x:row>
    <x:row r="1248">
      <x:c r="A1248" s="14" t="str">
        <x:v>店长</x:v>
      </x:c>
      <x:c r="B1248" s="15" t="str">
        <x:v>朱春雨</x:v>
      </x:c>
      <x:c r="C1248" s="16" t="n">
        <x:v>46109</x:v>
      </x:c>
      <x:c r="D1248" s="17" t="n">
        <x:v>62</x:v>
      </x:c>
      <x:c r="E1248" s="17" t="n">
        <x:v>70</x:v>
      </x:c>
      <x:c r="F1248" s="18" t="n">
        <x:v>580.74</x:v>
      </x:c>
    </x:row>
    <x:row r="1249">
      <x:c r="A1249" s="14" t="str">
        <x:v>店长</x:v>
      </x:c>
      <x:c r="B1249" s="15" t="str">
        <x:v>朱春雨</x:v>
      </x:c>
      <x:c r="C1249" s="16" t="n">
        <x:v>46110</x:v>
      </x:c>
      <x:c r="D1249" s="17" t="n">
        <x:v>95</x:v>
      </x:c>
      <x:c r="E1249" s="17" t="n">
        <x:v>317</x:v>
      </x:c>
      <x:c r="F1249" s="18" t="n">
        <x:v>3007.05</x:v>
      </x:c>
    </x:row>
    <x:row r="1250">
      <x:c r="A1250" s="14" t="str">
        <x:v>店长</x:v>
      </x:c>
      <x:c r="B1250" s="15" t="str">
        <x:v>朱春雨</x:v>
      </x:c>
      <x:c r="C1250" s="16" t="n">
        <x:v>46111</x:v>
      </x:c>
      <x:c r="D1250" s="17" t="n">
        <x:v>96</x:v>
      </x:c>
      <x:c r="E1250" s="17" t="n">
        <x:v>117</x:v>
      </x:c>
      <x:c r="F1250" s="18" t="n">
        <x:v>1221.96</x:v>
      </x:c>
    </x:row>
    <x:row r="1251">
      <x:c r="A1251" s="14" t="str">
        <x:v>店长</x:v>
      </x:c>
      <x:c r="B1251" s="15" t="str">
        <x:v>朱春雨</x:v>
      </x:c>
      <x:c r="C1251" s="16" t="n">
        <x:v>46112</x:v>
      </x:c>
      <x:c r="D1251" s="17" t="n">
        <x:v>84</x:v>
      </x:c>
      <x:c r="E1251" s="17" t="n">
        <x:v>117</x:v>
      </x:c>
      <x:c r="F1251" s="18" t="n">
        <x:v>1166.29</x:v>
      </x:c>
    </x:row>
    <x:row r="1252">
      <x:c r="A1252" s="14" t="str">
        <x:v>店长</x:v>
      </x:c>
      <x:c r="B1252" s="15" t="str">
        <x:v>朱春雨</x:v>
      </x:c>
      <x:c r="C1252" s="16" t="n">
        <x:v>46113</x:v>
      </x:c>
      <x:c r="D1252" s="17" t="n">
        <x:v>100</x:v>
      </x:c>
      <x:c r="E1252" s="17" t="n">
        <x:v>141</x:v>
      </x:c>
      <x:c r="F1252" s="18" t="n">
        <x:v>1448.65</x:v>
      </x:c>
    </x:row>
    <x:row r="1253">
      <x:c r="A1253" s="14" t="str">
        <x:v>店长</x:v>
      </x:c>
      <x:c r="B1253" s="15" t="str">
        <x:v>朱春雨</x:v>
      </x:c>
      <x:c r="C1253" s="16" t="n">
        <x:v>46114</x:v>
      </x:c>
      <x:c r="D1253" s="17" t="n">
        <x:v>67</x:v>
      </x:c>
      <x:c r="E1253" s="17" t="n">
        <x:v>98</x:v>
      </x:c>
      <x:c r="F1253" s="18" t="n">
        <x:v>1142.81</x:v>
      </x:c>
    </x:row>
    <x:row r="1254">
      <x:c r="A1254" s="14" t="str">
        <x:v>店长</x:v>
      </x:c>
      <x:c r="B1254" s="15" t="str">
        <x:v>朱春雨</x:v>
      </x:c>
      <x:c r="C1254" s="16" t="n">
        <x:v>46115</x:v>
      </x:c>
      <x:c r="D1254" s="17" t="n">
        <x:v>43</x:v>
      </x:c>
      <x:c r="E1254" s="17" t="n">
        <x:v>57</x:v>
      </x:c>
      <x:c r="F1254" s="18" t="n">
        <x:v>650.24</x:v>
      </x:c>
    </x:row>
    <x:row r="1255">
      <x:c r="A1255" s="14" t="str">
        <x:v>店长</x:v>
      </x:c>
      <x:c r="B1255" s="15" t="str">
        <x:v>朱春雨</x:v>
      </x:c>
      <x:c r="C1255" s="16" t="n">
        <x:v>46116</x:v>
      </x:c>
      <x:c r="D1255" s="17" t="n">
        <x:v>67</x:v>
      </x:c>
      <x:c r="E1255" s="17" t="n">
        <x:v>117</x:v>
      </x:c>
      <x:c r="F1255" s="18" t="n">
        <x:v>1338.1</x:v>
      </x:c>
    </x:row>
    <x:row r="1256">
      <x:c r="A1256" s="14" t="str">
        <x:v>店长</x:v>
      </x:c>
      <x:c r="B1256" s="15" t="str">
        <x:v>朱春雨</x:v>
      </x:c>
      <x:c r="C1256" s="16" t="n">
        <x:v>46117</x:v>
      </x:c>
      <x:c r="D1256" s="17" t="n">
        <x:v>73</x:v>
      </x:c>
      <x:c r="E1256" s="17" t="n">
        <x:v>112</x:v>
      </x:c>
      <x:c r="F1256" s="18" t="n">
        <x:v>2185.05</x:v>
      </x:c>
    </x:row>
    <x:row r="1257">
      <x:c r="A1257" s="14" t="str">
        <x:v>店长</x:v>
      </x:c>
      <x:c r="B1257" s="15" t="str">
        <x:v>朱春雨</x:v>
      </x:c>
      <x:c r="C1257" s="16" t="n">
        <x:v>46118</x:v>
      </x:c>
      <x:c r="D1257" s="17" t="n">
        <x:v>45</x:v>
      </x:c>
      <x:c r="E1257" s="17" t="n">
        <x:v>50</x:v>
      </x:c>
      <x:c r="F1257" s="18" t="n">
        <x:v>1048.95</x:v>
      </x:c>
    </x:row>
    <x:row r="1258">
      <x:c r="A1258" s="14" t="str">
        <x:v>店长</x:v>
      </x:c>
      <x:c r="B1258" s="15" t="str">
        <x:v>朱春雨</x:v>
      </x:c>
      <x:c r="C1258" s="16" t="n">
        <x:v>46119</x:v>
      </x:c>
      <x:c r="D1258" s="17" t="n">
        <x:v>53</x:v>
      </x:c>
      <x:c r="E1258" s="17" t="n">
        <x:v>69</x:v>
      </x:c>
      <x:c r="F1258" s="18" t="n">
        <x:v>1038.2</x:v>
      </x:c>
    </x:row>
    <x:row r="1259">
      <x:c r="A1259" s="14" t="str">
        <x:v>店长</x:v>
      </x:c>
      <x:c r="B1259" s="15" t="str">
        <x:v>朱春雨</x:v>
      </x:c>
      <x:c r="C1259" s="16" t="n">
        <x:v>46120</x:v>
      </x:c>
      <x:c r="D1259" s="17" t="n">
        <x:v>40</x:v>
      </x:c>
      <x:c r="E1259" s="17" t="n">
        <x:v>52</x:v>
      </x:c>
      <x:c r="F1259" s="18" t="n">
        <x:v>944.21</x:v>
      </x:c>
    </x:row>
    <x:row r="1260">
      <x:c r="A1260" s="14" t="str">
        <x:v>店长</x:v>
      </x:c>
      <x:c r="B1260" s="15" t="str">
        <x:v>朱春雨</x:v>
      </x:c>
      <x:c r="C1260" s="16" t="n">
        <x:v>46121</x:v>
      </x:c>
      <x:c r="D1260" s="17" t="n">
        <x:v>51</x:v>
      </x:c>
      <x:c r="E1260" s="17" t="n">
        <x:v>123</x:v>
      </x:c>
      <x:c r="F1260" s="18" t="n">
        <x:v>2113.02</x:v>
      </x:c>
    </x:row>
    <x:row r="1261">
      <x:c r="A1261" s="14" t="str">
        <x:v>店长</x:v>
      </x:c>
      <x:c r="B1261" s="15" t="str">
        <x:v>朱春雨</x:v>
      </x:c>
      <x:c r="C1261" s="16" t="n">
        <x:v>46122</x:v>
      </x:c>
      <x:c r="D1261" s="17" t="n">
        <x:v>68</x:v>
      </x:c>
      <x:c r="E1261" s="17" t="n">
        <x:v>93</x:v>
      </x:c>
      <x:c r="F1261" s="18" t="n">
        <x:v>1652.4</x:v>
      </x:c>
    </x:row>
    <x:row r="1262">
      <x:c r="A1262" s="14" t="str">
        <x:v>店长</x:v>
      </x:c>
      <x:c r="B1262" s="15" t="str">
        <x:v>朱春雨</x:v>
      </x:c>
      <x:c r="C1262" s="16" t="n">
        <x:v>46123</x:v>
      </x:c>
      <x:c r="D1262" s="17" t="n">
        <x:v>50</x:v>
      </x:c>
      <x:c r="E1262" s="17" t="n">
        <x:v>81</x:v>
      </x:c>
      <x:c r="F1262" s="18" t="n">
        <x:v>1361.73</x:v>
      </x:c>
    </x:row>
    <x:row r="1263">
      <x:c r="A1263" s="14" t="str">
        <x:v>店长</x:v>
      </x:c>
      <x:c r="B1263" s="15" t="str">
        <x:v>朱春雨</x:v>
      </x:c>
      <x:c r="C1263" s="16" t="n">
        <x:v>46124</x:v>
      </x:c>
      <x:c r="D1263" s="17" t="n">
        <x:v>42</x:v>
      </x:c>
      <x:c r="E1263" s="17" t="n">
        <x:v>52</x:v>
      </x:c>
      <x:c r="F1263" s="18" t="n">
        <x:v>1053.41</x:v>
      </x:c>
    </x:row>
    <x:row r="1264">
      <x:c r="A1264" s="14" t="str">
        <x:v>店长</x:v>
      </x:c>
      <x:c r="B1264" s="15" t="str">
        <x:v>朱春雨</x:v>
      </x:c>
      <x:c r="C1264" s="16" t="n">
        <x:v>46125</x:v>
      </x:c>
      <x:c r="D1264" s="17" t="n">
        <x:v>55</x:v>
      </x:c>
      <x:c r="E1264" s="17" t="n">
        <x:v>70</x:v>
      </x:c>
      <x:c r="F1264" s="18" t="n">
        <x:v>1418.68</x:v>
      </x:c>
    </x:row>
    <x:row r="1265">
      <x:c r="A1265" s="14" t="str">
        <x:v>店长</x:v>
      </x:c>
      <x:c r="B1265" s="15" t="str">
        <x:v>朱春雨</x:v>
      </x:c>
      <x:c r="C1265" s="16" t="n">
        <x:v>46126</x:v>
      </x:c>
      <x:c r="D1265" s="17" t="n">
        <x:v>71</x:v>
      </x:c>
      <x:c r="E1265" s="17" t="n">
        <x:v>129</x:v>
      </x:c>
      <x:c r="F1265" s="18" t="n">
        <x:v>1836.03</x:v>
      </x:c>
    </x:row>
    <x:row r="1266">
      <x:c r="A1266" s="14" t="str">
        <x:v>店长</x:v>
      </x:c>
      <x:c r="B1266" s="15" t="str">
        <x:v>朱春雨</x:v>
      </x:c>
      <x:c r="C1266" s="16" t="n">
        <x:v>46127</x:v>
      </x:c>
      <x:c r="D1266" s="17" t="n">
        <x:v>78</x:v>
      </x:c>
      <x:c r="E1266" s="17" t="n">
        <x:v>109</x:v>
      </x:c>
      <x:c r="F1266" s="18" t="n">
        <x:v>1319.8</x:v>
      </x:c>
    </x:row>
    <x:row r="1267">
      <x:c r="A1267" s="14" t="str">
        <x:v>店长</x:v>
      </x:c>
      <x:c r="B1267" s="15" t="str">
        <x:v>朱春雨</x:v>
      </x:c>
      <x:c r="C1267" s="16" t="n">
        <x:v>46128</x:v>
      </x:c>
      <x:c r="D1267" s="17" t="n">
        <x:v>112</x:v>
      </x:c>
      <x:c r="E1267" s="17" t="n">
        <x:v>177</x:v>
      </x:c>
      <x:c r="F1267" s="18" t="n">
        <x:v>2156.94</x:v>
      </x:c>
    </x:row>
    <x:row r="1268">
      <x:c r="A1268" s="14" t="str">
        <x:v>店长</x:v>
      </x:c>
      <x:c r="B1268" s="15" t="str">
        <x:v>朱春雨</x:v>
      </x:c>
      <x:c r="C1268" s="16" t="n">
        <x:v>46129</x:v>
      </x:c>
      <x:c r="D1268" s="17" t="n">
        <x:v>166</x:v>
      </x:c>
      <x:c r="E1268" s="17" t="n">
        <x:v>210</x:v>
      </x:c>
      <x:c r="F1268" s="18" t="n">
        <x:v>2185.68</x:v>
      </x:c>
    </x:row>
    <x:row r="1269">
      <x:c r="A1269" s="14" t="str">
        <x:v>店长</x:v>
      </x:c>
      <x:c r="B1269" s="15" t="str">
        <x:v>朱春雨</x:v>
      </x:c>
      <x:c r="C1269" s="16" t="n">
        <x:v>46130</x:v>
      </x:c>
      <x:c r="D1269" s="17" t="n">
        <x:v>110</x:v>
      </x:c>
      <x:c r="E1269" s="17" t="n">
        <x:v>214</x:v>
      </x:c>
      <x:c r="F1269" s="18" t="n">
        <x:v>2540.05</x:v>
      </x:c>
    </x:row>
    <x:row r="1270">
      <x:c r="A1270" s="14" t="str">
        <x:v>店长</x:v>
      </x:c>
      <x:c r="B1270" s="15" t="str">
        <x:v>朱春雨</x:v>
      </x:c>
      <x:c r="C1270" s="16" t="n">
        <x:v>46131</x:v>
      </x:c>
      <x:c r="D1270" s="17" t="n">
        <x:v>82</x:v>
      </x:c>
      <x:c r="E1270" s="17" t="n">
        <x:v>120</x:v>
      </x:c>
      <x:c r="F1270" s="18" t="n">
        <x:v>1239.67</x:v>
      </x:c>
    </x:row>
    <x:row r="1271">
      <x:c r="A1271" s="14" t="str">
        <x:v>店长</x:v>
      </x:c>
      <x:c r="B1271" s="15" t="str">
        <x:v>朱春雨</x:v>
      </x:c>
      <x:c r="C1271" s="16" t="n">
        <x:v>46132</x:v>
      </x:c>
      <x:c r="D1271" s="17" t="n">
        <x:v>94</x:v>
      </x:c>
      <x:c r="E1271" s="17" t="n">
        <x:v>109</x:v>
      </x:c>
      <x:c r="F1271" s="18" t="n">
        <x:v>1259.33</x:v>
      </x:c>
    </x:row>
    <x:row r="1272">
      <x:c r="A1272" s="14" t="str">
        <x:v>店长</x:v>
      </x:c>
      <x:c r="B1272" s="15" t="str">
        <x:v>朱春雨</x:v>
      </x:c>
      <x:c r="C1272" s="16" t="n">
        <x:v>46133</x:v>
      </x:c>
      <x:c r="D1272" s="17" t="n">
        <x:v>91</x:v>
      </x:c>
      <x:c r="E1272" s="17" t="n">
        <x:v>158</x:v>
      </x:c>
      <x:c r="F1272" s="18" t="n">
        <x:v>1749.6</x:v>
      </x:c>
    </x:row>
    <x:row r="1273">
      <x:c r="A1273" s="14" t="str">
        <x:v>店长</x:v>
      </x:c>
      <x:c r="B1273" s="15" t="str">
        <x:v>朱春雨</x:v>
      </x:c>
      <x:c r="C1273" s="16" t="n">
        <x:v>46134</x:v>
      </x:c>
      <x:c r="D1273" s="17" t="n">
        <x:v>79</x:v>
      </x:c>
      <x:c r="E1273" s="17" t="n">
        <x:v>130</x:v>
      </x:c>
      <x:c r="F1273" s="18" t="n">
        <x:v>1332.99</x:v>
      </x:c>
    </x:row>
    <x:row r="1274">
      <x:c r="A1274" s="14" t="str">
        <x:v>店长</x:v>
      </x:c>
      <x:c r="B1274" s="15" t="str">
        <x:v>朱春雨</x:v>
      </x:c>
      <x:c r="C1274" s="16" t="n">
        <x:v>46135</x:v>
      </x:c>
      <x:c r="D1274" s="17" t="n">
        <x:v>62</x:v>
      </x:c>
      <x:c r="E1274" s="17" t="n">
        <x:v>89</x:v>
      </x:c>
      <x:c r="F1274" s="18" t="n">
        <x:v>1241.19</x:v>
      </x:c>
    </x:row>
    <x:row r="1275">
      <x:c r="A1275" s="14" t="str">
        <x:v>店长</x:v>
      </x:c>
      <x:c r="B1275" s="15" t="str">
        <x:v>朱春雨</x:v>
      </x:c>
      <x:c r="C1275" s="16" t="n">
        <x:v>46136</x:v>
      </x:c>
      <x:c r="D1275" s="17" t="n">
        <x:v>89</x:v>
      </x:c>
      <x:c r="E1275" s="17" t="n">
        <x:v>161</x:v>
      </x:c>
      <x:c r="F1275" s="18" t="n">
        <x:v>1550.2</x:v>
      </x:c>
    </x:row>
    <x:row r="1276">
      <x:c r="A1276" s="14" t="str">
        <x:v>店长</x:v>
      </x:c>
      <x:c r="B1276" s="15" t="str">
        <x:v>朱春雨</x:v>
      </x:c>
      <x:c r="C1276" s="16" t="n">
        <x:v>46137</x:v>
      </x:c>
      <x:c r="D1276" s="17" t="n">
        <x:v>82</x:v>
      </x:c>
      <x:c r="E1276" s="17" t="n">
        <x:v>176</x:v>
      </x:c>
      <x:c r="F1276" s="18" t="n">
        <x:v>1719.84</x:v>
      </x:c>
    </x:row>
    <x:row r="1277">
      <x:c r="A1277" s="14" t="str">
        <x:v>店长</x:v>
      </x:c>
      <x:c r="B1277" s="15" t="str">
        <x:v>朱春雨</x:v>
      </x:c>
      <x:c r="C1277" s="16" t="n">
        <x:v>46138</x:v>
      </x:c>
      <x:c r="D1277" s="17" t="n">
        <x:v>42</x:v>
      </x:c>
      <x:c r="E1277" s="17" t="n">
        <x:v>69</x:v>
      </x:c>
      <x:c r="F1277" s="18" t="n">
        <x:v>772.34</x:v>
      </x:c>
    </x:row>
    <x:row r="1278">
      <x:c r="A1278" s="14" t="str">
        <x:v>店长</x:v>
      </x:c>
      <x:c r="B1278" s="15" t="str">
        <x:v>朱春雨</x:v>
      </x:c>
      <x:c r="C1278" s="16" t="n">
        <x:v>46139</x:v>
      </x:c>
      <x:c r="D1278" s="17" t="n">
        <x:v>107</x:v>
      </x:c>
      <x:c r="E1278" s="17" t="n">
        <x:v>183</x:v>
      </x:c>
      <x:c r="F1278" s="18" t="n">
        <x:v>1746.52</x:v>
      </x:c>
    </x:row>
    <x:row r="1279">
      <x:c r="A1279" s="14" t="str">
        <x:v>店长</x:v>
      </x:c>
      <x:c r="B1279" s="15" t="str">
        <x:v>朱春雨</x:v>
      </x:c>
      <x:c r="C1279" s="16" t="n">
        <x:v>46140</x:v>
      </x:c>
      <x:c r="D1279" s="17" t="n">
        <x:v>95</x:v>
      </x:c>
      <x:c r="E1279" s="17" t="n">
        <x:v>144</x:v>
      </x:c>
      <x:c r="F1279" s="18" t="n">
        <x:v>1284.12</x:v>
      </x:c>
    </x:row>
    <x:row r="1280">
      <x:c r="A1280" s="14" t="str">
        <x:v>店长</x:v>
      </x:c>
      <x:c r="B1280" s="15" t="str">
        <x:v>朱春雨</x:v>
      </x:c>
      <x:c r="C1280" s="16" t="n">
        <x:v>46141</x:v>
      </x:c>
      <x:c r="D1280" s="17" t="n">
        <x:v>251</x:v>
      </x:c>
      <x:c r="E1280" s="17" t="n">
        <x:v>304</x:v>
      </x:c>
      <x:c r="F1280" s="18" t="n">
        <x:v>3250.58</x:v>
      </x:c>
    </x:row>
    <x:row r="1281">
      <x:c r="A1281" s="14" t="str">
        <x:v>店长</x:v>
      </x:c>
      <x:c r="B1281" s="15" t="str">
        <x:v>朱春雨</x:v>
      </x:c>
      <x:c r="C1281" s="16" t="n">
        <x:v>46142</x:v>
      </x:c>
      <x:c r="D1281" s="17" t="n">
        <x:v>73</x:v>
      </x:c>
      <x:c r="E1281" s="17" t="n">
        <x:v>111</x:v>
      </x:c>
      <x:c r="F1281" s="18" t="n">
        <x:v>1361.54</x:v>
      </x:c>
    </x:row>
    <x:row r="1282">
      <x:c r="A1282" s="14" t="str">
        <x:v>店长</x:v>
      </x:c>
      <x:c r="B1282" s="15" t="str">
        <x:v>朱春雨</x:v>
      </x:c>
      <x:c r="C1282" s="16" t="n">
        <x:v>46143</x:v>
      </x:c>
      <x:c r="D1282" s="17" t="n">
        <x:v>123</x:v>
      </x:c>
      <x:c r="E1282" s="17" t="n">
        <x:v>208</x:v>
      </x:c>
      <x:c r="F1282" s="18" t="n">
        <x:v>2039.14</x:v>
      </x:c>
    </x:row>
    <x:row r="1283">
      <x:c r="A1283" s="14" t="str">
        <x:v>店长</x:v>
      </x:c>
      <x:c r="B1283" s="15" t="str">
        <x:v>朱春雨</x:v>
      </x:c>
      <x:c r="C1283" s="16" t="n">
        <x:v>46144</x:v>
      </x:c>
      <x:c r="D1283" s="17" t="n">
        <x:v>153</x:v>
      </x:c>
      <x:c r="E1283" s="17" t="n">
        <x:v>291</x:v>
      </x:c>
      <x:c r="F1283" s="18" t="n">
        <x:v>2841.81</x:v>
      </x:c>
    </x:row>
    <x:row r="1284">
      <x:c r="A1284" s="14" t="str">
        <x:v>店长</x:v>
      </x:c>
      <x:c r="B1284" s="15" t="str">
        <x:v>朱春雨</x:v>
      </x:c>
      <x:c r="C1284" s="16" t="n">
        <x:v>46145</x:v>
      </x:c>
      <x:c r="D1284" s="17" t="n">
        <x:v>101</x:v>
      </x:c>
      <x:c r="E1284" s="17" t="n">
        <x:v>126</x:v>
      </x:c>
      <x:c r="F1284" s="18" t="n">
        <x:v>1420.34</x:v>
      </x:c>
    </x:row>
    <x:row r="1285">
      <x:c r="A1285" s="14" t="str">
        <x:v>店长</x:v>
      </x:c>
      <x:c r="B1285" s="15" t="str">
        <x:v>朱春雨</x:v>
      </x:c>
      <x:c r="C1285" s="16" t="n">
        <x:v>46146</x:v>
      </x:c>
      <x:c r="D1285" s="17" t="n">
        <x:v>112</x:v>
      </x:c>
      <x:c r="E1285" s="17" t="n">
        <x:v>175</x:v>
      </x:c>
      <x:c r="F1285" s="18" t="n">
        <x:v>1919.99</x:v>
      </x:c>
    </x:row>
    <x:row r="1286">
      <x:c r="A1286" s="14" t="str">
        <x:v>店长</x:v>
      </x:c>
      <x:c r="B1286" s="15" t="str">
        <x:v>朱春雨</x:v>
      </x:c>
      <x:c r="C1286" s="16" t="n">
        <x:v>46147</x:v>
      </x:c>
      <x:c r="D1286" s="17" t="n">
        <x:v>327</x:v>
      </x:c>
      <x:c r="E1286" s="17" t="n">
        <x:v>443</x:v>
      </x:c>
      <x:c r="F1286" s="18" t="n">
        <x:v>4968.22</x:v>
      </x:c>
    </x:row>
    <x:row r="1287">
      <x:c r="A1287" s="14" t="str">
        <x:v>店长</x:v>
      </x:c>
      <x:c r="B1287" s="15" t="str">
        <x:v>朱春雨</x:v>
      </x:c>
      <x:c r="C1287" s="16" t="n">
        <x:v>46148</x:v>
      </x:c>
      <x:c r="D1287" s="17" t="n">
        <x:v>187</x:v>
      </x:c>
      <x:c r="E1287" s="17" t="n">
        <x:v>239</x:v>
      </x:c>
      <x:c r="F1287" s="18" t="n">
        <x:v>2677.81</x:v>
      </x:c>
    </x:row>
    <x:row r="1288">
      <x:c r="A1288" s="14" t="str">
        <x:v>店长</x:v>
      </x:c>
      <x:c r="B1288" s="15" t="str">
        <x:v>朱春雨</x:v>
      </x:c>
      <x:c r="C1288" s="16" t="n">
        <x:v>46149</x:v>
      </x:c>
      <x:c r="D1288" s="17" t="n">
        <x:v>162</x:v>
      </x:c>
      <x:c r="E1288" s="17" t="n">
        <x:v>241</x:v>
      </x:c>
      <x:c r="F1288" s="18" t="n">
        <x:v>2628.59</x:v>
      </x:c>
    </x:row>
    <x:row r="1289">
      <x:c r="A1289" s="14" t="str">
        <x:v>店长</x:v>
      </x:c>
      <x:c r="B1289" s="15" t="str">
        <x:v>朱春雨</x:v>
      </x:c>
      <x:c r="C1289" s="16" t="n">
        <x:v>46150</x:v>
      </x:c>
      <x:c r="D1289" s="17" t="n">
        <x:v>204</x:v>
      </x:c>
      <x:c r="E1289" s="17" t="n">
        <x:v>288</x:v>
      </x:c>
      <x:c r="F1289" s="18" t="n">
        <x:v>2997.09</x:v>
      </x:c>
    </x:row>
    <x:row r="1290">
      <x:c r="A1290" s="14" t="str">
        <x:v>店长</x:v>
      </x:c>
      <x:c r="B1290" s="15" t="str">
        <x:v>朱春雨</x:v>
      </x:c>
      <x:c r="C1290" s="16" t="n">
        <x:v>46151</x:v>
      </x:c>
      <x:c r="D1290" s="17" t="n">
        <x:v>182</x:v>
      </x:c>
      <x:c r="E1290" s="17" t="n">
        <x:v>248</x:v>
      </x:c>
      <x:c r="F1290" s="18" t="n">
        <x:v>2595.55</x:v>
      </x:c>
    </x:row>
    <x:row r="1291">
      <x:c r="A1291" s="14" t="str">
        <x:v>店长</x:v>
      </x:c>
      <x:c r="B1291" s="15" t="str">
        <x:v>朱春雨</x:v>
      </x:c>
      <x:c r="C1291" s="16" t="n">
        <x:v>46152</x:v>
      </x:c>
      <x:c r="D1291" s="17" t="n">
        <x:v>109</x:v>
      </x:c>
      <x:c r="E1291" s="17" t="n">
        <x:v>156</x:v>
      </x:c>
      <x:c r="F1291" s="18" t="n">
        <x:v>1670.08</x:v>
      </x:c>
    </x:row>
    <x:row r="1292">
      <x:c r="A1292" s="14" t="str">
        <x:v>店长</x:v>
      </x:c>
      <x:c r="B1292" s="15" t="str">
        <x:v>朱春雨</x:v>
      </x:c>
      <x:c r="C1292" s="16" t="n">
        <x:v>46153</x:v>
      </x:c>
      <x:c r="D1292" s="17" t="n">
        <x:v>160</x:v>
      </x:c>
      <x:c r="E1292" s="17" t="n">
        <x:v>268</x:v>
      </x:c>
      <x:c r="F1292" s="18" t="n">
        <x:v>2196.39</x:v>
      </x:c>
    </x:row>
    <x:row r="1293">
      <x:c r="A1293" s="14" t="str">
        <x:v>店长</x:v>
      </x:c>
      <x:c r="B1293" s="15" t="str">
        <x:v>朱春雨</x:v>
      </x:c>
      <x:c r="C1293" s="16" t="n">
        <x:v>46154</x:v>
      </x:c>
      <x:c r="D1293" s="17" t="n">
        <x:v>163</x:v>
      </x:c>
      <x:c r="E1293" s="17" t="n">
        <x:v>282</x:v>
      </x:c>
      <x:c r="F1293" s="18" t="n">
        <x:v>2788.91</x:v>
      </x:c>
    </x:row>
    <x:row r="1294">
      <x:c r="A1294" s="14" t="str">
        <x:v>店长</x:v>
      </x:c>
      <x:c r="B1294" s="15" t="str">
        <x:v>朱春雨</x:v>
      </x:c>
      <x:c r="C1294" s="16" t="n">
        <x:v>46155</x:v>
      </x:c>
      <x:c r="D1294" s="17" t="n">
        <x:v>91</x:v>
      </x:c>
      <x:c r="E1294" s="17" t="n">
        <x:v>128</x:v>
      </x:c>
      <x:c r="F1294" s="18" t="n">
        <x:v>1184.45</x:v>
      </x:c>
    </x:row>
    <x:row r="1295">
      <x:c r="A1295" s="14" t="str">
        <x:v>店长</x:v>
      </x:c>
      <x:c r="B1295" s="15" t="str">
        <x:v>朱春雨</x:v>
      </x:c>
      <x:c r="C1295" s="16" t="n">
        <x:v>46156</x:v>
      </x:c>
      <x:c r="D1295" s="17" t="n">
        <x:v>102</x:v>
      </x:c>
      <x:c r="E1295" s="17" t="n">
        <x:v>136</x:v>
      </x:c>
      <x:c r="F1295" s="18" t="n">
        <x:v>1280.6</x:v>
      </x:c>
    </x:row>
    <x:row r="1296">
      <x:c r="A1296" s="14" t="str">
        <x:v>店长</x:v>
      </x:c>
      <x:c r="B1296" s="15" t="str">
        <x:v>朱春雨</x:v>
      </x:c>
      <x:c r="C1296" s="16" t="n">
        <x:v>46157</x:v>
      </x:c>
      <x:c r="D1296" s="17" t="n">
        <x:v>121</x:v>
      </x:c>
      <x:c r="E1296" s="17" t="n">
        <x:v>208</x:v>
      </x:c>
      <x:c r="F1296" s="18" t="n">
        <x:v>1841.57</x:v>
      </x:c>
    </x:row>
    <x:row r="1297">
      <x:c r="A1297" s="14" t="str">
        <x:v>店长</x:v>
      </x:c>
      <x:c r="B1297" s="15" t="str">
        <x:v>朱春雨</x:v>
      </x:c>
      <x:c r="C1297" s="16" t="n">
        <x:v>46158</x:v>
      </x:c>
      <x:c r="D1297" s="17" t="n">
        <x:v>122</x:v>
      </x:c>
      <x:c r="E1297" s="17" t="n">
        <x:v>182</x:v>
      </x:c>
      <x:c r="F1297" s="18" t="n">
        <x:v>1745.38</x:v>
      </x:c>
    </x:row>
    <x:row r="1298">
      <x:c r="A1298" s="14" t="str">
        <x:v>店长</x:v>
      </x:c>
      <x:c r="B1298" s="15" t="str">
        <x:v>朱春雨</x:v>
      </x:c>
      <x:c r="C1298" s="16" t="n">
        <x:v>46159</x:v>
      </x:c>
      <x:c r="D1298" s="17" t="n">
        <x:v>152</x:v>
      </x:c>
      <x:c r="E1298" s="17" t="n">
        <x:v>233</x:v>
      </x:c>
      <x:c r="F1298" s="18" t="n">
        <x:v>2154.92</x:v>
      </x:c>
    </x:row>
    <x:row r="1299">
      <x:c r="A1299" s="14" t="str">
        <x:v>店长</x:v>
      </x:c>
      <x:c r="B1299" s="15" t="str">
        <x:v>朱春雨</x:v>
      </x:c>
      <x:c r="C1299" s="16" t="n">
        <x:v>46160</x:v>
      </x:c>
      <x:c r="D1299" s="17" t="n">
        <x:v>156</x:v>
      </x:c>
      <x:c r="E1299" s="17" t="n">
        <x:v>241</x:v>
      </x:c>
      <x:c r="F1299" s="18" t="n">
        <x:v>2473.01</x:v>
      </x:c>
    </x:row>
    <x:row r="1300">
      <x:c r="A1300" s="14" t="str">
        <x:v>店长</x:v>
      </x:c>
      <x:c r="B1300" s="15" t="str">
        <x:v>朱春雨</x:v>
      </x:c>
      <x:c r="C1300" s="16" t="n">
        <x:v>46161</x:v>
      </x:c>
      <x:c r="D1300" s="17" t="n">
        <x:v>112</x:v>
      </x:c>
      <x:c r="E1300" s="17" t="n">
        <x:v>162</x:v>
      </x:c>
      <x:c r="F1300" s="18" t="n">
        <x:v>1826</x:v>
      </x:c>
    </x:row>
    <x:row r="1301">
      <x:c r="A1301" s="14" t="str">
        <x:v>店长</x:v>
      </x:c>
      <x:c r="B1301" s="15" t="str">
        <x:v>朱春雨</x:v>
      </x:c>
      <x:c r="C1301" s="16" t="n">
        <x:v>46162</x:v>
      </x:c>
      <x:c r="D1301" s="17" t="n">
        <x:v>130</x:v>
      </x:c>
      <x:c r="E1301" s="17" t="n">
        <x:v>198</x:v>
      </x:c>
      <x:c r="F1301" s="18" t="n">
        <x:v>2007.31</x:v>
      </x:c>
    </x:row>
    <x:row r="1302">
      <x:c r="A1302" s="14" t="str">
        <x:v>店长</x:v>
      </x:c>
      <x:c r="B1302" s="15" t="str">
        <x:v>朱春雨</x:v>
      </x:c>
      <x:c r="C1302" s="16" t="n">
        <x:v>46163</x:v>
      </x:c>
      <x:c r="D1302" s="17" t="n">
        <x:v>140</x:v>
      </x:c>
      <x:c r="E1302" s="17" t="n">
        <x:v>227</x:v>
      </x:c>
      <x:c r="F1302" s="18" t="n">
        <x:v>2366.38</x:v>
      </x:c>
    </x:row>
    <x:row r="1303">
      <x:c r="A1303" s="14" t="str">
        <x:v>店长</x:v>
      </x:c>
      <x:c r="B1303" s="15" t="str">
        <x:v>朱春雨</x:v>
      </x:c>
      <x:c r="C1303" s="16" t="n">
        <x:v>46164</x:v>
      </x:c>
      <x:c r="D1303" s="17" t="n">
        <x:v>173</x:v>
      </x:c>
      <x:c r="E1303" s="17" t="n">
        <x:v>260</x:v>
      </x:c>
      <x:c r="F1303" s="18" t="n">
        <x:v>2409.65</x:v>
      </x:c>
    </x:row>
    <x:row r="1304">
      <x:c r="A1304" s="14" t="str">
        <x:v>店长</x:v>
      </x:c>
      <x:c r="B1304" s="15" t="str">
        <x:v>朱春雨</x:v>
      </x:c>
      <x:c r="C1304" s="16" t="n">
        <x:v>46165</x:v>
      </x:c>
      <x:c r="D1304" s="17" t="n">
        <x:v>408</x:v>
      </x:c>
      <x:c r="E1304" s="17" t="n">
        <x:v>504</x:v>
      </x:c>
      <x:c r="F1304" s="18" t="n">
        <x:v>5466.42</x:v>
      </x:c>
    </x:row>
    <x:row r="1305">
      <x:c r="A1305" s="14" t="str">
        <x:v>店长</x:v>
      </x:c>
      <x:c r="B1305" s="15" t="str">
        <x:v>朱春雨</x:v>
      </x:c>
      <x:c r="C1305" s="16" t="n">
        <x:v>46166</x:v>
      </x:c>
      <x:c r="D1305" s="17" t="n">
        <x:v>185</x:v>
      </x:c>
      <x:c r="E1305" s="17" t="n">
        <x:v>277</x:v>
      </x:c>
      <x:c r="F1305" s="18" t="n">
        <x:v>2711.74</x:v>
      </x:c>
    </x:row>
    <x:row r="1306">
      <x:c r="A1306" s="14" t="str">
        <x:v>店长</x:v>
      </x:c>
      <x:c r="B1306" s="15" t="str">
        <x:v>朱春雨</x:v>
      </x:c>
      <x:c r="C1306" s="16" t="n">
        <x:v>46167</x:v>
      </x:c>
      <x:c r="D1306" s="17" t="n">
        <x:v>197</x:v>
      </x:c>
      <x:c r="E1306" s="17" t="n">
        <x:v>286</x:v>
      </x:c>
      <x:c r="F1306" s="18" t="n">
        <x:v>2855.69</x:v>
      </x:c>
    </x:row>
    <x:row r="1307">
      <x:c r="A1307" s="14" t="str">
        <x:v>店长</x:v>
      </x:c>
      <x:c r="B1307" s="15" t="str">
        <x:v>朱春雨</x:v>
      </x:c>
      <x:c r="C1307" s="16" t="n">
        <x:v>46168</x:v>
      </x:c>
      <x:c r="D1307" s="17" t="n">
        <x:v>184</x:v>
      </x:c>
      <x:c r="E1307" s="17" t="n">
        <x:v>272</x:v>
      </x:c>
      <x:c r="F1307" s="18" t="n">
        <x:v>2670.75</x:v>
      </x:c>
    </x:row>
    <x:row r="1308">
      <x:c r="A1308" s="14" t="str">
        <x:v>店长</x:v>
      </x:c>
      <x:c r="B1308" s="15" t="str">
        <x:v>朱春雨</x:v>
      </x:c>
      <x:c r="C1308" s="16" t="n">
        <x:v>46169</x:v>
      </x:c>
      <x:c r="D1308" s="17" t="n">
        <x:v>217</x:v>
      </x:c>
      <x:c r="E1308" s="17" t="n">
        <x:v>329</x:v>
      </x:c>
      <x:c r="F1308" s="18" t="n">
        <x:v>3181.66</x:v>
      </x:c>
    </x:row>
    <x:row r="1309">
      <x:c r="A1309" s="14" t="str">
        <x:v>店长</x:v>
      </x:c>
      <x:c r="B1309" s="15" t="str">
        <x:v>朱春雨</x:v>
      </x:c>
      <x:c r="C1309" s="16" t="n">
        <x:v>46170</x:v>
      </x:c>
      <x:c r="D1309" s="17" t="n">
        <x:v>216</x:v>
      </x:c>
      <x:c r="E1309" s="17" t="n">
        <x:v>333</x:v>
      </x:c>
      <x:c r="F1309" s="18" t="n">
        <x:v>3244.43</x:v>
      </x:c>
    </x:row>
    <x:row r="1310">
      <x:c r="A1310" s="14" t="str">
        <x:v>店长</x:v>
      </x:c>
      <x:c r="B1310" s="15" t="str">
        <x:v>朱春雨</x:v>
      </x:c>
      <x:c r="C1310" s="16" t="n">
        <x:v>46171</x:v>
      </x:c>
      <x:c r="D1310" s="17" t="n">
        <x:v>243</x:v>
      </x:c>
      <x:c r="E1310" s="17" t="n">
        <x:v>387</x:v>
      </x:c>
      <x:c r="F1310" s="18" t="n">
        <x:v>3975.74</x:v>
      </x:c>
    </x:row>
    <x:row r="1311">
      <x:c r="A1311" s="14" t="str">
        <x:v>店长</x:v>
      </x:c>
      <x:c r="B1311" s="15" t="str">
        <x:v>朱春雨</x:v>
      </x:c>
      <x:c r="C1311" s="16" t="n">
        <x:v>46172</x:v>
      </x:c>
      <x:c r="D1311" s="17" t="n">
        <x:v>288</x:v>
      </x:c>
      <x:c r="E1311" s="17" t="n">
        <x:v>412</x:v>
      </x:c>
      <x:c r="F1311" s="18" t="n">
        <x:v>4191.96</x:v>
      </x:c>
    </x:row>
    <x:row r="1312">
      <x:c r="A1312" s="14" t="str">
        <x:v>店长</x:v>
      </x:c>
      <x:c r="B1312" s="15" t="str">
        <x:v>朱春雨</x:v>
      </x:c>
      <x:c r="C1312" s="16" t="n">
        <x:v>46173</x:v>
      </x:c>
      <x:c r="D1312" s="17" t="n">
        <x:v>310</x:v>
      </x:c>
      <x:c r="E1312" s="17" t="n">
        <x:v>450</x:v>
      </x:c>
      <x:c r="F1312" s="18" t="n">
        <x:v>4812.44</x:v>
      </x:c>
    </x:row>
    <x:row r="1313">
      <x:c r="A1313" s="14" t="str">
        <x:v>店长</x:v>
      </x:c>
      <x:c r="B1313" s="15" t="str">
        <x:v>朱春雨</x:v>
      </x:c>
      <x:c r="C1313" s="16" t="n">
        <x:v>46174</x:v>
      </x:c>
      <x:c r="D1313" s="17" t="n">
        <x:v>287</x:v>
      </x:c>
      <x:c r="E1313" s="17" t="n">
        <x:v>454</x:v>
      </x:c>
      <x:c r="F1313" s="18" t="n">
        <x:v>4666.69</x:v>
      </x:c>
    </x:row>
    <x:row r="1314">
      <x:c r="A1314" s="14" t="str">
        <x:v>店长</x:v>
      </x:c>
      <x:c r="B1314" s="15" t="str">
        <x:v>朱春雨</x:v>
      </x:c>
      <x:c r="C1314" s="16" t="n">
        <x:v>46175</x:v>
      </x:c>
      <x:c r="D1314" s="17" t="n">
        <x:v>308</x:v>
      </x:c>
      <x:c r="E1314" s="17" t="n">
        <x:v>516</x:v>
      </x:c>
      <x:c r="F1314" s="18" t="n">
        <x:v>5164.62</x:v>
      </x:c>
    </x:row>
    <x:row r="1315">
      <x:c r="A1315" s="14" t="str">
        <x:v>店长</x:v>
      </x:c>
      <x:c r="B1315" s="15" t="str">
        <x:v>朱春雨</x:v>
      </x:c>
      <x:c r="C1315" s="16" t="n">
        <x:v>46176</x:v>
      </x:c>
      <x:c r="D1315" s="17" t="n">
        <x:v>275</x:v>
      </x:c>
      <x:c r="E1315" s="17" t="n">
        <x:v>440</x:v>
      </x:c>
      <x:c r="F1315" s="18" t="n">
        <x:v>4313.48</x:v>
      </x:c>
    </x:row>
    <x:row r="1316">
      <x:c r="A1316" s="14" t="str">
        <x:v>店长</x:v>
      </x:c>
      <x:c r="B1316" s="15" t="str">
        <x:v>朱春雨</x:v>
      </x:c>
      <x:c r="C1316" s="16" t="n">
        <x:v>46177</x:v>
      </x:c>
      <x:c r="D1316" s="17" t="n">
        <x:v>266</x:v>
      </x:c>
      <x:c r="E1316" s="17" t="n">
        <x:v>375</x:v>
      </x:c>
      <x:c r="F1316" s="18" t="n">
        <x:v>3888.28</x:v>
      </x:c>
    </x:row>
    <x:row r="1317">
      <x:c r="A1317" s="14" t="str">
        <x:v>店长</x:v>
      </x:c>
      <x:c r="B1317" s="15" t="str">
        <x:v>朱春雨</x:v>
      </x:c>
      <x:c r="C1317" s="16" t="n">
        <x:v>46178</x:v>
      </x:c>
      <x:c r="D1317" s="17" t="n">
        <x:v>234</x:v>
      </x:c>
      <x:c r="E1317" s="17" t="n">
        <x:v>364</x:v>
      </x:c>
      <x:c r="F1317" s="18" t="n">
        <x:v>3701.69</x:v>
      </x:c>
    </x:row>
    <x:row r="1318">
      <x:c r="A1318" s="14" t="str">
        <x:v>店长</x:v>
      </x:c>
      <x:c r="B1318" s="15" t="str">
        <x:v>朱春雨</x:v>
      </x:c>
      <x:c r="C1318" s="16" t="n">
        <x:v>46179</x:v>
      </x:c>
      <x:c r="D1318" s="17" t="n">
        <x:v>330</x:v>
      </x:c>
      <x:c r="E1318" s="17" t="n">
        <x:v>541</x:v>
      </x:c>
      <x:c r="F1318" s="18" t="n">
        <x:v>5041.18</x:v>
      </x:c>
    </x:row>
    <x:row r="1319">
      <x:c r="A1319" s="14" t="str">
        <x:v>店长</x:v>
      </x:c>
      <x:c r="B1319" s="15" t="str">
        <x:v>朱春雨</x:v>
      </x:c>
      <x:c r="C1319" s="16" t="n">
        <x:v>46180</x:v>
      </x:c>
      <x:c r="D1319" s="17" t="n">
        <x:v>375</x:v>
      </x:c>
      <x:c r="E1319" s="17" t="n">
        <x:v>575</x:v>
      </x:c>
      <x:c r="F1319" s="18" t="n">
        <x:v>5230.34</x:v>
      </x:c>
    </x:row>
    <x:row r="1320">
      <x:c r="A1320" s="14" t="str">
        <x:v>店长</x:v>
      </x:c>
      <x:c r="B1320" s="15" t="str">
        <x:v>朱春雨</x:v>
      </x:c>
      <x:c r="C1320" s="16" t="n">
        <x:v>46181</x:v>
      </x:c>
      <x:c r="D1320" s="17" t="n">
        <x:v>252</x:v>
      </x:c>
      <x:c r="E1320" s="17" t="n">
        <x:v>424</x:v>
      </x:c>
      <x:c r="F1320" s="18" t="n">
        <x:v>4158.78</x:v>
      </x:c>
    </x:row>
    <x:row r="1321">
      <x:c r="A1321" s="14" t="str">
        <x:v>店长</x:v>
      </x:c>
      <x:c r="B1321" s="15" t="str">
        <x:v>朱春雨</x:v>
      </x:c>
      <x:c r="C1321" s="16" t="n">
        <x:v>46182</x:v>
      </x:c>
      <x:c r="D1321" s="17" t="n">
        <x:v>312</x:v>
      </x:c>
      <x:c r="E1321" s="17" t="n">
        <x:v>484</x:v>
      </x:c>
      <x:c r="F1321" s="18" t="n">
        <x:v>4799.88</x:v>
      </x:c>
    </x:row>
    <x:row r="1322">
      <x:c r="A1322" s="14" t="str">
        <x:v>店长</x:v>
      </x:c>
      <x:c r="B1322" s="15" t="str">
        <x:v>朱春雨</x:v>
      </x:c>
      <x:c r="C1322" s="16" t="n">
        <x:v>46183</x:v>
      </x:c>
      <x:c r="D1322" s="17" t="n">
        <x:v>284</x:v>
      </x:c>
      <x:c r="E1322" s="17" t="n">
        <x:v>433</x:v>
      </x:c>
      <x:c r="F1322" s="18" t="n">
        <x:v>4352.54</x:v>
      </x:c>
    </x:row>
    <x:row r="1323">
      <x:c r="A1323" s="14" t="str">
        <x:v>店长</x:v>
      </x:c>
      <x:c r="B1323" s="15" t="str">
        <x:v>朱春雨</x:v>
      </x:c>
      <x:c r="C1323" s="16" t="n">
        <x:v>46184</x:v>
      </x:c>
      <x:c r="D1323" s="17" t="n">
        <x:v>307</x:v>
      </x:c>
      <x:c r="E1323" s="17" t="n">
        <x:v>433</x:v>
      </x:c>
      <x:c r="F1323" s="18" t="n">
        <x:v>4493.93</x:v>
      </x:c>
    </x:row>
    <x:row r="1324">
      <x:c r="A1324" s="14" t="str">
        <x:v>店长</x:v>
      </x:c>
      <x:c r="B1324" s="15" t="str">
        <x:v>朱春雨</x:v>
      </x:c>
      <x:c r="C1324" s="16" t="n">
        <x:v>46185</x:v>
      </x:c>
      <x:c r="D1324" s="17" t="n">
        <x:v>310</x:v>
      </x:c>
      <x:c r="E1324" s="17" t="n">
        <x:v>469</x:v>
      </x:c>
      <x:c r="F1324" s="18" t="n">
        <x:v>4882.27</x:v>
      </x:c>
    </x:row>
    <x:row r="1325">
      <x:c r="A1325" s="14" t="str">
        <x:v>店长</x:v>
      </x:c>
      <x:c r="B1325" s="15" t="str">
        <x:v>朱春雨</x:v>
      </x:c>
      <x:c r="C1325" s="16" t="n">
        <x:v>46186</x:v>
      </x:c>
      <x:c r="D1325" s="17" t="n">
        <x:v>283</x:v>
      </x:c>
      <x:c r="E1325" s="17" t="n">
        <x:v>392</x:v>
      </x:c>
      <x:c r="F1325" s="18" t="n">
        <x:v>4172.97</x:v>
      </x:c>
    </x:row>
    <x:row r="1326">
      <x:c r="A1326" s="14" t="str">
        <x:v>店长</x:v>
      </x:c>
      <x:c r="B1326" s="15" t="str">
        <x:v>朱春雨</x:v>
      </x:c>
      <x:c r="C1326" s="16" t="n">
        <x:v>46187</x:v>
      </x:c>
      <x:c r="D1326" s="17" t="n">
        <x:v>263</x:v>
      </x:c>
      <x:c r="E1326" s="17" t="n">
        <x:v>384</x:v>
      </x:c>
      <x:c r="F1326" s="18" t="n">
        <x:v>3781.9</x:v>
      </x:c>
    </x:row>
    <x:row r="1327">
      <x:c r="A1327" s="14" t="str">
        <x:v>店长</x:v>
      </x:c>
      <x:c r="B1327" s="15" t="str">
        <x:v>朱春雨</x:v>
      </x:c>
      <x:c r="C1327" s="16" t="n">
        <x:v>46188</x:v>
      </x:c>
      <x:c r="D1327" s="17" t="n">
        <x:v>334</x:v>
      </x:c>
      <x:c r="E1327" s="17" t="n">
        <x:v>512</x:v>
      </x:c>
      <x:c r="F1327" s="18" t="n">
        <x:v>5281.69</x:v>
      </x:c>
    </x:row>
    <x:row r="1328">
      <x:c r="A1328" s="14" t="str">
        <x:v>店长</x:v>
      </x:c>
      <x:c r="B1328" s="15" t="str">
        <x:v>朱春雨</x:v>
      </x:c>
      <x:c r="C1328" s="16" t="n">
        <x:v>46189</x:v>
      </x:c>
      <x:c r="D1328" s="17" t="n">
        <x:v>317</x:v>
      </x:c>
      <x:c r="E1328" s="17" t="n">
        <x:v>489</x:v>
      </x:c>
      <x:c r="F1328" s="18" t="n">
        <x:v>4849.74</x:v>
      </x:c>
    </x:row>
    <x:row r="1329">
      <x:c r="A1329" s="14" t="str">
        <x:v>店长</x:v>
      </x:c>
      <x:c r="B1329" s="15" t="str">
        <x:v>朱春雨</x:v>
      </x:c>
      <x:c r="C1329" s="16" t="n">
        <x:v>46190</x:v>
      </x:c>
      <x:c r="D1329" s="17" t="n">
        <x:v>235</x:v>
      </x:c>
      <x:c r="E1329" s="17" t="n">
        <x:v>336</x:v>
      </x:c>
      <x:c r="F1329" s="18" t="n">
        <x:v>3532.67</x:v>
      </x:c>
    </x:row>
    <x:row r="1330">
      <x:c r="A1330" s="14" t="str">
        <x:v>店长</x:v>
      </x:c>
      <x:c r="B1330" s="15" t="str">
        <x:v>朱春雨</x:v>
      </x:c>
      <x:c r="C1330" s="16" t="n">
        <x:v>46191</x:v>
      </x:c>
      <x:c r="D1330" s="17" t="n">
        <x:v>266</x:v>
      </x:c>
      <x:c r="E1330" s="17" t="n">
        <x:v>420</x:v>
      </x:c>
      <x:c r="F1330" s="18" t="n">
        <x:v>4310</x:v>
      </x:c>
    </x:row>
    <x:row r="1331">
      <x:c r="A1331" s="14" t="str">
        <x:v>店长</x:v>
      </x:c>
      <x:c r="B1331" s="15" t="str">
        <x:v>朱春雨</x:v>
      </x:c>
      <x:c r="C1331" s="16" t="n">
        <x:v>46192</x:v>
      </x:c>
      <x:c r="D1331" s="17" t="n">
        <x:v>273</x:v>
      </x:c>
      <x:c r="E1331" s="17" t="n">
        <x:v>421</x:v>
      </x:c>
      <x:c r="F1331" s="18" t="n">
        <x:v>4502.23</x:v>
      </x:c>
    </x:row>
    <x:row r="1332">
      <x:c r="A1332" s="14" t="str">
        <x:v>店长</x:v>
      </x:c>
      <x:c r="B1332" s="15" t="str">
        <x:v>朱春雨</x:v>
      </x:c>
      <x:c r="C1332" s="16" t="n">
        <x:v>46193</x:v>
      </x:c>
      <x:c r="D1332" s="17" t="n">
        <x:v>235</x:v>
      </x:c>
      <x:c r="E1332" s="17" t="n">
        <x:v>375</x:v>
      </x:c>
      <x:c r="F1332" s="18" t="n">
        <x:v>3818.6</x:v>
      </x:c>
    </x:row>
    <x:row r="1333">
      <x:c r="A1333" s="14" t="str">
        <x:v>店长</x:v>
      </x:c>
      <x:c r="B1333" s="15" t="str">
        <x:v>朱春雨</x:v>
      </x:c>
      <x:c r="C1333" s="16" t="n">
        <x:v>46194</x:v>
      </x:c>
      <x:c r="D1333" s="17" t="n">
        <x:v>308</x:v>
      </x:c>
      <x:c r="E1333" s="17" t="n">
        <x:v>497</x:v>
      </x:c>
      <x:c r="F1333" s="18" t="n">
        <x:v>4964.68</x:v>
      </x:c>
    </x:row>
    <x:row r="1334">
      <x:c r="A1334" s="14" t="str">
        <x:v>店长</x:v>
      </x:c>
      <x:c r="B1334" s="15" t="str">
        <x:v>朱春雨</x:v>
      </x:c>
      <x:c r="C1334" s="16" t="n">
        <x:v>46195</x:v>
      </x:c>
      <x:c r="D1334" s="17" t="n">
        <x:v>310</x:v>
      </x:c>
      <x:c r="E1334" s="17" t="n">
        <x:v>548</x:v>
      </x:c>
      <x:c r="F1334" s="18" t="n">
        <x:v>5174.76</x:v>
      </x:c>
    </x:row>
    <x:row r="1335">
      <x:c r="A1335" s="14" t="str">
        <x:v>店长</x:v>
      </x:c>
      <x:c r="B1335" s="15" t="str">
        <x:v>朱春雨</x:v>
      </x:c>
      <x:c r="C1335" s="16" t="n">
        <x:v>46196</x:v>
      </x:c>
      <x:c r="D1335" s="17" t="n">
        <x:v>290</x:v>
      </x:c>
      <x:c r="E1335" s="17" t="n">
        <x:v>447</x:v>
      </x:c>
      <x:c r="F1335" s="18" t="n">
        <x:v>4705.97</x:v>
      </x:c>
    </x:row>
    <x:row r="1336">
      <x:c r="A1336" s="14" t="str">
        <x:v>店长</x:v>
      </x:c>
      <x:c r="B1336" s="15" t="str">
        <x:v>朱春雨</x:v>
      </x:c>
      <x:c r="C1336" s="16" t="n">
        <x:v>46197</x:v>
      </x:c>
      <x:c r="D1336" s="17" t="n">
        <x:v>320</x:v>
      </x:c>
      <x:c r="E1336" s="17" t="n">
        <x:v>518</x:v>
      </x:c>
      <x:c r="F1336" s="18" t="n">
        <x:v>5233.85</x:v>
      </x:c>
    </x:row>
    <x:row r="1337">
      <x:c r="A1337" s="14" t="str">
        <x:v>店长</x:v>
      </x:c>
      <x:c r="B1337" s="15" t="str">
        <x:v>朱春雨</x:v>
      </x:c>
      <x:c r="C1337" s="16" t="n">
        <x:v>46198</x:v>
      </x:c>
      <x:c r="D1337" s="17" t="n">
        <x:v>369</x:v>
      </x:c>
      <x:c r="E1337" s="17" t="n">
        <x:v>591</x:v>
      </x:c>
      <x:c r="F1337" s="18" t="n">
        <x:v>6042.49</x:v>
      </x:c>
    </x:row>
    <x:row r="1338">
      <x:c r="A1338" s="14" t="str">
        <x:v>店长</x:v>
      </x:c>
      <x:c r="B1338" s="15" t="str">
        <x:v>朱春雨</x:v>
      </x:c>
      <x:c r="C1338" s="16" t="n">
        <x:v>46199</x:v>
      </x:c>
      <x:c r="D1338" s="17" t="n">
        <x:v>391</x:v>
      </x:c>
      <x:c r="E1338" s="17" t="n">
        <x:v>633</x:v>
      </x:c>
      <x:c r="F1338" s="18" t="n">
        <x:v>6242.21</x:v>
      </x:c>
    </x:row>
    <x:row r="1339">
      <x:c r="A1339" s="14" t="str">
        <x:v>店长</x:v>
      </x:c>
      <x:c r="B1339" s="15" t="str">
        <x:v>朱春雨</x:v>
      </x:c>
      <x:c r="C1339" s="16" t="n">
        <x:v>46200</x:v>
      </x:c>
      <x:c r="D1339" s="17" t="n">
        <x:v>381</x:v>
      </x:c>
      <x:c r="E1339" s="17" t="n">
        <x:v>596</x:v>
      </x:c>
      <x:c r="F1339" s="18" t="n">
        <x:v>5969.41</x:v>
      </x:c>
    </x:row>
    <x:row r="1340">
      <x:c r="A1340" s="14" t="str">
        <x:v>店长</x:v>
      </x:c>
      <x:c r="B1340" s="15" t="str">
        <x:v>朱春雨</x:v>
      </x:c>
      <x:c r="C1340" s="16" t="n">
        <x:v>46201</x:v>
      </x:c>
      <x:c r="D1340" s="17" t="n">
        <x:v>343</x:v>
      </x:c>
      <x:c r="E1340" s="17" t="n">
        <x:v>526</x:v>
      </x:c>
      <x:c r="F1340" s="18" t="n">
        <x:v>5140.84</x:v>
      </x:c>
    </x:row>
    <x:row r="1341">
      <x:c r="A1341" s="14" t="str">
        <x:v>店长</x:v>
      </x:c>
      <x:c r="B1341" s="15" t="str">
        <x:v>朱春雨</x:v>
      </x:c>
      <x:c r="C1341" s="16" t="n">
        <x:v>46202</x:v>
      </x:c>
      <x:c r="D1341" s="17" t="n">
        <x:v>353</x:v>
      </x:c>
      <x:c r="E1341" s="17" t="n">
        <x:v>531</x:v>
      </x:c>
      <x:c r="F1341" s="18" t="n">
        <x:v>5273.45</x:v>
      </x:c>
    </x:row>
    <x:row r="1342">
      <x:c r="A1342" s="14" t="str">
        <x:v>店长</x:v>
      </x:c>
      <x:c r="B1342" s="15" t="str">
        <x:v>朱春雨</x:v>
      </x:c>
      <x:c r="C1342" s="16" t="n">
        <x:v>46203</x:v>
      </x:c>
      <x:c r="D1342" s="17" t="n">
        <x:v>357</x:v>
      </x:c>
      <x:c r="E1342" s="17" t="n">
        <x:v>640</x:v>
      </x:c>
      <x:c r="F1342" s="18" t="n">
        <x:v>6263.07</x:v>
      </x:c>
    </x:row>
    <x:row r="1343">
      <x:c r="A1343" s="14" t="str">
        <x:v>店长</x:v>
      </x:c>
      <x:c r="B1343" s="15" t="str">
        <x:v>朱春雨</x:v>
      </x:c>
      <x:c r="C1343" s="16" t="n">
        <x:v>46204</x:v>
      </x:c>
      <x:c r="D1343" s="17" t="n">
        <x:v>366</x:v>
      </x:c>
      <x:c r="E1343" s="17" t="n">
        <x:v>550</x:v>
      </x:c>
      <x:c r="F1343" s="18" t="n">
        <x:v>5738.5</x:v>
      </x:c>
    </x:row>
    <x:row r="1344">
      <x:c r="A1344" s="14" t="str">
        <x:v>店长</x:v>
      </x:c>
      <x:c r="B1344" s="15" t="str">
        <x:v>朱春雨</x:v>
      </x:c>
      <x:c r="C1344" s="16" t="n">
        <x:v>46205</x:v>
      </x:c>
      <x:c r="D1344" s="17" t="n">
        <x:v>371</x:v>
      </x:c>
      <x:c r="E1344" s="17" t="n">
        <x:v>580</x:v>
      </x:c>
      <x:c r="F1344" s="18" t="n">
        <x:v>5540.22</x:v>
      </x:c>
    </x:row>
    <x:row r="1345">
      <x:c r="A1345" s="14" t="str">
        <x:v>店长</x:v>
      </x:c>
      <x:c r="B1345" s="15" t="str">
        <x:v>朱春雨</x:v>
      </x:c>
      <x:c r="C1345" s="16" t="n">
        <x:v>46206</x:v>
      </x:c>
      <x:c r="D1345" s="17" t="n">
        <x:v>340</x:v>
      </x:c>
      <x:c r="E1345" s="17" t="n">
        <x:v>522</x:v>
      </x:c>
      <x:c r="F1345" s="18" t="n">
        <x:v>5005.99</x:v>
      </x:c>
    </x:row>
    <x:row r="1346">
      <x:c r="A1346" s="14" t="str">
        <x:v>店长</x:v>
      </x:c>
      <x:c r="B1346" s="15" t="str">
        <x:v>朱春雨</x:v>
      </x:c>
      <x:c r="C1346" s="16" t="n">
        <x:v>46207</x:v>
      </x:c>
      <x:c r="D1346" s="17" t="n">
        <x:v>330</x:v>
      </x:c>
      <x:c r="E1346" s="17" t="n">
        <x:v>534</x:v>
      </x:c>
      <x:c r="F1346" s="18" t="n">
        <x:v>5423.96</x:v>
      </x:c>
    </x:row>
    <x:row r="1347">
      <x:c r="A1347" s="14" t="str">
        <x:v>店长</x:v>
      </x:c>
      <x:c r="B1347" s="15" t="str">
        <x:v>朱春雨</x:v>
      </x:c>
      <x:c r="C1347" s="16" t="n">
        <x:v>46208</x:v>
      </x:c>
      <x:c r="D1347" s="17" t="n">
        <x:v>286</x:v>
      </x:c>
      <x:c r="E1347" s="17" t="n">
        <x:v>413</x:v>
      </x:c>
      <x:c r="F1347" s="18" t="n">
        <x:v>4324.59</x:v>
      </x:c>
    </x:row>
    <x:row r="1348">
      <x:c r="A1348" s="14" t="str">
        <x:v>店长</x:v>
      </x:c>
      <x:c r="B1348" s="15" t="str">
        <x:v>朱春雨</x:v>
      </x:c>
      <x:c r="C1348" s="16" t="n">
        <x:v>46209</x:v>
      </x:c>
      <x:c r="D1348" s="17" t="n">
        <x:v>258</x:v>
      </x:c>
      <x:c r="E1348" s="17" t="n">
        <x:v>424</x:v>
      </x:c>
      <x:c r="F1348" s="18" t="n">
        <x:v>4149.07</x:v>
      </x:c>
    </x:row>
    <x:row r="1349">
      <x:c r="A1349" s="14" t="str">
        <x:v>店长</x:v>
      </x:c>
      <x:c r="B1349" s="15" t="str">
        <x:v>朱春雨</x:v>
      </x:c>
      <x:c r="C1349" s="16" t="n">
        <x:v>46210</x:v>
      </x:c>
      <x:c r="D1349" s="17" t="n">
        <x:v>306</x:v>
      </x:c>
      <x:c r="E1349" s="17" t="n">
        <x:v>536</x:v>
      </x:c>
      <x:c r="F1349" s="18" t="n">
        <x:v>5234.53</x:v>
      </x:c>
    </x:row>
    <x:row r="1350">
      <x:c r="A1350" s="14" t="str">
        <x:v>店长</x:v>
      </x:c>
      <x:c r="B1350" s="15" t="str">
        <x:v>朱春雨</x:v>
      </x:c>
      <x:c r="C1350" s="16" t="n">
        <x:v>46211</x:v>
      </x:c>
      <x:c r="D1350" s="17" t="n">
        <x:v>373</x:v>
      </x:c>
      <x:c r="E1350" s="17" t="n">
        <x:v>623</x:v>
      </x:c>
      <x:c r="F1350" s="18" t="n">
        <x:v>5720.9</x:v>
      </x:c>
    </x:row>
    <x:row r="1351">
      <x:c r="A1351" s="14" t="str">
        <x:v>店长</x:v>
      </x:c>
      <x:c r="B1351" s="15" t="str">
        <x:v>朱春雨</x:v>
      </x:c>
      <x:c r="C1351" s="16" t="n">
        <x:v>46212</x:v>
      </x:c>
      <x:c r="D1351" s="17" t="n">
        <x:v>287</x:v>
      </x:c>
      <x:c r="E1351" s="17" t="n">
        <x:v>519</x:v>
      </x:c>
      <x:c r="F1351" s="18" t="n">
        <x:v>4832.15</x:v>
      </x:c>
    </x:row>
    <x:row r="1352">
      <x:c r="A1352" s="14" t="str">
        <x:v>店长</x:v>
      </x:c>
      <x:c r="B1352" s="15" t="str">
        <x:v>朱春雨</x:v>
      </x:c>
      <x:c r="C1352" s="16" t="n">
        <x:v>46213</x:v>
      </x:c>
      <x:c r="D1352" s="17" t="n">
        <x:v>327</x:v>
      </x:c>
      <x:c r="E1352" s="17" t="n">
        <x:v>522</x:v>
      </x:c>
      <x:c r="F1352" s="18" t="n">
        <x:v>4819.34</x:v>
      </x:c>
    </x:row>
    <x:row r="1353">
      <x:c r="A1353" s="14" t="str">
        <x:v>店长</x:v>
      </x:c>
      <x:c r="B1353" s="15" t="str">
        <x:v>朱春雨</x:v>
      </x:c>
      <x:c r="C1353" s="16" t="n">
        <x:v>46214</x:v>
      </x:c>
      <x:c r="D1353" s="17" t="n">
        <x:v>304</x:v>
      </x:c>
      <x:c r="E1353" s="17" t="n">
        <x:v>511</x:v>
      </x:c>
      <x:c r="F1353" s="18" t="n">
        <x:v>4842.66</x:v>
      </x:c>
    </x:row>
    <x:row r="1354">
      <x:c r="A1354" s="14" t="str">
        <x:v>店长</x:v>
      </x:c>
      <x:c r="B1354" s="15" t="str">
        <x:v>朱春雨</x:v>
      </x:c>
      <x:c r="C1354" s="16" t="n">
        <x:v>46215</x:v>
      </x:c>
      <x:c r="D1354" s="17" t="n">
        <x:v>278</x:v>
      </x:c>
      <x:c r="E1354" s="17" t="n">
        <x:v>419</x:v>
      </x:c>
      <x:c r="F1354" s="18" t="n">
        <x:v>4016.83</x:v>
      </x:c>
    </x:row>
    <x:row r="1355">
      <x:c r="A1355" s="14" t="str">
        <x:v>店长</x:v>
      </x:c>
      <x:c r="B1355" s="15" t="str">
        <x:v>朱春雨</x:v>
      </x:c>
      <x:c r="C1355" s="16" t="n">
        <x:v>46216</x:v>
      </x:c>
      <x:c r="D1355" s="17" t="n">
        <x:v>351</x:v>
      </x:c>
      <x:c r="E1355" s="17" t="n">
        <x:v>579</x:v>
      </x:c>
      <x:c r="F1355" s="18" t="n">
        <x:v>5461.94</x:v>
      </x:c>
    </x:row>
    <x:row r="1356">
      <x:c r="A1356" s="14" t="str">
        <x:v>店长</x:v>
      </x:c>
      <x:c r="B1356" s="15" t="str">
        <x:v>朱春雨</x:v>
      </x:c>
      <x:c r="C1356" s="16" t="n">
        <x:v>46217</x:v>
      </x:c>
      <x:c r="D1356" s="17" t="n">
        <x:v>304</x:v>
      </x:c>
      <x:c r="E1356" s="17" t="n">
        <x:v>526</x:v>
      </x:c>
      <x:c r="F1356" s="18" t="n">
        <x:v>4572.59</x:v>
      </x:c>
    </x:row>
    <x:row r="1357">
      <x:c r="A1357" s="14" t="str">
        <x:v>店长</x:v>
      </x:c>
      <x:c r="B1357" s="15" t="str">
        <x:v>朱春雨</x:v>
      </x:c>
      <x:c r="C1357" s="16" t="n">
        <x:v>46218</x:v>
      </x:c>
      <x:c r="D1357" s="17" t="n">
        <x:v>315</x:v>
      </x:c>
      <x:c r="E1357" s="17" t="n">
        <x:v>531</x:v>
      </x:c>
      <x:c r="F1357" s="18" t="n">
        <x:v>4684.19</x:v>
      </x:c>
    </x:row>
    <x:row r="1358">
      <x:c r="A1358" s="14" t="str">
        <x:v>店长</x:v>
      </x:c>
      <x:c r="B1358" s="15" t="str">
        <x:v>朱春雨</x:v>
      </x:c>
      <x:c r="C1358" s="16" t="n">
        <x:v>46219</x:v>
      </x:c>
      <x:c r="D1358" s="17" t="n">
        <x:v>326</x:v>
      </x:c>
      <x:c r="E1358" s="17" t="n">
        <x:v>530</x:v>
      </x:c>
      <x:c r="F1358" s="18" t="n">
        <x:v>4862.4</x:v>
      </x:c>
    </x:row>
    <x:row r="1359">
      <x:c r="A1359" s="14" t="str">
        <x:v>店长</x:v>
      </x:c>
      <x:c r="B1359" s="15" t="str">
        <x:v>朱春雨</x:v>
      </x:c>
      <x:c r="C1359" s="16" t="n">
        <x:v>46220</x:v>
      </x:c>
      <x:c r="D1359" s="17" t="n">
        <x:v>343</x:v>
      </x:c>
      <x:c r="E1359" s="17" t="n">
        <x:v>541</x:v>
      </x:c>
      <x:c r="F1359" s="18" t="n">
        <x:v>5010.21</x:v>
      </x:c>
    </x:row>
    <x:row r="1360">
      <x:c r="A1360" s="14" t="str">
        <x:v>店长</x:v>
      </x:c>
      <x:c r="B1360" s="15" t="str">
        <x:v>朱春雨</x:v>
      </x:c>
      <x:c r="C1360" s="16" t="n">
        <x:v>46221</x:v>
      </x:c>
      <x:c r="D1360" s="17" t="n">
        <x:v>210</x:v>
      </x:c>
      <x:c r="E1360" s="17" t="n">
        <x:v>302</x:v>
      </x:c>
      <x:c r="F1360" s="18" t="n">
        <x:v>2939.46</x:v>
      </x:c>
    </x:row>
    <x:row r="1361">
      <x:c r="A1361" s="14" t="str">
        <x:v>店长</x:v>
      </x:c>
      <x:c r="B1361" s="15" t="str">
        <x:v>朱春雨</x:v>
      </x:c>
      <x:c r="C1361" s="16" t="n">
        <x:v>46222</x:v>
      </x:c>
      <x:c r="D1361" s="17" t="n">
        <x:v>404</x:v>
      </x:c>
      <x:c r="E1361" s="17" t="n">
        <x:v>613</x:v>
      </x:c>
      <x:c r="F1361" s="18" t="n">
        <x:v>6012.1</x:v>
      </x:c>
    </x:row>
    <x:row r="1362">
      <x:c r="A1362" s="14" t="str">
        <x:v>店长</x:v>
      </x:c>
      <x:c r="B1362" s="15" t="str">
        <x:v>朱春雨</x:v>
      </x:c>
      <x:c r="C1362" s="16" t="n">
        <x:v>46223</x:v>
      </x:c>
      <x:c r="D1362" s="17" t="n">
        <x:v>342</x:v>
      </x:c>
      <x:c r="E1362" s="17" t="n">
        <x:v>473</x:v>
      </x:c>
      <x:c r="F1362" s="18" t="n">
        <x:v>4744.78</x:v>
      </x:c>
    </x:row>
    <x:row r="1363">
      <x:c r="A1363" s="14" t="str">
        <x:v>店长</x:v>
      </x:c>
      <x:c r="B1363" s="15" t="str">
        <x:v>朱春雨</x:v>
      </x:c>
      <x:c r="C1363" s="16" t="n">
        <x:v>46224</x:v>
      </x:c>
      <x:c r="D1363" s="17" t="n">
        <x:v>475</x:v>
      </x:c>
      <x:c r="E1363" s="17" t="n">
        <x:v>707</x:v>
      </x:c>
      <x:c r="F1363" s="18" t="n">
        <x:v>6960.55</x:v>
      </x:c>
    </x:row>
    <x:row r="1364">
      <x:c r="A1364" s="14" t="str">
        <x:v>店长</x:v>
      </x:c>
      <x:c r="B1364" s="15" t="str">
        <x:v>朱春雨</x:v>
      </x:c>
      <x:c r="C1364" s="16" t="n">
        <x:v>46225</x:v>
      </x:c>
      <x:c r="D1364" s="17" t="n">
        <x:v>392</x:v>
      </x:c>
      <x:c r="E1364" s="17" t="n">
        <x:v>576</x:v>
      </x:c>
      <x:c r="F1364" s="18" t="n">
        <x:v>5734.59</x:v>
      </x:c>
    </x:row>
    <x:row r="1365">
      <x:c r="A1365" s="14" t="str">
        <x:v>店长</x:v>
      </x:c>
      <x:c r="B1365" s="15" t="str">
        <x:v>朱春雨</x:v>
      </x:c>
      <x:c r="C1365" s="16" t="n">
        <x:v>46226</x:v>
      </x:c>
      <x:c r="D1365" s="17" t="n">
        <x:v>414</x:v>
      </x:c>
      <x:c r="E1365" s="17" t="n">
        <x:v>599</x:v>
      </x:c>
      <x:c r="F1365" s="18" t="n">
        <x:v>5873.82</x:v>
      </x:c>
    </x:row>
    <x:row r="1366">
      <x:c r="A1366" s="14" t="str">
        <x:v>店长</x:v>
      </x:c>
      <x:c r="B1366" s="15" t="str">
        <x:v>朱春雨</x:v>
      </x:c>
      <x:c r="C1366" s="16" t="n">
        <x:v>46227</x:v>
      </x:c>
      <x:c r="D1366" s="17" t="n">
        <x:v>526</x:v>
      </x:c>
      <x:c r="E1366" s="17" t="n">
        <x:v>827</x:v>
      </x:c>
      <x:c r="F1366" s="18" t="n">
        <x:v>7577.23</x:v>
      </x:c>
    </x:row>
    <x:row r="1367">
      <x:c r="A1367" s="14" t="str">
        <x:v>店长</x:v>
      </x:c>
      <x:c r="B1367" s="15" t="str">
        <x:v>朱春雨</x:v>
      </x:c>
      <x:c r="C1367" s="16" t="n">
        <x:v>46228</x:v>
      </x:c>
      <x:c r="D1367" s="17" t="n">
        <x:v>383</x:v>
      </x:c>
      <x:c r="E1367" s="17" t="n">
        <x:v>605</x:v>
      </x:c>
      <x:c r="F1367" s="18" t="n">
        <x:v>5619.44</x:v>
      </x:c>
    </x:row>
    <x:row r="1368">
      <x:c r="A1368" s="14" t="str">
        <x:v>店长</x:v>
      </x:c>
      <x:c r="B1368" s="15" t="str">
        <x:v>朱春雨</x:v>
      </x:c>
      <x:c r="C1368" s="16" t="n">
        <x:v>46229</x:v>
      </x:c>
      <x:c r="D1368" s="17" t="n">
        <x:v>432</x:v>
      </x:c>
      <x:c r="E1368" s="17" t="n">
        <x:v>640</x:v>
      </x:c>
      <x:c r="F1368" s="18" t="n">
        <x:v>5989.98</x:v>
      </x:c>
    </x:row>
    <x:row r="1369">
      <x:c r="A1369" s="14" t="str">
        <x:v>店长</x:v>
      </x:c>
      <x:c r="B1369" s="15" t="str">
        <x:v>朱春雨</x:v>
      </x:c>
      <x:c r="C1369" s="16" t="n">
        <x:v>46230</x:v>
      </x:c>
      <x:c r="D1369" s="17" t="n">
        <x:v>423</x:v>
      </x:c>
      <x:c r="E1369" s="17" t="n">
        <x:v>802</x:v>
      </x:c>
      <x:c r="F1369" s="18" t="n">
        <x:v>6794.77</x:v>
      </x:c>
    </x:row>
    <x:row r="1370">
      <x:c r="A1370" s="14" t="str">
        <x:v>店长</x:v>
      </x:c>
      <x:c r="B1370" s="15" t="str">
        <x:v>朱春雨</x:v>
      </x:c>
      <x:c r="C1370" s="16" t="n">
        <x:v>46231</x:v>
      </x:c>
      <x:c r="D1370" s="17" t="n">
        <x:v>385</x:v>
      </x:c>
      <x:c r="E1370" s="17" t="n">
        <x:v>616</x:v>
      </x:c>
      <x:c r="F1370" s="18" t="n">
        <x:v>5823.74</x:v>
      </x:c>
    </x:row>
    <x:row r="1371">
      <x:c r="A1371" s="14" t="str">
        <x:v>店长</x:v>
      </x:c>
      <x:c r="B1371" s="15" t="str">
        <x:v>朱春雨</x:v>
      </x:c>
      <x:c r="C1371" s="16" t="n">
        <x:v>46232</x:v>
      </x:c>
      <x:c r="D1371" s="17" t="n">
        <x:v>506</x:v>
      </x:c>
      <x:c r="E1371" s="17" t="n">
        <x:v>786</x:v>
      </x:c>
      <x:c r="F1371" s="18" t="n">
        <x:v>8039.83</x:v>
      </x:c>
    </x:row>
    <x:row r="1372">
      <x:c r="A1372" s="14" t="str">
        <x:v>店长</x:v>
      </x:c>
      <x:c r="B1372" s="15" t="str">
        <x:v>朱春雨</x:v>
      </x:c>
      <x:c r="C1372" s="16" t="n">
        <x:v>46233</x:v>
      </x:c>
      <x:c r="D1372" s="17" t="n">
        <x:v>425</x:v>
      </x:c>
      <x:c r="E1372" s="17" t="n">
        <x:v>701</x:v>
      </x:c>
      <x:c r="F1372" s="18" t="n">
        <x:v>6324.72</x:v>
      </x:c>
    </x:row>
    <x:row r="1373">
      <x:c r="A1373" s="14" t="str">
        <x:v>店长</x:v>
      </x:c>
      <x:c r="B1373" s="15" t="str">
        <x:v>朱春雨</x:v>
      </x:c>
      <x:c r="C1373" s="16" t="n">
        <x:v>46234</x:v>
      </x:c>
      <x:c r="D1373" s="17" t="n">
        <x:v>428</x:v>
      </x:c>
      <x:c r="E1373" s="17" t="n">
        <x:v>659</x:v>
      </x:c>
      <x:c r="F1373" s="18" t="n">
        <x:v>6289.48</x:v>
      </x:c>
    </x:row>
    <x:row r="1374">
      <x:c r="A1374" s="14" t="str">
        <x:v>店长</x:v>
      </x:c>
      <x:c r="B1374" s="15" t="str">
        <x:v>朱春雨</x:v>
      </x:c>
      <x:c r="C1374" s="16" t="n">
        <x:v>46235</x:v>
      </x:c>
      <x:c r="D1374" s="17" t="n">
        <x:v>453</x:v>
      </x:c>
      <x:c r="E1374" s="17" t="n">
        <x:v>775</x:v>
      </x:c>
      <x:c r="F1374" s="18" t="n">
        <x:v>7548.25</x:v>
      </x:c>
    </x:row>
    <x:row r="1375">
      <x:c r="A1375" s="14" t="str">
        <x:v>店长</x:v>
      </x:c>
      <x:c r="B1375" s="15" t="str">
        <x:v>朱春雨</x:v>
      </x:c>
      <x:c r="C1375" s="16" t="n">
        <x:v>46236</x:v>
      </x:c>
      <x:c r="D1375" s="17" t="n">
        <x:v>409</x:v>
      </x:c>
      <x:c r="E1375" s="17" t="n">
        <x:v>623</x:v>
      </x:c>
      <x:c r="F1375" s="18" t="n">
        <x:v>6001.67</x:v>
      </x:c>
    </x:row>
    <x:row r="1376">
      <x:c r="A1376" s="14" t="str">
        <x:v>店长</x:v>
      </x:c>
      <x:c r="B1376" s="15" t="str">
        <x:v>朱春雨</x:v>
      </x:c>
      <x:c r="C1376" s="16" t="n">
        <x:v>46237</x:v>
      </x:c>
      <x:c r="D1376" s="17" t="n">
        <x:v>540</x:v>
      </x:c>
      <x:c r="E1376" s="17" t="n">
        <x:v>871</x:v>
      </x:c>
      <x:c r="F1376" s="18" t="n">
        <x:v>7824.23</x:v>
      </x:c>
    </x:row>
    <x:row r="1377">
      <x:c r="A1377" s="14" t="str">
        <x:v>店长</x:v>
      </x:c>
      <x:c r="B1377" s="15" t="str">
        <x:v>朱春雨</x:v>
      </x:c>
      <x:c r="C1377" s="16" t="n">
        <x:v>46238</x:v>
      </x:c>
      <x:c r="D1377" s="17" t="n">
        <x:v>455</x:v>
      </x:c>
      <x:c r="E1377" s="17" t="n">
        <x:v>803</x:v>
      </x:c>
      <x:c r="F1377" s="18" t="n">
        <x:v>8566.35</x:v>
      </x:c>
    </x:row>
    <x:row r="1378">
      <x:c r="A1378" s="14" t="str">
        <x:v>店长</x:v>
      </x:c>
      <x:c r="B1378" s="15" t="str">
        <x:v>朱春雨</x:v>
      </x:c>
      <x:c r="C1378" s="16" t="n">
        <x:v>46239</x:v>
      </x:c>
      <x:c r="D1378" s="17" t="n">
        <x:v>499</x:v>
      </x:c>
      <x:c r="E1378" s="17" t="n">
        <x:v>777</x:v>
      </x:c>
      <x:c r="F1378" s="18" t="n">
        <x:v>7330.92</x:v>
      </x:c>
    </x:row>
    <x:row r="1379">
      <x:c r="A1379" s="14" t="str">
        <x:v>店长</x:v>
      </x:c>
      <x:c r="B1379" s="15" t="str">
        <x:v>朱春雨</x:v>
      </x:c>
      <x:c r="C1379" s="16" t="n">
        <x:v>46240</x:v>
      </x:c>
      <x:c r="D1379" s="17" t="n">
        <x:v>523</x:v>
      </x:c>
      <x:c r="E1379" s="17" t="n">
        <x:v>822</x:v>
      </x:c>
      <x:c r="F1379" s="18" t="n">
        <x:v>7967.37</x:v>
      </x:c>
    </x:row>
    <x:row r="1380">
      <x:c r="A1380" s="14" t="str">
        <x:v>店长</x:v>
      </x:c>
      <x:c r="B1380" s="15" t="str">
        <x:v>朱春雨</x:v>
      </x:c>
      <x:c r="C1380" s="16" t="n">
        <x:v>46241</x:v>
      </x:c>
      <x:c r="D1380" s="17" t="n">
        <x:v>523</x:v>
      </x:c>
      <x:c r="E1380" s="17" t="n">
        <x:v>738</x:v>
      </x:c>
      <x:c r="F1380" s="18" t="n">
        <x:v>6918.67</x:v>
      </x:c>
    </x:row>
    <x:row r="1381">
      <x:c r="A1381" s="14" t="str">
        <x:v>店长</x:v>
      </x:c>
      <x:c r="B1381" s="15" t="str">
        <x:v>朱春雨</x:v>
      </x:c>
      <x:c r="C1381" s="16" t="n">
        <x:v>46242</x:v>
      </x:c>
      <x:c r="D1381" s="17" t="n">
        <x:v>683</x:v>
      </x:c>
      <x:c r="E1381" s="17" t="n">
        <x:v>1106</x:v>
      </x:c>
      <x:c r="F1381" s="18" t="n">
        <x:v>10597.85</x:v>
      </x:c>
    </x:row>
    <x:row r="1382">
      <x:c r="A1382" s="14" t="str">
        <x:v>店长</x:v>
      </x:c>
      <x:c r="B1382" s="15" t="str">
        <x:v>朱春雨</x:v>
      </x:c>
      <x:c r="C1382" s="16" t="n">
        <x:v>46243</x:v>
      </x:c>
      <x:c r="D1382" s="17" t="n">
        <x:v>504</x:v>
      </x:c>
      <x:c r="E1382" s="17" t="n">
        <x:v>763</x:v>
      </x:c>
      <x:c r="F1382" s="18" t="n">
        <x:v>7557.06</x:v>
      </x:c>
    </x:row>
    <x:row r="1383">
      <x:c r="A1383" s="14" t="str">
        <x:v>店长</x:v>
      </x:c>
      <x:c r="B1383" s="15" t="str">
        <x:v>朱春雨</x:v>
      </x:c>
      <x:c r="C1383" s="16" t="n">
        <x:v>46244</x:v>
      </x:c>
      <x:c r="D1383" s="17" t="n">
        <x:v>899</x:v>
      </x:c>
      <x:c r="E1383" s="17" t="n">
        <x:v>1341</x:v>
      </x:c>
      <x:c r="F1383" s="18" t="n">
        <x:v>13452.86</x:v>
      </x:c>
    </x:row>
    <x:row r="1384">
      <x:c r="A1384" s="14" t="str">
        <x:v>店长</x:v>
      </x:c>
      <x:c r="B1384" s="15" t="str">
        <x:v>朱春雨</x:v>
      </x:c>
      <x:c r="C1384" s="16" t="n">
        <x:v>46245</x:v>
      </x:c>
      <x:c r="D1384" s="17" t="n">
        <x:v>640</x:v>
      </x:c>
      <x:c r="E1384" s="17" t="n">
        <x:v>944</x:v>
      </x:c>
      <x:c r="F1384" s="18" t="n">
        <x:v>9311.5</x:v>
      </x:c>
    </x:row>
    <x:row r="1385">
      <x:c r="A1385" s="14" t="str">
        <x:v>店长</x:v>
      </x:c>
      <x:c r="B1385" s="15" t="str">
        <x:v>朱春雨</x:v>
      </x:c>
      <x:c r="C1385" s="16" t="n">
        <x:v>46246</x:v>
      </x:c>
      <x:c r="D1385" s="17" t="n">
        <x:v>575</x:v>
      </x:c>
      <x:c r="E1385" s="17" t="n">
        <x:v>822</x:v>
      </x:c>
      <x:c r="F1385" s="18" t="n">
        <x:v>8416.97</x:v>
      </x:c>
    </x:row>
    <x:row r="1386">
      <x:c r="A1386" s="14" t="str">
        <x:v>店长</x:v>
      </x:c>
      <x:c r="B1386" s="15" t="str">
        <x:v>朱春雨</x:v>
      </x:c>
      <x:c r="C1386" s="16" t="n">
        <x:v>46247</x:v>
      </x:c>
      <x:c r="D1386" s="17" t="n">
        <x:v>624</x:v>
      </x:c>
      <x:c r="E1386" s="17" t="n">
        <x:v>940</x:v>
      </x:c>
      <x:c r="F1386" s="18" t="n">
        <x:v>9059.27</x:v>
      </x:c>
    </x:row>
    <x:row r="1387">
      <x:c r="A1387" s="14" t="str">
        <x:v>店长</x:v>
      </x:c>
      <x:c r="B1387" s="15" t="str">
        <x:v>朱春雨</x:v>
      </x:c>
      <x:c r="C1387" s="16" t="n">
        <x:v>46248</x:v>
      </x:c>
      <x:c r="D1387" s="17" t="n">
        <x:v>542</x:v>
      </x:c>
      <x:c r="E1387" s="17" t="n">
        <x:v>802</x:v>
      </x:c>
      <x:c r="F1387" s="18" t="n">
        <x:v>7679.48</x:v>
      </x:c>
    </x:row>
    <x:row r="1388">
      <x:c r="A1388" s="14" t="str">
        <x:v>店长</x:v>
      </x:c>
      <x:c r="B1388" s="15" t="str">
        <x:v>朱春雨</x:v>
      </x:c>
      <x:c r="C1388" s="16" t="n">
        <x:v>46249</x:v>
      </x:c>
      <x:c r="D1388" s="17" t="n">
        <x:v>621</x:v>
      </x:c>
      <x:c r="E1388" s="17" t="n">
        <x:v>932</x:v>
      </x:c>
      <x:c r="F1388" s="18" t="n">
        <x:v>9427.92</x:v>
      </x:c>
    </x:row>
    <x:row r="1389">
      <x:c r="A1389" s="14" t="str">
        <x:v>店长</x:v>
      </x:c>
      <x:c r="B1389" s="15" t="str">
        <x:v>朱春雨</x:v>
      </x:c>
      <x:c r="C1389" s="16" t="n">
        <x:v>46250</x:v>
      </x:c>
      <x:c r="D1389" s="17" t="n">
        <x:v>535</x:v>
      </x:c>
      <x:c r="E1389" s="17" t="n">
        <x:v>870</x:v>
      </x:c>
      <x:c r="F1389" s="18" t="n">
        <x:v>8367.05</x:v>
      </x:c>
    </x:row>
    <x:row r="1390">
      <x:c r="A1390" s="14" t="str">
        <x:v>店长</x:v>
      </x:c>
      <x:c r="B1390" s="15" t="str">
        <x:v>朱春雨</x:v>
      </x:c>
      <x:c r="C1390" s="16" t="n">
        <x:v>46251</x:v>
      </x:c>
      <x:c r="D1390" s="17" t="n">
        <x:v>654</x:v>
      </x:c>
      <x:c r="E1390" s="17" t="n">
        <x:v>934</x:v>
      </x:c>
      <x:c r="F1390" s="18" t="n">
        <x:v>9226.12</x:v>
      </x:c>
    </x:row>
    <x:row r="1391">
      <x:c r="A1391" s="14" t="str">
        <x:v>店长</x:v>
      </x:c>
      <x:c r="B1391" s="15" t="str">
        <x:v>朱春雨</x:v>
      </x:c>
      <x:c r="C1391" s="16" t="n">
        <x:v>46252</x:v>
      </x:c>
      <x:c r="D1391" s="17" t="n">
        <x:v>535</x:v>
      </x:c>
      <x:c r="E1391" s="17" t="n">
        <x:v>792</x:v>
      </x:c>
      <x:c r="F1391" s="18" t="n">
        <x:v>7828.53</x:v>
      </x:c>
    </x:row>
    <x:row r="1392">
      <x:c r="A1392" s="14" t="str">
        <x:v>店长</x:v>
      </x:c>
      <x:c r="B1392" s="15" t="str">
        <x:v>朱春雨</x:v>
      </x:c>
      <x:c r="C1392" s="16" t="n">
        <x:v>46253</x:v>
      </x:c>
      <x:c r="D1392" s="17" t="n">
        <x:v>639</x:v>
      </x:c>
      <x:c r="E1392" s="17" t="n">
        <x:v>938</x:v>
      </x:c>
      <x:c r="F1392" s="18" t="n">
        <x:v>9422.04</x:v>
      </x:c>
    </x:row>
    <x:row r="1393">
      <x:c r="A1393" s="14" t="str">
        <x:v>店长</x:v>
      </x:c>
      <x:c r="B1393" s="15" t="str">
        <x:v>朱春雨</x:v>
      </x:c>
      <x:c r="C1393" s="16" t="n">
        <x:v>46254</x:v>
      </x:c>
      <x:c r="D1393" s="17" t="n">
        <x:v>477</x:v>
      </x:c>
      <x:c r="E1393" s="17" t="n">
        <x:v>684</x:v>
      </x:c>
      <x:c r="F1393" s="18" t="n">
        <x:v>6720.66</x:v>
      </x:c>
    </x:row>
    <x:row r="1394">
      <x:c r="A1394" s="14" t="str">
        <x:v>店长</x:v>
      </x:c>
      <x:c r="B1394" s="15" t="str">
        <x:v>吴承龙</x:v>
      </x:c>
      <x:c r="C1394" s="16" t="n">
        <x:v>46023</x:v>
      </x:c>
      <x:c r="D1394" s="17" t="n">
        <x:v>586</x:v>
      </x:c>
      <x:c r="E1394" s="17" t="n">
        <x:v>795</x:v>
      </x:c>
      <x:c r="F1394" s="18" t="n">
        <x:v>7793.21</x:v>
      </x:c>
    </x:row>
    <x:row r="1395">
      <x:c r="A1395" s="14" t="str">
        <x:v>店长</x:v>
      </x:c>
      <x:c r="B1395" s="15" t="str">
        <x:v>吴承龙</x:v>
      </x:c>
      <x:c r="C1395" s="16" t="n">
        <x:v>46024</x:v>
      </x:c>
      <x:c r="D1395" s="17" t="n">
        <x:v>703</x:v>
      </x:c>
      <x:c r="E1395" s="17" t="n">
        <x:v>1030</x:v>
      </x:c>
      <x:c r="F1395" s="18" t="n">
        <x:v>11455.36</x:v>
      </x:c>
    </x:row>
    <x:row r="1396">
      <x:c r="A1396" s="14" t="str">
        <x:v>店长</x:v>
      </x:c>
      <x:c r="B1396" s="15" t="str">
        <x:v>吴承龙</x:v>
      </x:c>
      <x:c r="C1396" s="16" t="n">
        <x:v>46025</x:v>
      </x:c>
      <x:c r="D1396" s="17" t="n">
        <x:v>632</x:v>
      </x:c>
      <x:c r="E1396" s="17" t="n">
        <x:v>915</x:v>
      </x:c>
      <x:c r="F1396" s="18" t="n">
        <x:v>9314.46</x:v>
      </x:c>
    </x:row>
    <x:row r="1397">
      <x:c r="A1397" s="14" t="str">
        <x:v>店长</x:v>
      </x:c>
      <x:c r="B1397" s="15" t="str">
        <x:v>吴承龙</x:v>
      </x:c>
      <x:c r="C1397" s="16" t="n">
        <x:v>46026</x:v>
      </x:c>
      <x:c r="D1397" s="17" t="n">
        <x:v>676</x:v>
      </x:c>
      <x:c r="E1397" s="17" t="n">
        <x:v>927</x:v>
      </x:c>
      <x:c r="F1397" s="18" t="n">
        <x:v>9734.6</x:v>
      </x:c>
    </x:row>
    <x:row r="1398">
      <x:c r="A1398" s="14" t="str">
        <x:v>店长</x:v>
      </x:c>
      <x:c r="B1398" s="15" t="str">
        <x:v>吴承龙</x:v>
      </x:c>
      <x:c r="C1398" s="16" t="n">
        <x:v>46027</x:v>
      </x:c>
      <x:c r="D1398" s="17" t="n">
        <x:v>649</x:v>
      </x:c>
      <x:c r="E1398" s="17" t="n">
        <x:v>1045</x:v>
      </x:c>
      <x:c r="F1398" s="18" t="n">
        <x:v>10760.48</x:v>
      </x:c>
    </x:row>
    <x:row r="1399">
      <x:c r="A1399" s="14" t="str">
        <x:v>店长</x:v>
      </x:c>
      <x:c r="B1399" s="15" t="str">
        <x:v>吴承龙</x:v>
      </x:c>
      <x:c r="C1399" s="16" t="n">
        <x:v>46028</x:v>
      </x:c>
      <x:c r="D1399" s="17" t="n">
        <x:v>710</x:v>
      </x:c>
      <x:c r="E1399" s="17" t="n">
        <x:v>1018</x:v>
      </x:c>
      <x:c r="F1399" s="18" t="n">
        <x:v>10074.98</x:v>
      </x:c>
    </x:row>
    <x:row r="1400">
      <x:c r="A1400" s="14" t="str">
        <x:v>店长</x:v>
      </x:c>
      <x:c r="B1400" s="15" t="str">
        <x:v>吴承龙</x:v>
      </x:c>
      <x:c r="C1400" s="16" t="n">
        <x:v>46029</x:v>
      </x:c>
      <x:c r="D1400" s="17" t="n">
        <x:v>618</x:v>
      </x:c>
      <x:c r="E1400" s="17" t="n">
        <x:v>927</x:v>
      </x:c>
      <x:c r="F1400" s="18" t="n">
        <x:v>10050.79</x:v>
      </x:c>
    </x:row>
    <x:row r="1401">
      <x:c r="A1401" s="14" t="str">
        <x:v>店长</x:v>
      </x:c>
      <x:c r="B1401" s="15" t="str">
        <x:v>吴承龙</x:v>
      </x:c>
      <x:c r="C1401" s="16" t="n">
        <x:v>46030</x:v>
      </x:c>
      <x:c r="D1401" s="17" t="n">
        <x:v>582</x:v>
      </x:c>
      <x:c r="E1401" s="17" t="n">
        <x:v>904</x:v>
      </x:c>
      <x:c r="F1401" s="18" t="n">
        <x:v>9219.2</x:v>
      </x:c>
    </x:row>
    <x:row r="1402">
      <x:c r="A1402" s="14" t="str">
        <x:v>店长</x:v>
      </x:c>
      <x:c r="B1402" s="15" t="str">
        <x:v>吴承龙</x:v>
      </x:c>
      <x:c r="C1402" s="16" t="n">
        <x:v>46031</x:v>
      </x:c>
      <x:c r="D1402" s="17" t="n">
        <x:v>716</x:v>
      </x:c>
      <x:c r="E1402" s="17" t="n">
        <x:v>1111</x:v>
      </x:c>
      <x:c r="F1402" s="18" t="n">
        <x:v>11687.22</x:v>
      </x:c>
    </x:row>
    <x:row r="1403">
      <x:c r="A1403" s="14" t="str">
        <x:v>店长</x:v>
      </x:c>
      <x:c r="B1403" s="15" t="str">
        <x:v>吴承龙</x:v>
      </x:c>
      <x:c r="C1403" s="16" t="n">
        <x:v>46032</x:v>
      </x:c>
      <x:c r="D1403" s="17" t="n">
        <x:v>703</x:v>
      </x:c>
      <x:c r="E1403" s="17" t="n">
        <x:v>991</x:v>
      </x:c>
      <x:c r="F1403" s="18" t="n">
        <x:v>10084.66</x:v>
      </x:c>
    </x:row>
    <x:row r="1404">
      <x:c r="A1404" s="14" t="str">
        <x:v>店长</x:v>
      </x:c>
      <x:c r="B1404" s="15" t="str">
        <x:v>吴承龙</x:v>
      </x:c>
      <x:c r="C1404" s="16" t="n">
        <x:v>46033</x:v>
      </x:c>
      <x:c r="D1404" s="17" t="n">
        <x:v>664</x:v>
      </x:c>
      <x:c r="E1404" s="17" t="n">
        <x:v>942</x:v>
      </x:c>
      <x:c r="F1404" s="18" t="n">
        <x:v>9962.99</x:v>
      </x:c>
    </x:row>
    <x:row r="1405">
      <x:c r="A1405" s="14" t="str">
        <x:v>店长</x:v>
      </x:c>
      <x:c r="B1405" s="15" t="str">
        <x:v>吴承龙</x:v>
      </x:c>
      <x:c r="C1405" s="16" t="n">
        <x:v>46034</x:v>
      </x:c>
      <x:c r="D1405" s="17" t="n">
        <x:v>817</x:v>
      </x:c>
      <x:c r="E1405" s="17" t="n">
        <x:v>1216</x:v>
      </x:c>
      <x:c r="F1405" s="18" t="n">
        <x:v>11734.58</x:v>
      </x:c>
    </x:row>
    <x:row r="1406">
      <x:c r="A1406" s="14" t="str">
        <x:v>店长</x:v>
      </x:c>
      <x:c r="B1406" s="15" t="str">
        <x:v>吴承龙</x:v>
      </x:c>
      <x:c r="C1406" s="16" t="n">
        <x:v>46035</x:v>
      </x:c>
      <x:c r="D1406" s="17" t="n">
        <x:v>831</x:v>
      </x:c>
      <x:c r="E1406" s="17" t="n">
        <x:v>1224</x:v>
      </x:c>
      <x:c r="F1406" s="18" t="n">
        <x:v>12404.21</x:v>
      </x:c>
    </x:row>
    <x:row r="1407">
      <x:c r="A1407" s="14" t="str">
        <x:v>店长</x:v>
      </x:c>
      <x:c r="B1407" s="15" t="str">
        <x:v>吴承龙</x:v>
      </x:c>
      <x:c r="C1407" s="16" t="n">
        <x:v>46036</x:v>
      </x:c>
      <x:c r="D1407" s="17" t="n">
        <x:v>705</x:v>
      </x:c>
      <x:c r="E1407" s="17" t="n">
        <x:v>980</x:v>
      </x:c>
      <x:c r="F1407" s="18" t="n">
        <x:v>10298.19</x:v>
      </x:c>
    </x:row>
    <x:row r="1408">
      <x:c r="A1408" s="14" t="str">
        <x:v>店长</x:v>
      </x:c>
      <x:c r="B1408" s="15" t="str">
        <x:v>吴承龙</x:v>
      </x:c>
      <x:c r="C1408" s="16" t="n">
        <x:v>46037</x:v>
      </x:c>
      <x:c r="D1408" s="17" t="n">
        <x:v>780</x:v>
      </x:c>
      <x:c r="E1408" s="17" t="n">
        <x:v>1184</x:v>
      </x:c>
      <x:c r="F1408" s="18" t="n">
        <x:v>11363.99</x:v>
      </x:c>
    </x:row>
    <x:row r="1409">
      <x:c r="A1409" s="14" t="str">
        <x:v>店长</x:v>
      </x:c>
      <x:c r="B1409" s="15" t="str">
        <x:v>吴承龙</x:v>
      </x:c>
      <x:c r="C1409" s="16" t="n">
        <x:v>46038</x:v>
      </x:c>
      <x:c r="D1409" s="17" t="n">
        <x:v>631</x:v>
      </x:c>
      <x:c r="E1409" s="17" t="n">
        <x:v>889</x:v>
      </x:c>
      <x:c r="F1409" s="18" t="n">
        <x:v>8755.99</x:v>
      </x:c>
    </x:row>
    <x:row r="1410">
      <x:c r="A1410" s="14" t="str">
        <x:v>店长</x:v>
      </x:c>
      <x:c r="B1410" s="15" t="str">
        <x:v>吴承龙</x:v>
      </x:c>
      <x:c r="C1410" s="16" t="n">
        <x:v>46039</x:v>
      </x:c>
      <x:c r="D1410" s="17" t="n">
        <x:v>662</x:v>
      </x:c>
      <x:c r="E1410" s="17" t="n">
        <x:v>944</x:v>
      </x:c>
      <x:c r="F1410" s="18" t="n">
        <x:v>9338.96</x:v>
      </x:c>
    </x:row>
    <x:row r="1411">
      <x:c r="A1411" s="14" t="str">
        <x:v>店长</x:v>
      </x:c>
      <x:c r="B1411" s="15" t="str">
        <x:v>吴承龙</x:v>
      </x:c>
      <x:c r="C1411" s="16" t="n">
        <x:v>46040</x:v>
      </x:c>
      <x:c r="D1411" s="17" t="n">
        <x:v>623</x:v>
      </x:c>
      <x:c r="E1411" s="17" t="n">
        <x:v>906</x:v>
      </x:c>
      <x:c r="F1411" s="18" t="n">
        <x:v>9682.29</x:v>
      </x:c>
    </x:row>
    <x:row r="1412">
      <x:c r="A1412" s="14" t="str">
        <x:v>店长</x:v>
      </x:c>
      <x:c r="B1412" s="15" t="str">
        <x:v>吴承龙</x:v>
      </x:c>
      <x:c r="C1412" s="16" t="n">
        <x:v>46041</x:v>
      </x:c>
      <x:c r="D1412" s="17" t="n">
        <x:v>668</x:v>
      </x:c>
      <x:c r="E1412" s="17" t="n">
        <x:v>951</x:v>
      </x:c>
      <x:c r="F1412" s="18" t="n">
        <x:v>9716.08</x:v>
      </x:c>
    </x:row>
    <x:row r="1413">
      <x:c r="A1413" s="14" t="str">
        <x:v>店长</x:v>
      </x:c>
      <x:c r="B1413" s="15" t="str">
        <x:v>吴承龙</x:v>
      </x:c>
      <x:c r="C1413" s="16" t="n">
        <x:v>46042</x:v>
      </x:c>
      <x:c r="D1413" s="17" t="n">
        <x:v>644</x:v>
      </x:c>
      <x:c r="E1413" s="17" t="n">
        <x:v>921</x:v>
      </x:c>
      <x:c r="F1413" s="18" t="n">
        <x:v>9215.85</x:v>
      </x:c>
    </x:row>
    <x:row r="1414">
      <x:c r="A1414" s="14" t="str">
        <x:v>店长</x:v>
      </x:c>
      <x:c r="B1414" s="15" t="str">
        <x:v>吴承龙</x:v>
      </x:c>
      <x:c r="C1414" s="16" t="n">
        <x:v>46043</x:v>
      </x:c>
      <x:c r="D1414" s="17" t="n">
        <x:v>628</x:v>
      </x:c>
      <x:c r="E1414" s="17" t="n">
        <x:v>948</x:v>
      </x:c>
      <x:c r="F1414" s="18" t="n">
        <x:v>10018.9</x:v>
      </x:c>
    </x:row>
    <x:row r="1415">
      <x:c r="A1415" s="14" t="str">
        <x:v>店长</x:v>
      </x:c>
      <x:c r="B1415" s="15" t="str">
        <x:v>吴承龙</x:v>
      </x:c>
      <x:c r="C1415" s="16" t="n">
        <x:v>46044</x:v>
      </x:c>
      <x:c r="D1415" s="17" t="n">
        <x:v>542</x:v>
      </x:c>
      <x:c r="E1415" s="17" t="n">
        <x:v>745</x:v>
      </x:c>
      <x:c r="F1415" s="18" t="n">
        <x:v>7593.61</x:v>
      </x:c>
    </x:row>
    <x:row r="1416">
      <x:c r="A1416" s="14" t="str">
        <x:v>店长</x:v>
      </x:c>
      <x:c r="B1416" s="15" t="str">
        <x:v>吴承龙</x:v>
      </x:c>
      <x:c r="C1416" s="16" t="n">
        <x:v>46045</x:v>
      </x:c>
      <x:c r="D1416" s="17" t="n">
        <x:v>640</x:v>
      </x:c>
      <x:c r="E1416" s="17" t="n">
        <x:v>997</x:v>
      </x:c>
      <x:c r="F1416" s="18" t="n">
        <x:v>9724.21</x:v>
      </x:c>
    </x:row>
    <x:row r="1417">
      <x:c r="A1417" s="14" t="str">
        <x:v>店长</x:v>
      </x:c>
      <x:c r="B1417" s="15" t="str">
        <x:v>吴承龙</x:v>
      </x:c>
      <x:c r="C1417" s="16" t="n">
        <x:v>46046</x:v>
      </x:c>
      <x:c r="D1417" s="17" t="n">
        <x:v>629</x:v>
      </x:c>
      <x:c r="E1417" s="17" t="n">
        <x:v>943</x:v>
      </x:c>
      <x:c r="F1417" s="18" t="n">
        <x:v>9353.22</x:v>
      </x:c>
    </x:row>
    <x:row r="1418">
      <x:c r="A1418" s="14" t="str">
        <x:v>店长</x:v>
      </x:c>
      <x:c r="B1418" s="15" t="str">
        <x:v>吴承龙</x:v>
      </x:c>
      <x:c r="C1418" s="16" t="n">
        <x:v>46047</x:v>
      </x:c>
      <x:c r="D1418" s="17" t="n">
        <x:v>594</x:v>
      </x:c>
      <x:c r="E1418" s="17" t="n">
        <x:v>857</x:v>
      </x:c>
      <x:c r="F1418" s="18" t="n">
        <x:v>8383.73</x:v>
      </x:c>
    </x:row>
    <x:row r="1419">
      <x:c r="A1419" s="14" t="str">
        <x:v>店长</x:v>
      </x:c>
      <x:c r="B1419" s="15" t="str">
        <x:v>吴承龙</x:v>
      </x:c>
      <x:c r="C1419" s="16" t="n">
        <x:v>46048</x:v>
      </x:c>
      <x:c r="D1419" s="17" t="n">
        <x:v>756</x:v>
      </x:c>
      <x:c r="E1419" s="17" t="n">
        <x:v>1170</x:v>
      </x:c>
      <x:c r="F1419" s="18" t="n">
        <x:v>11310.21</x:v>
      </x:c>
    </x:row>
    <x:row r="1420">
      <x:c r="A1420" s="14" t="str">
        <x:v>店长</x:v>
      </x:c>
      <x:c r="B1420" s="15" t="str">
        <x:v>吴承龙</x:v>
      </x:c>
      <x:c r="C1420" s="16" t="n">
        <x:v>46049</x:v>
      </x:c>
      <x:c r="D1420" s="17" t="n">
        <x:v>587</x:v>
      </x:c>
      <x:c r="E1420" s="17" t="n">
        <x:v>841</x:v>
      </x:c>
      <x:c r="F1420" s="18" t="n">
        <x:v>8666.83</x:v>
      </x:c>
    </x:row>
    <x:row r="1421">
      <x:c r="A1421" s="14" t="str">
        <x:v>店长</x:v>
      </x:c>
      <x:c r="B1421" s="15" t="str">
        <x:v>吴承龙</x:v>
      </x:c>
      <x:c r="C1421" s="16" t="n">
        <x:v>46050</x:v>
      </x:c>
      <x:c r="D1421" s="17" t="n">
        <x:v>638</x:v>
      </x:c>
      <x:c r="E1421" s="17" t="n">
        <x:v>917</x:v>
      </x:c>
      <x:c r="F1421" s="18" t="n">
        <x:v>9520.96</x:v>
      </x:c>
    </x:row>
    <x:row r="1422">
      <x:c r="A1422" s="14" t="str">
        <x:v>店长</x:v>
      </x:c>
      <x:c r="B1422" s="15" t="str">
        <x:v>吴承龙</x:v>
      </x:c>
      <x:c r="C1422" s="16" t="n">
        <x:v>46051</x:v>
      </x:c>
      <x:c r="D1422" s="17" t="n">
        <x:v>646</x:v>
      </x:c>
      <x:c r="E1422" s="17" t="n">
        <x:v>916</x:v>
      </x:c>
      <x:c r="F1422" s="18" t="n">
        <x:v>9371.17</x:v>
      </x:c>
    </x:row>
    <x:row r="1423">
      <x:c r="A1423" s="14" t="str">
        <x:v>店长</x:v>
      </x:c>
      <x:c r="B1423" s="15" t="str">
        <x:v>吴承龙</x:v>
      </x:c>
      <x:c r="C1423" s="16" t="n">
        <x:v>46052</x:v>
      </x:c>
      <x:c r="D1423" s="17" t="n">
        <x:v>770</x:v>
      </x:c>
      <x:c r="E1423" s="17" t="n">
        <x:v>1109</x:v>
      </x:c>
      <x:c r="F1423" s="18" t="n">
        <x:v>11273.47</x:v>
      </x:c>
    </x:row>
    <x:row r="1424">
      <x:c r="A1424" s="14" t="str">
        <x:v>店长</x:v>
      </x:c>
      <x:c r="B1424" s="15" t="str">
        <x:v>吴承龙</x:v>
      </x:c>
      <x:c r="C1424" s="16" t="n">
        <x:v>46053</x:v>
      </x:c>
      <x:c r="D1424" s="17" t="n">
        <x:v>812</x:v>
      </x:c>
      <x:c r="E1424" s="17" t="n">
        <x:v>1147</x:v>
      </x:c>
      <x:c r="F1424" s="18" t="n">
        <x:v>11861.86</x:v>
      </x:c>
    </x:row>
    <x:row r="1425">
      <x:c r="A1425" s="14" t="str">
        <x:v>店长</x:v>
      </x:c>
      <x:c r="B1425" s="15" t="str">
        <x:v>吴承龙</x:v>
      </x:c>
      <x:c r="C1425" s="16" t="n">
        <x:v>46054</x:v>
      </x:c>
      <x:c r="D1425" s="17" t="n">
        <x:v>645</x:v>
      </x:c>
      <x:c r="E1425" s="17" t="n">
        <x:v>922</x:v>
      </x:c>
      <x:c r="F1425" s="18" t="n">
        <x:v>8869.59</x:v>
      </x:c>
    </x:row>
    <x:row r="1426">
      <x:c r="A1426" s="14" t="str">
        <x:v>店长</x:v>
      </x:c>
      <x:c r="B1426" s="15" t="str">
        <x:v>吴承龙</x:v>
      </x:c>
      <x:c r="C1426" s="16" t="n">
        <x:v>46055</x:v>
      </x:c>
      <x:c r="D1426" s="17" t="n">
        <x:v>771</x:v>
      </x:c>
      <x:c r="E1426" s="17" t="n">
        <x:v>1114</x:v>
      </x:c>
      <x:c r="F1426" s="18" t="n">
        <x:v>10975.76</x:v>
      </x:c>
    </x:row>
    <x:row r="1427">
      <x:c r="A1427" s="14" t="str">
        <x:v>店长</x:v>
      </x:c>
      <x:c r="B1427" s="15" t="str">
        <x:v>吴承龙</x:v>
      </x:c>
      <x:c r="C1427" s="16" t="n">
        <x:v>46056</x:v>
      </x:c>
      <x:c r="D1427" s="17" t="n">
        <x:v>857</x:v>
      </x:c>
      <x:c r="E1427" s="17" t="n">
        <x:v>1296</x:v>
      </x:c>
      <x:c r="F1427" s="18" t="n">
        <x:v>12562.68</x:v>
      </x:c>
    </x:row>
    <x:row r="1428">
      <x:c r="A1428" s="14" t="str">
        <x:v>店长</x:v>
      </x:c>
      <x:c r="B1428" s="15" t="str">
        <x:v>吴承龙</x:v>
      </x:c>
      <x:c r="C1428" s="16" t="n">
        <x:v>46057</x:v>
      </x:c>
      <x:c r="D1428" s="17" t="n">
        <x:v>662</x:v>
      </x:c>
      <x:c r="E1428" s="17" t="n">
        <x:v>854</x:v>
      </x:c>
      <x:c r="F1428" s="18" t="n">
        <x:v>8364.07</x:v>
      </x:c>
    </x:row>
    <x:row r="1429">
      <x:c r="A1429" s="14" t="str">
        <x:v>店长</x:v>
      </x:c>
      <x:c r="B1429" s="15" t="str">
        <x:v>吴承龙</x:v>
      </x:c>
      <x:c r="C1429" s="16" t="n">
        <x:v>46058</x:v>
      </x:c>
      <x:c r="D1429" s="17" t="n">
        <x:v>758</x:v>
      </x:c>
      <x:c r="E1429" s="17" t="n">
        <x:v>1073</x:v>
      </x:c>
      <x:c r="F1429" s="18" t="n">
        <x:v>9659.43</x:v>
      </x:c>
    </x:row>
    <x:row r="1430">
      <x:c r="A1430" s="14" t="str">
        <x:v>店长</x:v>
      </x:c>
      <x:c r="B1430" s="15" t="str">
        <x:v>吴承龙</x:v>
      </x:c>
      <x:c r="C1430" s="16" t="n">
        <x:v>46059</x:v>
      </x:c>
      <x:c r="D1430" s="17" t="n">
        <x:v>920</x:v>
      </x:c>
      <x:c r="E1430" s="17" t="n">
        <x:v>1367</x:v>
      </x:c>
      <x:c r="F1430" s="18" t="n">
        <x:v>10229.05</x:v>
      </x:c>
    </x:row>
    <x:row r="1431">
      <x:c r="A1431" s="14" t="str">
        <x:v>店长</x:v>
      </x:c>
      <x:c r="B1431" s="15" t="str">
        <x:v>吴承龙</x:v>
      </x:c>
      <x:c r="C1431" s="16" t="n">
        <x:v>46060</x:v>
      </x:c>
      <x:c r="D1431" s="17" t="n">
        <x:v>949</x:v>
      </x:c>
      <x:c r="E1431" s="17" t="n">
        <x:v>1444</x:v>
      </x:c>
      <x:c r="F1431" s="18" t="n">
        <x:v>9754.95</x:v>
      </x:c>
    </x:row>
    <x:row r="1432">
      <x:c r="A1432" s="14" t="str">
        <x:v>店长</x:v>
      </x:c>
      <x:c r="B1432" s="15" t="str">
        <x:v>吴承龙</x:v>
      </x:c>
      <x:c r="C1432" s="16" t="n">
        <x:v>46061</x:v>
      </x:c>
      <x:c r="D1432" s="17" t="n">
        <x:v>716</x:v>
      </x:c>
      <x:c r="E1432" s="17" t="n">
        <x:v>962</x:v>
      </x:c>
      <x:c r="F1432" s="18" t="n">
        <x:v>7100.09</x:v>
      </x:c>
    </x:row>
    <x:row r="1433">
      <x:c r="A1433" s="14" t="str">
        <x:v>店长</x:v>
      </x:c>
      <x:c r="B1433" s="15" t="str">
        <x:v>吴承龙</x:v>
      </x:c>
      <x:c r="C1433" s="16" t="n">
        <x:v>46062</x:v>
      </x:c>
      <x:c r="D1433" s="17" t="n">
        <x:v>632</x:v>
      </x:c>
      <x:c r="E1433" s="17" t="n">
        <x:v>837</x:v>
      </x:c>
      <x:c r="F1433" s="18" t="n">
        <x:v>5939.98</x:v>
      </x:c>
    </x:row>
    <x:row r="1434">
      <x:c r="A1434" s="14" t="str">
        <x:v>店长</x:v>
      </x:c>
      <x:c r="B1434" s="15" t="str">
        <x:v>吴承龙</x:v>
      </x:c>
      <x:c r="C1434" s="16" t="n">
        <x:v>46063</x:v>
      </x:c>
      <x:c r="D1434" s="17" t="n">
        <x:v>657</x:v>
      </x:c>
      <x:c r="E1434" s="17" t="n">
        <x:v>914</x:v>
      </x:c>
      <x:c r="F1434" s="18" t="n">
        <x:v>6011.73</x:v>
      </x:c>
    </x:row>
    <x:row r="1435">
      <x:c r="A1435" s="14" t="str">
        <x:v>店长</x:v>
      </x:c>
      <x:c r="B1435" s="15" t="str">
        <x:v>吴承龙</x:v>
      </x:c>
      <x:c r="C1435" s="16" t="n">
        <x:v>46064</x:v>
      </x:c>
      <x:c r="D1435" s="17" t="n">
        <x:v>621</x:v>
      </x:c>
      <x:c r="E1435" s="17" t="n">
        <x:v>899</x:v>
      </x:c>
      <x:c r="F1435" s="18" t="n">
        <x:v>6214.35</x:v>
      </x:c>
    </x:row>
    <x:row r="1436">
      <x:c r="A1436" s="14" t="str">
        <x:v>店长</x:v>
      </x:c>
      <x:c r="B1436" s="15" t="str">
        <x:v>吴承龙</x:v>
      </x:c>
      <x:c r="C1436" s="16" t="n">
        <x:v>46065</x:v>
      </x:c>
      <x:c r="D1436" s="17" t="n">
        <x:v>681</x:v>
      </x:c>
      <x:c r="E1436" s="17" t="n">
        <x:v>998</x:v>
      </x:c>
      <x:c r="F1436" s="18" t="n">
        <x:v>6307.48</x:v>
      </x:c>
    </x:row>
    <x:row r="1437">
      <x:c r="A1437" s="14" t="str">
        <x:v>店长</x:v>
      </x:c>
      <x:c r="B1437" s="15" t="str">
        <x:v>吴承龙</x:v>
      </x:c>
      <x:c r="C1437" s="16" t="n">
        <x:v>46066</x:v>
      </x:c>
      <x:c r="D1437" s="17" t="n">
        <x:v>804</x:v>
      </x:c>
      <x:c r="E1437" s="17" t="n">
        <x:v>1117</x:v>
      </x:c>
      <x:c r="F1437" s="18" t="n">
        <x:v>6514.36</x:v>
      </x:c>
    </x:row>
    <x:row r="1438">
      <x:c r="A1438" s="14" t="str">
        <x:v>店长</x:v>
      </x:c>
      <x:c r="B1438" s="15" t="str">
        <x:v>吴承龙</x:v>
      </x:c>
      <x:c r="C1438" s="16" t="n">
        <x:v>46067</x:v>
      </x:c>
      <x:c r="D1438" s="17" t="n">
        <x:v>809</x:v>
      </x:c>
      <x:c r="E1438" s="17" t="n">
        <x:v>1109</x:v>
      </x:c>
      <x:c r="F1438" s="18" t="n">
        <x:v>7224.64</x:v>
      </x:c>
    </x:row>
    <x:row r="1439">
      <x:c r="A1439" s="14" t="str">
        <x:v>店长</x:v>
      </x:c>
      <x:c r="B1439" s="15" t="str">
        <x:v>吴承龙</x:v>
      </x:c>
      <x:c r="C1439" s="16" t="n">
        <x:v>46068</x:v>
      </x:c>
      <x:c r="D1439" s="17" t="n">
        <x:v>722</x:v>
      </x:c>
      <x:c r="E1439" s="17" t="n">
        <x:v>935</x:v>
      </x:c>
      <x:c r="F1439" s="18" t="n">
        <x:v>6539.2</x:v>
      </x:c>
    </x:row>
    <x:row r="1440">
      <x:c r="A1440" s="14" t="str">
        <x:v>店长</x:v>
      </x:c>
      <x:c r="B1440" s="15" t="str">
        <x:v>吴承龙</x:v>
      </x:c>
      <x:c r="C1440" s="16" t="n">
        <x:v>46069</x:v>
      </x:c>
      <x:c r="D1440" s="17" t="n">
        <x:v>798</x:v>
      </x:c>
      <x:c r="E1440" s="17" t="n">
        <x:v>1048</x:v>
      </x:c>
      <x:c r="F1440" s="18" t="n">
        <x:v>8490.4</x:v>
      </x:c>
    </x:row>
    <x:row r="1441">
      <x:c r="A1441" s="14" t="str">
        <x:v>店长</x:v>
      </x:c>
      <x:c r="B1441" s="15" t="str">
        <x:v>吴承龙</x:v>
      </x:c>
      <x:c r="C1441" s="16" t="n">
        <x:v>46070</x:v>
      </x:c>
      <x:c r="D1441" s="17" t="n">
        <x:v>699</x:v>
      </x:c>
      <x:c r="E1441" s="17" t="n">
        <x:v>894</x:v>
      </x:c>
      <x:c r="F1441" s="18" t="n">
        <x:v>6024.88</x:v>
      </x:c>
    </x:row>
    <x:row r="1442">
      <x:c r="A1442" s="14" t="str">
        <x:v>店长</x:v>
      </x:c>
      <x:c r="B1442" s="15" t="str">
        <x:v>吴承龙</x:v>
      </x:c>
      <x:c r="C1442" s="16" t="n">
        <x:v>46071</x:v>
      </x:c>
      <x:c r="D1442" s="17" t="n">
        <x:v>856</x:v>
      </x:c>
      <x:c r="E1442" s="17" t="n">
        <x:v>1077</x:v>
      </x:c>
      <x:c r="F1442" s="18" t="n">
        <x:v>7884.05</x:v>
      </x:c>
    </x:row>
    <x:row r="1443">
      <x:c r="A1443" s="14" t="str">
        <x:v>店长</x:v>
      </x:c>
      <x:c r="B1443" s="15" t="str">
        <x:v>吴承龙</x:v>
      </x:c>
      <x:c r="C1443" s="16" t="n">
        <x:v>46072</x:v>
      </x:c>
      <x:c r="D1443" s="17" t="n">
        <x:v>912</x:v>
      </x:c>
      <x:c r="E1443" s="17" t="n">
        <x:v>1111</x:v>
      </x:c>
      <x:c r="F1443" s="18" t="n">
        <x:v>8709.91</x:v>
      </x:c>
    </x:row>
    <x:row r="1444">
      <x:c r="A1444" s="14" t="str">
        <x:v>店长</x:v>
      </x:c>
      <x:c r="B1444" s="15" t="str">
        <x:v>吴承龙</x:v>
      </x:c>
      <x:c r="C1444" s="16" t="n">
        <x:v>46073</x:v>
      </x:c>
      <x:c r="D1444" s="17" t="n">
        <x:v>696</x:v>
      </x:c>
      <x:c r="E1444" s="17" t="n">
        <x:v>834</x:v>
      </x:c>
      <x:c r="F1444" s="18" t="n">
        <x:v>6354</x:v>
      </x:c>
    </x:row>
    <x:row r="1445">
      <x:c r="A1445" s="14" t="str">
        <x:v>店长</x:v>
      </x:c>
      <x:c r="B1445" s="15" t="str">
        <x:v>吴承龙</x:v>
      </x:c>
      <x:c r="C1445" s="16" t="n">
        <x:v>46074</x:v>
      </x:c>
      <x:c r="D1445" s="17" t="n">
        <x:v>645</x:v>
      </x:c>
      <x:c r="E1445" s="17" t="n">
        <x:v>977</x:v>
      </x:c>
      <x:c r="F1445" s="18" t="n">
        <x:v>6604.21</x:v>
      </x:c>
    </x:row>
    <x:row r="1446">
      <x:c r="A1446" s="14" t="str">
        <x:v>店长</x:v>
      </x:c>
      <x:c r="B1446" s="15" t="str">
        <x:v>吴承龙</x:v>
      </x:c>
      <x:c r="C1446" s="16" t="n">
        <x:v>46075</x:v>
      </x:c>
      <x:c r="D1446" s="17" t="n">
        <x:v>612</x:v>
      </x:c>
      <x:c r="E1446" s="17" t="n">
        <x:v>775</x:v>
      </x:c>
      <x:c r="F1446" s="18" t="n">
        <x:v>6477.77</x:v>
      </x:c>
    </x:row>
    <x:row r="1447">
      <x:c r="A1447" s="14" t="str">
        <x:v>店长</x:v>
      </x:c>
      <x:c r="B1447" s="15" t="str">
        <x:v>吴承龙</x:v>
      </x:c>
      <x:c r="C1447" s="16" t="n">
        <x:v>46076</x:v>
      </x:c>
      <x:c r="D1447" s="17" t="n">
        <x:v>648</x:v>
      </x:c>
      <x:c r="E1447" s="17" t="n">
        <x:v>830</x:v>
      </x:c>
      <x:c r="F1447" s="18" t="n">
        <x:v>8140.06</x:v>
      </x:c>
    </x:row>
    <x:row r="1448">
      <x:c r="A1448" s="14" t="str">
        <x:v>店长</x:v>
      </x:c>
      <x:c r="B1448" s="15" t="str">
        <x:v>吴承龙</x:v>
      </x:c>
      <x:c r="C1448" s="16" t="n">
        <x:v>46077</x:v>
      </x:c>
      <x:c r="D1448" s="17" t="n">
        <x:v>603</x:v>
      </x:c>
      <x:c r="E1448" s="17" t="n">
        <x:v>754</x:v>
      </x:c>
      <x:c r="F1448" s="18" t="n">
        <x:v>7991.06</x:v>
      </x:c>
    </x:row>
    <x:row r="1449">
      <x:c r="A1449" s="14" t="str">
        <x:v>店长</x:v>
      </x:c>
      <x:c r="B1449" s="15" t="str">
        <x:v>吴承龙</x:v>
      </x:c>
      <x:c r="C1449" s="16" t="n">
        <x:v>46078</x:v>
      </x:c>
      <x:c r="D1449" s="17" t="n">
        <x:v>672</x:v>
      </x:c>
      <x:c r="E1449" s="17" t="n">
        <x:v>945</x:v>
      </x:c>
      <x:c r="F1449" s="18" t="n">
        <x:v>10419.02</x:v>
      </x:c>
    </x:row>
    <x:row r="1450">
      <x:c r="A1450" s="14" t="str">
        <x:v>店长</x:v>
      </x:c>
      <x:c r="B1450" s="15" t="str">
        <x:v>吴承龙</x:v>
      </x:c>
      <x:c r="C1450" s="16" t="n">
        <x:v>46079</x:v>
      </x:c>
      <x:c r="D1450" s="17" t="n">
        <x:v>633</x:v>
      </x:c>
      <x:c r="E1450" s="17" t="n">
        <x:v>867</x:v>
      </x:c>
      <x:c r="F1450" s="18" t="n">
        <x:v>9730.52</x:v>
      </x:c>
    </x:row>
    <x:row r="1451">
      <x:c r="A1451" s="14" t="str">
        <x:v>店长</x:v>
      </x:c>
      <x:c r="B1451" s="15" t="str">
        <x:v>吴承龙</x:v>
      </x:c>
      <x:c r="C1451" s="16" t="n">
        <x:v>46080</x:v>
      </x:c>
      <x:c r="D1451" s="17" t="n">
        <x:v>715</x:v>
      </x:c>
      <x:c r="E1451" s="17" t="n">
        <x:v>874</x:v>
      </x:c>
      <x:c r="F1451" s="18" t="n">
        <x:v>9227.92</x:v>
      </x:c>
    </x:row>
    <x:row r="1452">
      <x:c r="A1452" s="14" t="str">
        <x:v>店长</x:v>
      </x:c>
      <x:c r="B1452" s="15" t="str">
        <x:v>吴承龙</x:v>
      </x:c>
      <x:c r="C1452" s="16" t="n">
        <x:v>46081</x:v>
      </x:c>
      <x:c r="D1452" s="17" t="n">
        <x:v>797</x:v>
      </x:c>
      <x:c r="E1452" s="17" t="n">
        <x:v>972</x:v>
      </x:c>
      <x:c r="F1452" s="18" t="n">
        <x:v>3618.97</x:v>
      </x:c>
    </x:row>
    <x:row r="1453">
      <x:c r="A1453" s="14" t="str">
        <x:v>店长</x:v>
      </x:c>
      <x:c r="B1453" s="15" t="str">
        <x:v>吴承龙</x:v>
      </x:c>
      <x:c r="C1453" s="16" t="n">
        <x:v>46082</x:v>
      </x:c>
      <x:c r="D1453" s="17" t="n">
        <x:v>898</x:v>
      </x:c>
      <x:c r="E1453" s="17" t="n">
        <x:v>1088</x:v>
      </x:c>
      <x:c r="F1453" s="18" t="n">
        <x:v>11892.32</x:v>
      </x:c>
    </x:row>
    <x:row r="1454">
      <x:c r="A1454" s="14" t="str">
        <x:v>店长</x:v>
      </x:c>
      <x:c r="B1454" s="15" t="str">
        <x:v>吴承龙</x:v>
      </x:c>
      <x:c r="C1454" s="16" t="n">
        <x:v>46083</x:v>
      </x:c>
      <x:c r="D1454" s="17" t="n">
        <x:v>913</x:v>
      </x:c>
      <x:c r="E1454" s="17" t="n">
        <x:v>1096</x:v>
      </x:c>
      <x:c r="F1454" s="18" t="n">
        <x:v>11955.12</x:v>
      </x:c>
    </x:row>
    <x:row r="1455">
      <x:c r="A1455" s="14" t="str">
        <x:v>店长</x:v>
      </x:c>
      <x:c r="B1455" s="15" t="str">
        <x:v>吴承龙</x:v>
      </x:c>
      <x:c r="C1455" s="16" t="n">
        <x:v>46084</x:v>
      </x:c>
      <x:c r="D1455" s="17" t="n">
        <x:v>703</x:v>
      </x:c>
      <x:c r="E1455" s="17" t="n">
        <x:v>820</x:v>
      </x:c>
      <x:c r="F1455" s="18" t="n">
        <x:v>10298.32</x:v>
      </x:c>
    </x:row>
    <x:row r="1456">
      <x:c r="A1456" s="14" t="str">
        <x:v>店长</x:v>
      </x:c>
      <x:c r="B1456" s="15" t="str">
        <x:v>吴承龙</x:v>
      </x:c>
      <x:c r="C1456" s="16" t="n">
        <x:v>46085</x:v>
      </x:c>
      <x:c r="D1456" s="17" t="n">
        <x:v>752</x:v>
      </x:c>
      <x:c r="E1456" s="17" t="n">
        <x:v>877</x:v>
      </x:c>
      <x:c r="F1456" s="18" t="n">
        <x:v>11394.52</x:v>
      </x:c>
    </x:row>
    <x:row r="1457">
      <x:c r="A1457" s="14" t="str">
        <x:v>店长</x:v>
      </x:c>
      <x:c r="B1457" s="15" t="str">
        <x:v>吴承龙</x:v>
      </x:c>
      <x:c r="C1457" s="16" t="n">
        <x:v>46086</x:v>
      </x:c>
      <x:c r="D1457" s="17" t="n">
        <x:v>729</x:v>
      </x:c>
      <x:c r="E1457" s="17" t="n">
        <x:v>915</x:v>
      </x:c>
      <x:c r="F1457" s="18" t="n">
        <x:v>11570.65</x:v>
      </x:c>
    </x:row>
    <x:row r="1458">
      <x:c r="A1458" s="14" t="str">
        <x:v>店长</x:v>
      </x:c>
      <x:c r="B1458" s="15" t="str">
        <x:v>吴承龙</x:v>
      </x:c>
      <x:c r="C1458" s="16" t="n">
        <x:v>46087</x:v>
      </x:c>
      <x:c r="D1458" s="17" t="n">
        <x:v>713</x:v>
      </x:c>
      <x:c r="E1458" s="17" t="n">
        <x:v>807</x:v>
      </x:c>
      <x:c r="F1458" s="18" t="n">
        <x:v>9969.94</x:v>
      </x:c>
    </x:row>
    <x:row r="1459">
      <x:c r="A1459" s="14" t="str">
        <x:v>店长</x:v>
      </x:c>
      <x:c r="B1459" s="15" t="str">
        <x:v>吴承龙</x:v>
      </x:c>
      <x:c r="C1459" s="16" t="n">
        <x:v>46088</x:v>
      </x:c>
      <x:c r="D1459" s="17" t="n">
        <x:v>725</x:v>
      </x:c>
      <x:c r="E1459" s="17" t="n">
        <x:v>852</x:v>
      </x:c>
      <x:c r="F1459" s="18" t="n">
        <x:v>9635.06</x:v>
      </x:c>
    </x:row>
    <x:row r="1460">
      <x:c r="A1460" s="14" t="str">
        <x:v>店长</x:v>
      </x:c>
      <x:c r="B1460" s="15" t="str">
        <x:v>吴承龙</x:v>
      </x:c>
      <x:c r="C1460" s="16" t="n">
        <x:v>46089</x:v>
      </x:c>
      <x:c r="D1460" s="17" t="n">
        <x:v>793</x:v>
      </x:c>
      <x:c r="E1460" s="17" t="n">
        <x:v>950</x:v>
      </x:c>
      <x:c r="F1460" s="18" t="n">
        <x:v>10730.82</x:v>
      </x:c>
    </x:row>
    <x:row r="1461">
      <x:c r="A1461" s="14" t="str">
        <x:v>店长</x:v>
      </x:c>
      <x:c r="B1461" s="15" t="str">
        <x:v>吴承龙</x:v>
      </x:c>
      <x:c r="C1461" s="16" t="n">
        <x:v>46090</x:v>
      </x:c>
      <x:c r="D1461" s="17" t="n">
        <x:v>770</x:v>
      </x:c>
      <x:c r="E1461" s="17" t="n">
        <x:v>924</x:v>
      </x:c>
      <x:c r="F1461" s="18" t="n">
        <x:v>10916.27</x:v>
      </x:c>
    </x:row>
    <x:row r="1462">
      <x:c r="A1462" s="14" t="str">
        <x:v>店长</x:v>
      </x:c>
      <x:c r="B1462" s="15" t="str">
        <x:v>吴承龙</x:v>
      </x:c>
      <x:c r="C1462" s="16" t="n">
        <x:v>46091</x:v>
      </x:c>
      <x:c r="D1462" s="17" t="n">
        <x:v>727</x:v>
      </x:c>
      <x:c r="E1462" s="17" t="n">
        <x:v>880</x:v>
      </x:c>
      <x:c r="F1462" s="18" t="n">
        <x:v>10123.5</x:v>
      </x:c>
    </x:row>
    <x:row r="1463">
      <x:c r="A1463" s="14" t="str">
        <x:v>店长</x:v>
      </x:c>
      <x:c r="B1463" s="15" t="str">
        <x:v>吴承龙</x:v>
      </x:c>
      <x:c r="C1463" s="16" t="n">
        <x:v>46092</x:v>
      </x:c>
      <x:c r="D1463" s="17" t="n">
        <x:v>444</x:v>
      </x:c>
      <x:c r="E1463" s="17" t="n">
        <x:v>543</x:v>
      </x:c>
      <x:c r="F1463" s="18" t="n">
        <x:v>7099.18</x:v>
      </x:c>
    </x:row>
    <x:row r="1464">
      <x:c r="A1464" s="14" t="str">
        <x:v>店长</x:v>
      </x:c>
      <x:c r="B1464" s="15" t="str">
        <x:v>吴承龙</x:v>
      </x:c>
      <x:c r="C1464" s="16" t="n">
        <x:v>46093</x:v>
      </x:c>
      <x:c r="D1464" s="17" t="n">
        <x:v>400</x:v>
      </x:c>
      <x:c r="E1464" s="17" t="n">
        <x:v>524</x:v>
      </x:c>
      <x:c r="F1464" s="18" t="n">
        <x:v>7052.6</x:v>
      </x:c>
    </x:row>
    <x:row r="1465">
      <x:c r="A1465" s="14" t="str">
        <x:v>店长</x:v>
      </x:c>
      <x:c r="B1465" s="15" t="str">
        <x:v>吴承龙</x:v>
      </x:c>
      <x:c r="C1465" s="16" t="n">
        <x:v>46094</x:v>
      </x:c>
      <x:c r="D1465" s="17" t="n">
        <x:v>357</x:v>
      </x:c>
      <x:c r="E1465" s="17" t="n">
        <x:v>430</x:v>
      </x:c>
      <x:c r="F1465" s="18" t="n">
        <x:v>5988.16</x:v>
      </x:c>
    </x:row>
    <x:row r="1466">
      <x:c r="A1466" s="14" t="str">
        <x:v>店长</x:v>
      </x:c>
      <x:c r="B1466" s="15" t="str">
        <x:v>吴承龙</x:v>
      </x:c>
      <x:c r="C1466" s="16" t="n">
        <x:v>46095</x:v>
      </x:c>
      <x:c r="D1466" s="17" t="n">
        <x:v>384</x:v>
      </x:c>
      <x:c r="E1466" s="17" t="n">
        <x:v>590</x:v>
      </x:c>
      <x:c r="F1466" s="18" t="n">
        <x:v>7313.42</x:v>
      </x:c>
    </x:row>
    <x:row r="1467">
      <x:c r="A1467" s="14" t="str">
        <x:v>店长</x:v>
      </x:c>
      <x:c r="B1467" s="15" t="str">
        <x:v>吴承龙</x:v>
      </x:c>
      <x:c r="C1467" s="16" t="n">
        <x:v>46096</x:v>
      </x:c>
      <x:c r="D1467" s="17" t="n">
        <x:v>430</x:v>
      </x:c>
      <x:c r="E1467" s="17" t="n">
        <x:v>621</x:v>
      </x:c>
      <x:c r="F1467" s="18" t="n">
        <x:v>7706.01</x:v>
      </x:c>
    </x:row>
    <x:row r="1468">
      <x:c r="A1468" s="14" t="str">
        <x:v>店长</x:v>
      </x:c>
      <x:c r="B1468" s="15" t="str">
        <x:v>吴承龙</x:v>
      </x:c>
      <x:c r="C1468" s="16" t="n">
        <x:v>46097</x:v>
      </x:c>
      <x:c r="D1468" s="17" t="n">
        <x:v>439</x:v>
      </x:c>
      <x:c r="E1468" s="17" t="n">
        <x:v>640</x:v>
      </x:c>
      <x:c r="F1468" s="18" t="n">
        <x:v>7403.58</x:v>
      </x:c>
    </x:row>
    <x:row r="1469">
      <x:c r="A1469" s="14" t="str">
        <x:v>店长</x:v>
      </x:c>
      <x:c r="B1469" s="15" t="str">
        <x:v>吴承龙</x:v>
      </x:c>
      <x:c r="C1469" s="16" t="n">
        <x:v>46098</x:v>
      </x:c>
      <x:c r="D1469" s="17" t="n">
        <x:v>411</x:v>
      </x:c>
      <x:c r="E1469" s="17" t="n">
        <x:v>612</x:v>
      </x:c>
      <x:c r="F1469" s="18" t="n">
        <x:v>7430.92</x:v>
      </x:c>
    </x:row>
    <x:row r="1470">
      <x:c r="A1470" s="14" t="str">
        <x:v>店长</x:v>
      </x:c>
      <x:c r="B1470" s="15" t="str">
        <x:v>吴承龙</x:v>
      </x:c>
      <x:c r="C1470" s="16" t="n">
        <x:v>46099</x:v>
      </x:c>
      <x:c r="D1470" s="17" t="n">
        <x:v>507</x:v>
      </x:c>
      <x:c r="E1470" s="17" t="n">
        <x:v>693</x:v>
      </x:c>
      <x:c r="F1470" s="18" t="n">
        <x:v>8421.1</x:v>
      </x:c>
    </x:row>
    <x:row r="1471">
      <x:c r="A1471" s="14" t="str">
        <x:v>店长</x:v>
      </x:c>
      <x:c r="B1471" s="15" t="str">
        <x:v>吴承龙</x:v>
      </x:c>
      <x:c r="C1471" s="16" t="n">
        <x:v>46100</x:v>
      </x:c>
      <x:c r="D1471" s="17" t="n">
        <x:v>421</x:v>
      </x:c>
      <x:c r="E1471" s="17" t="n">
        <x:v>665</x:v>
      </x:c>
      <x:c r="F1471" s="18" t="n">
        <x:v>7898.61</x:v>
      </x:c>
    </x:row>
    <x:row r="1472">
      <x:c r="A1472" s="14" t="str">
        <x:v>店长</x:v>
      </x:c>
      <x:c r="B1472" s="15" t="str">
        <x:v>吴承龙</x:v>
      </x:c>
      <x:c r="C1472" s="16" t="n">
        <x:v>46101</x:v>
      </x:c>
      <x:c r="D1472" s="17" t="n">
        <x:v>457</x:v>
      </x:c>
      <x:c r="E1472" s="17" t="n">
        <x:v>718</x:v>
      </x:c>
      <x:c r="F1472" s="18" t="n">
        <x:v>8526.58</x:v>
      </x:c>
    </x:row>
    <x:row r="1473">
      <x:c r="A1473" s="14" t="str">
        <x:v>店长</x:v>
      </x:c>
      <x:c r="B1473" s="15" t="str">
        <x:v>吴承龙</x:v>
      </x:c>
      <x:c r="C1473" s="16" t="n">
        <x:v>46102</x:v>
      </x:c>
      <x:c r="D1473" s="17" t="n">
        <x:v>450</x:v>
      </x:c>
      <x:c r="E1473" s="17" t="n">
        <x:v>603</x:v>
      </x:c>
      <x:c r="F1473" s="18" t="n">
        <x:v>7745.18</x:v>
      </x:c>
    </x:row>
    <x:row r="1474">
      <x:c r="A1474" s="14" t="str">
        <x:v>店长</x:v>
      </x:c>
      <x:c r="B1474" s="15" t="str">
        <x:v>吴承龙</x:v>
      </x:c>
      <x:c r="C1474" s="16" t="n">
        <x:v>46103</x:v>
      </x:c>
      <x:c r="D1474" s="17" t="n">
        <x:v>315</x:v>
      </x:c>
      <x:c r="E1474" s="17" t="n">
        <x:v>508</x:v>
      </x:c>
      <x:c r="F1474" s="18" t="n">
        <x:v>5737.13</x:v>
      </x:c>
    </x:row>
    <x:row r="1475">
      <x:c r="A1475" s="14" t="str">
        <x:v>店长</x:v>
      </x:c>
      <x:c r="B1475" s="15" t="str">
        <x:v>吴承龙</x:v>
      </x:c>
      <x:c r="C1475" s="16" t="n">
        <x:v>46104</x:v>
      </x:c>
      <x:c r="D1475" s="17" t="n">
        <x:v>454</x:v>
      </x:c>
      <x:c r="E1475" s="17" t="n">
        <x:v>779</x:v>
      </x:c>
      <x:c r="F1475" s="18" t="n">
        <x:v>9247.02</x:v>
      </x:c>
    </x:row>
    <x:row r="1476">
      <x:c r="A1476" s="14" t="str">
        <x:v>店长</x:v>
      </x:c>
      <x:c r="B1476" s="15" t="str">
        <x:v>吴承龙</x:v>
      </x:c>
      <x:c r="C1476" s="16" t="n">
        <x:v>46105</x:v>
      </x:c>
      <x:c r="D1476" s="17" t="n">
        <x:v>583</x:v>
      </x:c>
      <x:c r="E1476" s="17" t="n">
        <x:v>740</x:v>
      </x:c>
      <x:c r="F1476" s="18" t="n">
        <x:v>9092.19</x:v>
      </x:c>
    </x:row>
    <x:row r="1477">
      <x:c r="A1477" s="14" t="str">
        <x:v>店长</x:v>
      </x:c>
      <x:c r="B1477" s="15" t="str">
        <x:v>吴承龙</x:v>
      </x:c>
      <x:c r="C1477" s="16" t="n">
        <x:v>46106</x:v>
      </x:c>
      <x:c r="D1477" s="17" t="n">
        <x:v>647</x:v>
      </x:c>
      <x:c r="E1477" s="17" t="n">
        <x:v>859</x:v>
      </x:c>
      <x:c r="F1477" s="18" t="n">
        <x:v>10314.81</x:v>
      </x:c>
    </x:row>
    <x:row r="1478">
      <x:c r="A1478" s="14" t="str">
        <x:v>店长</x:v>
      </x:c>
      <x:c r="B1478" s="15" t="str">
        <x:v>吴承龙</x:v>
      </x:c>
      <x:c r="C1478" s="16" t="n">
        <x:v>46107</x:v>
      </x:c>
      <x:c r="D1478" s="17" t="n">
        <x:v>640</x:v>
      </x:c>
      <x:c r="E1478" s="17" t="n">
        <x:v>846</x:v>
      </x:c>
      <x:c r="F1478" s="18" t="n">
        <x:v>9423.04</x:v>
      </x:c>
    </x:row>
    <x:row r="1479">
      <x:c r="A1479" s="14" t="str">
        <x:v>店长</x:v>
      </x:c>
      <x:c r="B1479" s="15" t="str">
        <x:v>吴承龙</x:v>
      </x:c>
      <x:c r="C1479" s="16" t="n">
        <x:v>46108</x:v>
      </x:c>
      <x:c r="D1479" s="17" t="n">
        <x:v>372</x:v>
      </x:c>
      <x:c r="E1479" s="17" t="n">
        <x:v>581</x:v>
      </x:c>
      <x:c r="F1479" s="18" t="n">
        <x:v>6402.91</x:v>
      </x:c>
    </x:row>
    <x:row r="1480">
      <x:c r="A1480" s="14" t="str">
        <x:v>店长</x:v>
      </x:c>
      <x:c r="B1480" s="15" t="str">
        <x:v>吴承龙</x:v>
      </x:c>
      <x:c r="C1480" s="16" t="n">
        <x:v>46109</x:v>
      </x:c>
      <x:c r="D1480" s="17" t="n">
        <x:v>234</x:v>
      </x:c>
      <x:c r="E1480" s="17" t="n">
        <x:v>349</x:v>
      </x:c>
      <x:c r="F1480" s="18" t="n">
        <x:v>3978.85</x:v>
      </x:c>
    </x:row>
    <x:row r="1481">
      <x:c r="A1481" s="14" t="str">
        <x:v>店长</x:v>
      </x:c>
      <x:c r="B1481" s="15" t="str">
        <x:v>吴承龙</x:v>
      </x:c>
      <x:c r="C1481" s="16" t="n">
        <x:v>46110</x:v>
      </x:c>
      <x:c r="D1481" s="17" t="n">
        <x:v>431</x:v>
      </x:c>
      <x:c r="E1481" s="17" t="n">
        <x:v>604</x:v>
      </x:c>
      <x:c r="F1481" s="18" t="n">
        <x:v>6151.61</x:v>
      </x:c>
    </x:row>
    <x:row r="1482">
      <x:c r="A1482" s="14" t="str">
        <x:v>店长</x:v>
      </x:c>
      <x:c r="B1482" s="15" t="str">
        <x:v>吴承龙</x:v>
      </x:c>
      <x:c r="C1482" s="16" t="n">
        <x:v>46111</x:v>
      </x:c>
      <x:c r="D1482" s="17" t="n">
        <x:v>375</x:v>
      </x:c>
      <x:c r="E1482" s="17" t="n">
        <x:v>583</x:v>
      </x:c>
      <x:c r="F1482" s="18" t="n">
        <x:v>5997.27</x:v>
      </x:c>
    </x:row>
    <x:row r="1483">
      <x:c r="A1483" s="14" t="str">
        <x:v>店长</x:v>
      </x:c>
      <x:c r="B1483" s="15" t="str">
        <x:v>吴承龙</x:v>
      </x:c>
      <x:c r="C1483" s="16" t="n">
        <x:v>46112</x:v>
      </x:c>
      <x:c r="D1483" s="17" t="n">
        <x:v>413</x:v>
      </x:c>
      <x:c r="E1483" s="17" t="n">
        <x:v>589</x:v>
      </x:c>
      <x:c r="F1483" s="18" t="n">
        <x:v>5950.53</x:v>
      </x:c>
    </x:row>
    <x:row r="1484">
      <x:c r="A1484" s="14" t="str">
        <x:v>店长</x:v>
      </x:c>
      <x:c r="B1484" s="15" t="str">
        <x:v>吴承龙</x:v>
      </x:c>
      <x:c r="C1484" s="16" t="n">
        <x:v>46113</x:v>
      </x:c>
      <x:c r="D1484" s="17" t="n">
        <x:v>548</x:v>
      </x:c>
      <x:c r="E1484" s="17" t="n">
        <x:v>692</x:v>
      </x:c>
      <x:c r="F1484" s="18" t="n">
        <x:v>7204.87</x:v>
      </x:c>
    </x:row>
    <x:row r="1485">
      <x:c r="A1485" s="14" t="str">
        <x:v>店长</x:v>
      </x:c>
      <x:c r="B1485" s="15" t="str">
        <x:v>吴承龙</x:v>
      </x:c>
      <x:c r="C1485" s="16" t="n">
        <x:v>46114</x:v>
      </x:c>
      <x:c r="D1485" s="17" t="n">
        <x:v>310</x:v>
      </x:c>
      <x:c r="E1485" s="17" t="n">
        <x:v>418</x:v>
      </x:c>
      <x:c r="F1485" s="18" t="n">
        <x:v>3928.96</x:v>
      </x:c>
    </x:row>
    <x:row r="1486">
      <x:c r="A1486" s="14" t="str">
        <x:v>店长</x:v>
      </x:c>
      <x:c r="B1486" s="15" t="str">
        <x:v>吴承龙</x:v>
      </x:c>
      <x:c r="C1486" s="16" t="n">
        <x:v>46115</x:v>
      </x:c>
      <x:c r="D1486" s="17" t="n">
        <x:v>203</x:v>
      </x:c>
      <x:c r="E1486" s="17" t="n">
        <x:v>253</x:v>
      </x:c>
      <x:c r="F1486" s="18" t="n">
        <x:v>2331.32</x:v>
      </x:c>
    </x:row>
    <x:row r="1487">
      <x:c r="A1487" s="14" t="str">
        <x:v>店长</x:v>
      </x:c>
      <x:c r="B1487" s="15" t="str">
        <x:v>吴承龙</x:v>
      </x:c>
      <x:c r="C1487" s="16" t="n">
        <x:v>46116</x:v>
      </x:c>
      <x:c r="D1487" s="17" t="n">
        <x:v>413</x:v>
      </x:c>
      <x:c r="E1487" s="17" t="n">
        <x:v>647</x:v>
      </x:c>
      <x:c r="F1487" s="18" t="n">
        <x:v>9015.67</x:v>
      </x:c>
    </x:row>
    <x:row r="1488">
      <x:c r="A1488" s="14" t="str">
        <x:v>店长</x:v>
      </x:c>
      <x:c r="B1488" s="15" t="str">
        <x:v>吴承龙</x:v>
      </x:c>
      <x:c r="C1488" s="16" t="n">
        <x:v>46117</x:v>
      </x:c>
      <x:c r="D1488" s="17" t="n">
        <x:v>313</x:v>
      </x:c>
      <x:c r="E1488" s="17" t="n">
        <x:v>919</x:v>
      </x:c>
      <x:c r="F1488" s="18" t="n">
        <x:v>10054.6</x:v>
      </x:c>
    </x:row>
    <x:row r="1489">
      <x:c r="A1489" s="14" t="str">
        <x:v>店长</x:v>
      </x:c>
      <x:c r="B1489" s="15" t="str">
        <x:v>吴承龙</x:v>
      </x:c>
      <x:c r="C1489" s="16" t="n">
        <x:v>46118</x:v>
      </x:c>
      <x:c r="D1489" s="17" t="n">
        <x:v>260</x:v>
      </x:c>
      <x:c r="E1489" s="17" t="n">
        <x:v>354</x:v>
      </x:c>
      <x:c r="F1489" s="18" t="n">
        <x:v>4363.64</x:v>
      </x:c>
    </x:row>
    <x:row r="1490">
      <x:c r="A1490" s="14" t="str">
        <x:v>店长</x:v>
      </x:c>
      <x:c r="B1490" s="15" t="str">
        <x:v>吴承龙</x:v>
      </x:c>
      <x:c r="C1490" s="16" t="n">
        <x:v>46119</x:v>
      </x:c>
      <x:c r="D1490" s="17" t="n">
        <x:v>295</x:v>
      </x:c>
      <x:c r="E1490" s="17" t="n">
        <x:v>452</x:v>
      </x:c>
      <x:c r="F1490" s="18" t="n">
        <x:v>5206.57</x:v>
      </x:c>
    </x:row>
    <x:row r="1491">
      <x:c r="A1491" s="14" t="str">
        <x:v>店长</x:v>
      </x:c>
      <x:c r="B1491" s="15" t="str">
        <x:v>吴承龙</x:v>
      </x:c>
      <x:c r="C1491" s="16" t="n">
        <x:v>46120</x:v>
      </x:c>
      <x:c r="D1491" s="17" t="n">
        <x:v>424</x:v>
      </x:c>
      <x:c r="E1491" s="17" t="n">
        <x:v>627</x:v>
      </x:c>
      <x:c r="F1491" s="18" t="n">
        <x:v>6556.9</x:v>
      </x:c>
    </x:row>
    <x:row r="1492">
      <x:c r="A1492" s="14" t="str">
        <x:v>店长</x:v>
      </x:c>
      <x:c r="B1492" s="15" t="str">
        <x:v>吴承龙</x:v>
      </x:c>
      <x:c r="C1492" s="16" t="n">
        <x:v>46121</x:v>
      </x:c>
      <x:c r="D1492" s="17" t="n">
        <x:v>388</x:v>
      </x:c>
      <x:c r="E1492" s="17" t="n">
        <x:v>481</x:v>
      </x:c>
      <x:c r="F1492" s="18" t="n">
        <x:v>4942.63</x:v>
      </x:c>
    </x:row>
    <x:row r="1493">
      <x:c r="A1493" s="14" t="str">
        <x:v>店长</x:v>
      </x:c>
      <x:c r="B1493" s="15" t="str">
        <x:v>吴承龙</x:v>
      </x:c>
      <x:c r="C1493" s="16" t="n">
        <x:v>46122</x:v>
      </x:c>
      <x:c r="D1493" s="17" t="n">
        <x:v>443</x:v>
      </x:c>
      <x:c r="E1493" s="17" t="n">
        <x:v>558</x:v>
      </x:c>
      <x:c r="F1493" s="18" t="n">
        <x:v>6173.41</x:v>
      </x:c>
    </x:row>
    <x:row r="1494">
      <x:c r="A1494" s="14" t="str">
        <x:v>店长</x:v>
      </x:c>
      <x:c r="B1494" s="15" t="str">
        <x:v>吴承龙</x:v>
      </x:c>
      <x:c r="C1494" s="16" t="n">
        <x:v>46123</x:v>
      </x:c>
      <x:c r="D1494" s="17" t="n">
        <x:v>592</x:v>
      </x:c>
      <x:c r="E1494" s="17" t="n">
        <x:v>771</x:v>
      </x:c>
      <x:c r="F1494" s="18" t="n">
        <x:v>8075.97</x:v>
      </x:c>
    </x:row>
    <x:row r="1495">
      <x:c r="A1495" s="14" t="str">
        <x:v>店长</x:v>
      </x:c>
      <x:c r="B1495" s="15" t="str">
        <x:v>吴承龙</x:v>
      </x:c>
      <x:c r="C1495" s="16" t="n">
        <x:v>46124</x:v>
      </x:c>
      <x:c r="D1495" s="17" t="n">
        <x:v>868</x:v>
      </x:c>
      <x:c r="E1495" s="17" t="n">
        <x:v>1174</x:v>
      </x:c>
      <x:c r="F1495" s="18" t="n">
        <x:v>11907.47</x:v>
      </x:c>
    </x:row>
    <x:row r="1496">
      <x:c r="A1496" s="14" t="str">
        <x:v>店长</x:v>
      </x:c>
      <x:c r="B1496" s="15" t="str">
        <x:v>吴承龙</x:v>
      </x:c>
      <x:c r="C1496" s="16" t="n">
        <x:v>46125</x:v>
      </x:c>
      <x:c r="D1496" s="17" t="n">
        <x:v>813</x:v>
      </x:c>
      <x:c r="E1496" s="17" t="n">
        <x:v>1070</x:v>
      </x:c>
      <x:c r="F1496" s="18" t="n">
        <x:v>10797.35</x:v>
      </x:c>
    </x:row>
    <x:row r="1497">
      <x:c r="A1497" s="14" t="str">
        <x:v>店长</x:v>
      </x:c>
      <x:c r="B1497" s="15" t="str">
        <x:v>吴承龙</x:v>
      </x:c>
      <x:c r="C1497" s="16" t="n">
        <x:v>46126</x:v>
      </x:c>
      <x:c r="D1497" s="17" t="n">
        <x:v>584</x:v>
      </x:c>
      <x:c r="E1497" s="17" t="n">
        <x:v>880</x:v>
      </x:c>
      <x:c r="F1497" s="18" t="n">
        <x:v>9298.09</x:v>
      </x:c>
    </x:row>
    <x:row r="1498">
      <x:c r="A1498" s="14" t="str">
        <x:v>店长</x:v>
      </x:c>
      <x:c r="B1498" s="15" t="str">
        <x:v>吴承龙</x:v>
      </x:c>
      <x:c r="C1498" s="16" t="n">
        <x:v>46127</x:v>
      </x:c>
      <x:c r="D1498" s="17" t="n">
        <x:v>626</x:v>
      </x:c>
      <x:c r="E1498" s="17" t="n">
        <x:v>977</x:v>
      </x:c>
      <x:c r="F1498" s="18" t="n">
        <x:v>10059.28</x:v>
      </x:c>
    </x:row>
    <x:row r="1499">
      <x:c r="A1499" s="14" t="str">
        <x:v>店长</x:v>
      </x:c>
      <x:c r="B1499" s="15" t="str">
        <x:v>吴承龙</x:v>
      </x:c>
      <x:c r="C1499" s="16" t="n">
        <x:v>46128</x:v>
      </x:c>
      <x:c r="D1499" s="17" t="n">
        <x:v>594</x:v>
      </x:c>
      <x:c r="E1499" s="17" t="n">
        <x:v>867</x:v>
      </x:c>
      <x:c r="F1499" s="18" t="n">
        <x:v>9011.07</x:v>
      </x:c>
    </x:row>
    <x:row r="1500">
      <x:c r="A1500" s="14" t="str">
        <x:v>店长</x:v>
      </x:c>
      <x:c r="B1500" s="15" t="str">
        <x:v>吴承龙</x:v>
      </x:c>
      <x:c r="C1500" s="16" t="n">
        <x:v>46129</x:v>
      </x:c>
      <x:c r="D1500" s="17" t="n">
        <x:v>607</x:v>
      </x:c>
      <x:c r="E1500" s="17" t="n">
        <x:v>793</x:v>
      </x:c>
      <x:c r="F1500" s="18" t="n">
        <x:v>8148.44</x:v>
      </x:c>
    </x:row>
    <x:row r="1501">
      <x:c r="A1501" s="14" t="str">
        <x:v>店长</x:v>
      </x:c>
      <x:c r="B1501" s="15" t="str">
        <x:v>吴承龙</x:v>
      </x:c>
      <x:c r="C1501" s="16" t="n">
        <x:v>46130</x:v>
      </x:c>
      <x:c r="D1501" s="17" t="n">
        <x:v>589</x:v>
      </x:c>
      <x:c r="E1501" s="17" t="n">
        <x:v>860</x:v>
      </x:c>
      <x:c r="F1501" s="18" t="n">
        <x:v>8781.3</x:v>
      </x:c>
    </x:row>
    <x:row r="1502">
      <x:c r="A1502" s="14" t="str">
        <x:v>店长</x:v>
      </x:c>
      <x:c r="B1502" s="15" t="str">
        <x:v>吴承龙</x:v>
      </x:c>
      <x:c r="C1502" s="16" t="n">
        <x:v>46131</x:v>
      </x:c>
      <x:c r="D1502" s="17" t="n">
        <x:v>515</x:v>
      </x:c>
      <x:c r="E1502" s="17" t="n">
        <x:v>772</x:v>
      </x:c>
      <x:c r="F1502" s="18" t="n">
        <x:v>7022.88</x:v>
      </x:c>
    </x:row>
    <x:row r="1503">
      <x:c r="A1503" s="14" t="str">
        <x:v>店长</x:v>
      </x:c>
      <x:c r="B1503" s="15" t="str">
        <x:v>吴承龙</x:v>
      </x:c>
      <x:c r="C1503" s="16" t="n">
        <x:v>46132</x:v>
      </x:c>
      <x:c r="D1503" s="17" t="n">
        <x:v>442</x:v>
      </x:c>
      <x:c r="E1503" s="17" t="n">
        <x:v>640</x:v>
      </x:c>
      <x:c r="F1503" s="18" t="n">
        <x:v>6503.92</x:v>
      </x:c>
    </x:row>
    <x:row r="1504">
      <x:c r="A1504" s="14" t="str">
        <x:v>店长</x:v>
      </x:c>
      <x:c r="B1504" s="15" t="str">
        <x:v>吴承龙</x:v>
      </x:c>
      <x:c r="C1504" s="16" t="n">
        <x:v>46133</x:v>
      </x:c>
      <x:c r="D1504" s="17" t="n">
        <x:v>493</x:v>
      </x:c>
      <x:c r="E1504" s="17" t="n">
        <x:v>678</x:v>
      </x:c>
      <x:c r="F1504" s="18" t="n">
        <x:v>7159.58</x:v>
      </x:c>
    </x:row>
    <x:row r="1505">
      <x:c r="A1505" s="14" t="str">
        <x:v>店长</x:v>
      </x:c>
      <x:c r="B1505" s="15" t="str">
        <x:v>吴承龙</x:v>
      </x:c>
      <x:c r="C1505" s="16" t="n">
        <x:v>46134</x:v>
      </x:c>
      <x:c r="D1505" s="17" t="n">
        <x:v>508</x:v>
      </x:c>
      <x:c r="E1505" s="17" t="n">
        <x:v>661</x:v>
      </x:c>
      <x:c r="F1505" s="18" t="n">
        <x:v>7005.45</x:v>
      </x:c>
    </x:row>
    <x:row r="1506">
      <x:c r="A1506" s="14" t="str">
        <x:v>店长</x:v>
      </x:c>
      <x:c r="B1506" s="15" t="str">
        <x:v>吴承龙</x:v>
      </x:c>
      <x:c r="C1506" s="16" t="n">
        <x:v>46135</x:v>
      </x:c>
      <x:c r="D1506" s="17" t="n">
        <x:v>414</x:v>
      </x:c>
      <x:c r="E1506" s="17" t="n">
        <x:v>602</x:v>
      </x:c>
      <x:c r="F1506" s="18" t="n">
        <x:v>6541.24</x:v>
      </x:c>
    </x:row>
    <x:row r="1507">
      <x:c r="A1507" s="14" t="str">
        <x:v>店长</x:v>
      </x:c>
      <x:c r="B1507" s="15" t="str">
        <x:v>吴承龙</x:v>
      </x:c>
      <x:c r="C1507" s="16" t="n">
        <x:v>46136</x:v>
      </x:c>
      <x:c r="D1507" s="17" t="n">
        <x:v>386</x:v>
      </x:c>
      <x:c r="E1507" s="17" t="n">
        <x:v>564</x:v>
      </x:c>
      <x:c r="F1507" s="18" t="n">
        <x:v>6584.88</x:v>
      </x:c>
    </x:row>
    <x:row r="1508">
      <x:c r="A1508" s="14" t="str">
        <x:v>店长</x:v>
      </x:c>
      <x:c r="B1508" s="15" t="str">
        <x:v>吴承龙</x:v>
      </x:c>
      <x:c r="C1508" s="16" t="n">
        <x:v>46137</x:v>
      </x:c>
      <x:c r="D1508" s="17" t="n">
        <x:v>333</x:v>
      </x:c>
      <x:c r="E1508" s="17" t="n">
        <x:v>444</x:v>
      </x:c>
      <x:c r="F1508" s="18" t="n">
        <x:v>4809.27</x:v>
      </x:c>
    </x:row>
    <x:row r="1509">
      <x:c r="A1509" s="14" t="str">
        <x:v>店长</x:v>
      </x:c>
      <x:c r="B1509" s="15" t="str">
        <x:v>吴承龙</x:v>
      </x:c>
      <x:c r="C1509" s="16" t="n">
        <x:v>46138</x:v>
      </x:c>
      <x:c r="D1509" s="17" t="n">
        <x:v>338</x:v>
      </x:c>
      <x:c r="E1509" s="17" t="n">
        <x:v>458</x:v>
      </x:c>
      <x:c r="F1509" s="18" t="n">
        <x:v>5062.51</x:v>
      </x:c>
    </x:row>
    <x:row r="1510">
      <x:c r="A1510" s="14" t="str">
        <x:v>店长</x:v>
      </x:c>
      <x:c r="B1510" s="15" t="str">
        <x:v>吴承龙</x:v>
      </x:c>
      <x:c r="C1510" s="16" t="n">
        <x:v>46139</x:v>
      </x:c>
      <x:c r="D1510" s="17" t="n">
        <x:v>457</x:v>
      </x:c>
      <x:c r="E1510" s="17" t="n">
        <x:v>620</x:v>
      </x:c>
      <x:c r="F1510" s="18" t="n">
        <x:v>6697.64</x:v>
      </x:c>
    </x:row>
    <x:row r="1511">
      <x:c r="A1511" s="14" t="str">
        <x:v>店长</x:v>
      </x:c>
      <x:c r="B1511" s="15" t="str">
        <x:v>吴承龙</x:v>
      </x:c>
      <x:c r="C1511" s="16" t="n">
        <x:v>46140</x:v>
      </x:c>
      <x:c r="D1511" s="17" t="n">
        <x:v>345</x:v>
      </x:c>
      <x:c r="E1511" s="17" t="n">
        <x:v>438</x:v>
      </x:c>
      <x:c r="F1511" s="18" t="n">
        <x:v>5065.3</x:v>
      </x:c>
    </x:row>
    <x:row r="1512">
      <x:c r="A1512" s="14" t="str">
        <x:v>店长</x:v>
      </x:c>
      <x:c r="B1512" s="15" t="str">
        <x:v>吴承龙</x:v>
      </x:c>
      <x:c r="C1512" s="16" t="n">
        <x:v>46141</x:v>
      </x:c>
      <x:c r="D1512" s="17" t="n">
        <x:v>340</x:v>
      </x:c>
      <x:c r="E1512" s="17" t="n">
        <x:v>480</x:v>
      </x:c>
      <x:c r="F1512" s="18" t="n">
        <x:v>5537.13</x:v>
      </x:c>
    </x:row>
    <x:row r="1513">
      <x:c r="A1513" s="14" t="str">
        <x:v>店长</x:v>
      </x:c>
      <x:c r="B1513" s="15" t="str">
        <x:v>吴承龙</x:v>
      </x:c>
      <x:c r="C1513" s="16" t="n">
        <x:v>46142</x:v>
      </x:c>
      <x:c r="D1513" s="17" t="n">
        <x:v>301</x:v>
      </x:c>
      <x:c r="E1513" s="17" t="n">
        <x:v>427</x:v>
      </x:c>
      <x:c r="F1513" s="18" t="n">
        <x:v>4795.63</x:v>
      </x:c>
    </x:row>
    <x:row r="1514">
      <x:c r="A1514" s="14" t="str">
        <x:v>店长</x:v>
      </x:c>
      <x:c r="B1514" s="15" t="str">
        <x:v>吴承龙</x:v>
      </x:c>
      <x:c r="C1514" s="16" t="n">
        <x:v>46143</x:v>
      </x:c>
      <x:c r="D1514" s="17" t="n">
        <x:v>390</x:v>
      </x:c>
      <x:c r="E1514" s="17" t="n">
        <x:v>540</x:v>
      </x:c>
      <x:c r="F1514" s="18" t="n">
        <x:v>5920.43</x:v>
      </x:c>
    </x:row>
    <x:row r="1515">
      <x:c r="A1515" s="14" t="str">
        <x:v>店长</x:v>
      </x:c>
      <x:c r="B1515" s="15" t="str">
        <x:v>吴承龙</x:v>
      </x:c>
      <x:c r="C1515" s="16" t="n">
        <x:v>46144</x:v>
      </x:c>
      <x:c r="D1515" s="17" t="n">
        <x:v>385</x:v>
      </x:c>
      <x:c r="E1515" s="17" t="n">
        <x:v>552</x:v>
      </x:c>
      <x:c r="F1515" s="18" t="n">
        <x:v>6427.67</x:v>
      </x:c>
    </x:row>
    <x:row r="1516">
      <x:c r="A1516" s="14" t="str">
        <x:v>店长</x:v>
      </x:c>
      <x:c r="B1516" s="15" t="str">
        <x:v>吴承龙</x:v>
      </x:c>
      <x:c r="C1516" s="16" t="n">
        <x:v>46145</x:v>
      </x:c>
      <x:c r="D1516" s="17" t="n">
        <x:v>300</x:v>
      </x:c>
      <x:c r="E1516" s="17" t="n">
        <x:v>414</x:v>
      </x:c>
      <x:c r="F1516" s="18" t="n">
        <x:v>4589.91</x:v>
      </x:c>
    </x:row>
    <x:row r="1517">
      <x:c r="A1517" s="14" t="str">
        <x:v>店长</x:v>
      </x:c>
      <x:c r="B1517" s="15" t="str">
        <x:v>吴承龙</x:v>
      </x:c>
      <x:c r="C1517" s="16" t="n">
        <x:v>46146</x:v>
      </x:c>
      <x:c r="D1517" s="17" t="n">
        <x:v>360</x:v>
      </x:c>
      <x:c r="E1517" s="17" t="n">
        <x:v>479</x:v>
      </x:c>
      <x:c r="F1517" s="18" t="n">
        <x:v>5625.78</x:v>
      </x:c>
    </x:row>
    <x:row r="1518">
      <x:c r="A1518" s="14" t="str">
        <x:v>店长</x:v>
      </x:c>
      <x:c r="B1518" s="15" t="str">
        <x:v>吴承龙</x:v>
      </x:c>
      <x:c r="C1518" s="16" t="n">
        <x:v>46147</x:v>
      </x:c>
      <x:c r="D1518" s="17" t="n">
        <x:v>446</x:v>
      </x:c>
      <x:c r="E1518" s="17" t="n">
        <x:v>569</x:v>
      </x:c>
      <x:c r="F1518" s="18" t="n">
        <x:v>6948.02</x:v>
      </x:c>
    </x:row>
    <x:row r="1519">
      <x:c r="A1519" s="14" t="str">
        <x:v>店长</x:v>
      </x:c>
      <x:c r="B1519" s="15" t="str">
        <x:v>吴承龙</x:v>
      </x:c>
      <x:c r="C1519" s="16" t="n">
        <x:v>46148</x:v>
      </x:c>
      <x:c r="D1519" s="17" t="n">
        <x:v>494</x:v>
      </x:c>
      <x:c r="E1519" s="17" t="n">
        <x:v>681</x:v>
      </x:c>
      <x:c r="F1519" s="18" t="n">
        <x:v>7429.54</x:v>
      </x:c>
    </x:row>
    <x:row r="1520">
      <x:c r="A1520" s="14" t="str">
        <x:v>店长</x:v>
      </x:c>
      <x:c r="B1520" s="15" t="str">
        <x:v>吴承龙</x:v>
      </x:c>
      <x:c r="C1520" s="16" t="n">
        <x:v>46149</x:v>
      </x:c>
      <x:c r="D1520" s="17" t="n">
        <x:v>398</x:v>
      </x:c>
      <x:c r="E1520" s="17" t="n">
        <x:v>525</x:v>
      </x:c>
      <x:c r="F1520" s="18" t="n">
        <x:v>6130.2</x:v>
      </x:c>
    </x:row>
    <x:row r="1521">
      <x:c r="A1521" s="14" t="str">
        <x:v>店长</x:v>
      </x:c>
      <x:c r="B1521" s="15" t="str">
        <x:v>吴承龙</x:v>
      </x:c>
      <x:c r="C1521" s="16" t="n">
        <x:v>46150</x:v>
      </x:c>
      <x:c r="D1521" s="17" t="n">
        <x:v>459</x:v>
      </x:c>
      <x:c r="E1521" s="17" t="n">
        <x:v>604</x:v>
      </x:c>
      <x:c r="F1521" s="18" t="n">
        <x:v>7041.62</x:v>
      </x:c>
    </x:row>
    <x:row r="1522">
      <x:c r="A1522" s="14" t="str">
        <x:v>店长</x:v>
      </x:c>
      <x:c r="B1522" s="15" t="str">
        <x:v>吴承龙</x:v>
      </x:c>
      <x:c r="C1522" s="16" t="n">
        <x:v>46151</x:v>
      </x:c>
      <x:c r="D1522" s="17" t="n">
        <x:v>511</x:v>
      </x:c>
      <x:c r="E1522" s="17" t="n">
        <x:v>710</x:v>
      </x:c>
      <x:c r="F1522" s="18" t="n">
        <x:v>7733.03</x:v>
      </x:c>
    </x:row>
    <x:row r="1523">
      <x:c r="A1523" s="14" t="str">
        <x:v>店长</x:v>
      </x:c>
      <x:c r="B1523" s="15" t="str">
        <x:v>吴承龙</x:v>
      </x:c>
      <x:c r="C1523" s="16" t="n">
        <x:v>46152</x:v>
      </x:c>
      <x:c r="D1523" s="17" t="n">
        <x:v>476</x:v>
      </x:c>
      <x:c r="E1523" s="17" t="n">
        <x:v>695</x:v>
      </x:c>
      <x:c r="F1523" s="18" t="n">
        <x:v>6899.95</x:v>
      </x:c>
    </x:row>
    <x:row r="1524">
      <x:c r="A1524" s="14" t="str">
        <x:v>店长</x:v>
      </x:c>
      <x:c r="B1524" s="15" t="str">
        <x:v>吴承龙</x:v>
      </x:c>
      <x:c r="C1524" s="16" t="n">
        <x:v>46153</x:v>
      </x:c>
      <x:c r="D1524" s="17" t="n">
        <x:v>553</x:v>
      </x:c>
      <x:c r="E1524" s="17" t="n">
        <x:v>786</x:v>
      </x:c>
      <x:c r="F1524" s="18" t="n">
        <x:v>8110.34</x:v>
      </x:c>
    </x:row>
    <x:row r="1525">
      <x:c r="A1525" s="14" t="str">
        <x:v>店长</x:v>
      </x:c>
      <x:c r="B1525" s="15" t="str">
        <x:v>吴承龙</x:v>
      </x:c>
      <x:c r="C1525" s="16" t="n">
        <x:v>46154</x:v>
      </x:c>
      <x:c r="D1525" s="17" t="n">
        <x:v>589</x:v>
      </x:c>
      <x:c r="E1525" s="17" t="n">
        <x:v>883</x:v>
      </x:c>
      <x:c r="F1525" s="18" t="n">
        <x:v>8742.7</x:v>
      </x:c>
    </x:row>
    <x:row r="1526">
      <x:c r="A1526" s="14" t="str">
        <x:v>店长</x:v>
      </x:c>
      <x:c r="B1526" s="15" t="str">
        <x:v>吴承龙</x:v>
      </x:c>
      <x:c r="C1526" s="16" t="n">
        <x:v>46155</x:v>
      </x:c>
      <x:c r="D1526" s="17" t="n">
        <x:v>560</x:v>
      </x:c>
      <x:c r="E1526" s="17" t="n">
        <x:v>884</x:v>
      </x:c>
      <x:c r="F1526" s="18" t="n">
        <x:v>8167.68</x:v>
      </x:c>
    </x:row>
    <x:row r="1527">
      <x:c r="A1527" s="14" t="str">
        <x:v>店长</x:v>
      </x:c>
      <x:c r="B1527" s="15" t="str">
        <x:v>吴承龙</x:v>
      </x:c>
      <x:c r="C1527" s="16" t="n">
        <x:v>46156</x:v>
      </x:c>
      <x:c r="D1527" s="17" t="n">
        <x:v>498</x:v>
      </x:c>
      <x:c r="E1527" s="17" t="n">
        <x:v>725</x:v>
      </x:c>
      <x:c r="F1527" s="18" t="n">
        <x:v>7510.81</x:v>
      </x:c>
    </x:row>
    <x:row r="1528">
      <x:c r="A1528" s="14" t="str">
        <x:v>店长</x:v>
      </x:c>
      <x:c r="B1528" s="15" t="str">
        <x:v>吴承龙</x:v>
      </x:c>
      <x:c r="C1528" s="16" t="n">
        <x:v>46157</x:v>
      </x:c>
      <x:c r="D1528" s="17" t="n">
        <x:v>480</x:v>
      </x:c>
      <x:c r="E1528" s="17" t="n">
        <x:v>655</x:v>
      </x:c>
      <x:c r="F1528" s="18" t="n">
        <x:v>6996.19</x:v>
      </x:c>
    </x:row>
    <x:row r="1529">
      <x:c r="A1529" s="14" t="str">
        <x:v>店长</x:v>
      </x:c>
      <x:c r="B1529" s="15" t="str">
        <x:v>吴承龙</x:v>
      </x:c>
      <x:c r="C1529" s="16" t="n">
        <x:v>46158</x:v>
      </x:c>
      <x:c r="D1529" s="17" t="n">
        <x:v>431</x:v>
      </x:c>
      <x:c r="E1529" s="17" t="n">
        <x:v>633</x:v>
      </x:c>
      <x:c r="F1529" s="18" t="n">
        <x:v>6504.86</x:v>
      </x:c>
    </x:row>
    <x:row r="1530">
      <x:c r="A1530" s="14" t="str">
        <x:v>店长</x:v>
      </x:c>
      <x:c r="B1530" s="15" t="str">
        <x:v>吴承龙</x:v>
      </x:c>
      <x:c r="C1530" s="16" t="n">
        <x:v>46159</x:v>
      </x:c>
      <x:c r="D1530" s="17" t="n">
        <x:v>564</x:v>
      </x:c>
      <x:c r="E1530" s="17" t="n">
        <x:v>833</x:v>
      </x:c>
      <x:c r="F1530" s="18" t="n">
        <x:v>8429.15</x:v>
      </x:c>
    </x:row>
    <x:row r="1531">
      <x:c r="A1531" s="14" t="str">
        <x:v>店长</x:v>
      </x:c>
      <x:c r="B1531" s="15" t="str">
        <x:v>吴承龙</x:v>
      </x:c>
      <x:c r="C1531" s="16" t="n">
        <x:v>46160</x:v>
      </x:c>
      <x:c r="D1531" s="17" t="n">
        <x:v>441</x:v>
      </x:c>
      <x:c r="E1531" s="17" t="n">
        <x:v>697</x:v>
      </x:c>
      <x:c r="F1531" s="18" t="n">
        <x:v>7293.56</x:v>
      </x:c>
    </x:row>
    <x:row r="1532">
      <x:c r="A1532" s="14" t="str">
        <x:v>店长</x:v>
      </x:c>
      <x:c r="B1532" s="15" t="str">
        <x:v>吴承龙</x:v>
      </x:c>
      <x:c r="C1532" s="16" t="n">
        <x:v>46161</x:v>
      </x:c>
      <x:c r="D1532" s="17" t="n">
        <x:v>537</x:v>
      </x:c>
      <x:c r="E1532" s="17" t="n">
        <x:v>826</x:v>
      </x:c>
      <x:c r="F1532" s="18" t="n">
        <x:v>8268.91</x:v>
      </x:c>
    </x:row>
    <x:row r="1533">
      <x:c r="A1533" s="14" t="str">
        <x:v>店长</x:v>
      </x:c>
      <x:c r="B1533" s="15" t="str">
        <x:v>吴承龙</x:v>
      </x:c>
      <x:c r="C1533" s="16" t="n">
        <x:v>46162</x:v>
      </x:c>
      <x:c r="D1533" s="17" t="n">
        <x:v>504</x:v>
      </x:c>
      <x:c r="E1533" s="17" t="n">
        <x:v>787</x:v>
      </x:c>
      <x:c r="F1533" s="18" t="n">
        <x:v>7696.35</x:v>
      </x:c>
    </x:row>
    <x:row r="1534">
      <x:c r="A1534" s="14" t="str">
        <x:v>店长</x:v>
      </x:c>
      <x:c r="B1534" s="15" t="str">
        <x:v>吴承龙</x:v>
      </x:c>
      <x:c r="C1534" s="16" t="n">
        <x:v>46163</x:v>
      </x:c>
      <x:c r="D1534" s="17" t="n">
        <x:v>409</x:v>
      </x:c>
      <x:c r="E1534" s="17" t="n">
        <x:v>569</x:v>
      </x:c>
      <x:c r="F1534" s="18" t="n">
        <x:v>5898.59</x:v>
      </x:c>
    </x:row>
    <x:row r="1535">
      <x:c r="A1535" s="14" t="str">
        <x:v>店长</x:v>
      </x:c>
      <x:c r="B1535" s="15" t="str">
        <x:v>吴承龙</x:v>
      </x:c>
      <x:c r="C1535" s="16" t="n">
        <x:v>46164</x:v>
      </x:c>
      <x:c r="D1535" s="17" t="n">
        <x:v>506</x:v>
      </x:c>
      <x:c r="E1535" s="17" t="n">
        <x:v>768</x:v>
      </x:c>
      <x:c r="F1535" s="18" t="n">
        <x:v>8236.62</x:v>
      </x:c>
    </x:row>
    <x:row r="1536">
      <x:c r="A1536" s="14" t="str">
        <x:v>店长</x:v>
      </x:c>
      <x:c r="B1536" s="15" t="str">
        <x:v>吴承龙</x:v>
      </x:c>
      <x:c r="C1536" s="16" t="n">
        <x:v>46165</x:v>
      </x:c>
      <x:c r="D1536" s="17" t="n">
        <x:v>459</x:v>
      </x:c>
      <x:c r="E1536" s="17" t="n">
        <x:v>680</x:v>
      </x:c>
      <x:c r="F1536" s="18" t="n">
        <x:v>7311.27</x:v>
      </x:c>
    </x:row>
    <x:row r="1537">
      <x:c r="A1537" s="14" t="str">
        <x:v>店长</x:v>
      </x:c>
      <x:c r="B1537" s="15" t="str">
        <x:v>吴承龙</x:v>
      </x:c>
      <x:c r="C1537" s="16" t="n">
        <x:v>46166</x:v>
      </x:c>
      <x:c r="D1537" s="17" t="n">
        <x:v>369</x:v>
      </x:c>
      <x:c r="E1537" s="17" t="n">
        <x:v>514</x:v>
      </x:c>
      <x:c r="F1537" s="18" t="n">
        <x:v>5982.19</x:v>
      </x:c>
    </x:row>
    <x:row r="1538">
      <x:c r="A1538" s="14" t="str">
        <x:v>店长</x:v>
      </x:c>
      <x:c r="B1538" s="15" t="str">
        <x:v>吴承龙</x:v>
      </x:c>
      <x:c r="C1538" s="16" t="n">
        <x:v>46167</x:v>
      </x:c>
      <x:c r="D1538" s="17" t="n">
        <x:v>590</x:v>
      </x:c>
      <x:c r="E1538" s="17" t="n">
        <x:v>788</x:v>
      </x:c>
      <x:c r="F1538" s="18" t="n">
        <x:v>8686.24</x:v>
      </x:c>
    </x:row>
    <x:row r="1539">
      <x:c r="A1539" s="14" t="str">
        <x:v>店长</x:v>
      </x:c>
      <x:c r="B1539" s="15" t="str">
        <x:v>吴承龙</x:v>
      </x:c>
      <x:c r="C1539" s="16" t="n">
        <x:v>46168</x:v>
      </x:c>
      <x:c r="D1539" s="17" t="n">
        <x:v>559</x:v>
      </x:c>
      <x:c r="E1539" s="17" t="n">
        <x:v>794</x:v>
      </x:c>
      <x:c r="F1539" s="18" t="n">
        <x:v>7935.05</x:v>
      </x:c>
    </x:row>
    <x:row r="1540">
      <x:c r="A1540" s="14" t="str">
        <x:v>店长</x:v>
      </x:c>
      <x:c r="B1540" s="15" t="str">
        <x:v>吴承龙</x:v>
      </x:c>
      <x:c r="C1540" s="16" t="n">
        <x:v>46169</x:v>
      </x:c>
      <x:c r="D1540" s="17" t="n">
        <x:v>458</x:v>
      </x:c>
      <x:c r="E1540" s="17" t="n">
        <x:v>621</x:v>
      </x:c>
      <x:c r="F1540" s="18" t="n">
        <x:v>6700.5</x:v>
      </x:c>
    </x:row>
    <x:row r="1541">
      <x:c r="A1541" s="14" t="str">
        <x:v>店长</x:v>
      </x:c>
      <x:c r="B1541" s="15" t="str">
        <x:v>吴承龙</x:v>
      </x:c>
      <x:c r="C1541" s="16" t="n">
        <x:v>46170</x:v>
      </x:c>
      <x:c r="D1541" s="17" t="n">
        <x:v>455</x:v>
      </x:c>
      <x:c r="E1541" s="17" t="n">
        <x:v>639</x:v>
      </x:c>
      <x:c r="F1541" s="18" t="n">
        <x:v>6547.83</x:v>
      </x:c>
    </x:row>
    <x:row r="1542">
      <x:c r="A1542" s="14" t="str">
        <x:v>店长</x:v>
      </x:c>
      <x:c r="B1542" s="15" t="str">
        <x:v>吴承龙</x:v>
      </x:c>
      <x:c r="C1542" s="16" t="n">
        <x:v>46171</x:v>
      </x:c>
      <x:c r="D1542" s="17" t="n">
        <x:v>591</x:v>
      </x:c>
      <x:c r="E1542" s="17" t="n">
        <x:v>755</x:v>
      </x:c>
      <x:c r="F1542" s="18" t="n">
        <x:v>8044.12</x:v>
      </x:c>
    </x:row>
    <x:row r="1543">
      <x:c r="A1543" s="14" t="str">
        <x:v>店长</x:v>
      </x:c>
      <x:c r="B1543" s="15" t="str">
        <x:v>吴承龙</x:v>
      </x:c>
      <x:c r="C1543" s="16" t="n">
        <x:v>46172</x:v>
      </x:c>
      <x:c r="D1543" s="17" t="n">
        <x:v>543</x:v>
      </x:c>
      <x:c r="E1543" s="17" t="n">
        <x:v>736</x:v>
      </x:c>
      <x:c r="F1543" s="18" t="n">
        <x:v>7520.45</x:v>
      </x:c>
    </x:row>
    <x:row r="1544">
      <x:c r="A1544" s="14" t="str">
        <x:v>店长</x:v>
      </x:c>
      <x:c r="B1544" s="15" t="str">
        <x:v>吴承龙</x:v>
      </x:c>
      <x:c r="C1544" s="16" t="n">
        <x:v>46173</x:v>
      </x:c>
      <x:c r="D1544" s="17" t="n">
        <x:v>501</x:v>
      </x:c>
      <x:c r="E1544" s="17" t="n">
        <x:v>702</x:v>
      </x:c>
      <x:c r="F1544" s="18" t="n">
        <x:v>7733.64</x:v>
      </x:c>
    </x:row>
    <x:row r="1545">
      <x:c r="A1545" s="14" t="str">
        <x:v>店长</x:v>
      </x:c>
      <x:c r="B1545" s="15" t="str">
        <x:v>吴承龙</x:v>
      </x:c>
      <x:c r="C1545" s="16" t="n">
        <x:v>46174</x:v>
      </x:c>
      <x:c r="D1545" s="17" t="n">
        <x:v>595</x:v>
      </x:c>
      <x:c r="E1545" s="17" t="n">
        <x:v>861</x:v>
      </x:c>
      <x:c r="F1545" s="18" t="n">
        <x:v>9108.39</x:v>
      </x:c>
    </x:row>
    <x:row r="1546">
      <x:c r="A1546" s="14" t="str">
        <x:v>店长</x:v>
      </x:c>
      <x:c r="B1546" s="15" t="str">
        <x:v>吴承龙</x:v>
      </x:c>
      <x:c r="C1546" s="16" t="n">
        <x:v>46175</x:v>
      </x:c>
      <x:c r="D1546" s="17" t="n">
        <x:v>607</x:v>
      </x:c>
      <x:c r="E1546" s="17" t="n">
        <x:v>793</x:v>
      </x:c>
      <x:c r="F1546" s="18" t="n">
        <x:v>8206.11</x:v>
      </x:c>
    </x:row>
    <x:row r="1547">
      <x:c r="A1547" s="14" t="str">
        <x:v>店长</x:v>
      </x:c>
      <x:c r="B1547" s="15" t="str">
        <x:v>吴承龙</x:v>
      </x:c>
      <x:c r="C1547" s="16" t="n">
        <x:v>46176</x:v>
      </x:c>
      <x:c r="D1547" s="17" t="n">
        <x:v>612</x:v>
      </x:c>
      <x:c r="E1547" s="17" t="n">
        <x:v>802</x:v>
      </x:c>
      <x:c r="F1547" s="18" t="n">
        <x:v>8528.14</x:v>
      </x:c>
    </x:row>
    <x:row r="1548">
      <x:c r="A1548" s="14" t="str">
        <x:v>店长</x:v>
      </x:c>
      <x:c r="B1548" s="15" t="str">
        <x:v>吴承龙</x:v>
      </x:c>
      <x:c r="C1548" s="16" t="n">
        <x:v>46177</x:v>
      </x:c>
      <x:c r="D1548" s="17" t="n">
        <x:v>526</x:v>
      </x:c>
      <x:c r="E1548" s="17" t="n">
        <x:v>726</x:v>
      </x:c>
      <x:c r="F1548" s="18" t="n">
        <x:v>7898.48</x:v>
      </x:c>
    </x:row>
    <x:row r="1549">
      <x:c r="A1549" s="14" t="str">
        <x:v>店长</x:v>
      </x:c>
      <x:c r="B1549" s="15" t="str">
        <x:v>吴承龙</x:v>
      </x:c>
      <x:c r="C1549" s="16" t="n">
        <x:v>46178</x:v>
      </x:c>
      <x:c r="D1549" s="17" t="n">
        <x:v>527</x:v>
      </x:c>
      <x:c r="E1549" s="17" t="n">
        <x:v>729</x:v>
      </x:c>
      <x:c r="F1549" s="18" t="n">
        <x:v>7723.4</x:v>
      </x:c>
    </x:row>
    <x:row r="1550">
      <x:c r="A1550" s="14" t="str">
        <x:v>店长</x:v>
      </x:c>
      <x:c r="B1550" s="15" t="str">
        <x:v>吴承龙</x:v>
      </x:c>
      <x:c r="C1550" s="16" t="n">
        <x:v>46179</x:v>
      </x:c>
      <x:c r="D1550" s="17" t="n">
        <x:v>830</x:v>
      </x:c>
      <x:c r="E1550" s="17" t="n">
        <x:v>1157</x:v>
      </x:c>
      <x:c r="F1550" s="18" t="n">
        <x:v>11944.57</x:v>
      </x:c>
    </x:row>
    <x:row r="1551">
      <x:c r="A1551" s="14" t="str">
        <x:v>店长</x:v>
      </x:c>
      <x:c r="B1551" s="15" t="str">
        <x:v>吴承龙</x:v>
      </x:c>
      <x:c r="C1551" s="16" t="n">
        <x:v>46180</x:v>
      </x:c>
      <x:c r="D1551" s="17" t="n">
        <x:v>720</x:v>
      </x:c>
      <x:c r="E1551" s="17" t="n">
        <x:v>1052</x:v>
      </x:c>
      <x:c r="F1551" s="18" t="n">
        <x:v>10853.17</x:v>
      </x:c>
    </x:row>
    <x:row r="1552">
      <x:c r="A1552" s="14" t="str">
        <x:v>店长</x:v>
      </x:c>
      <x:c r="B1552" s="15" t="str">
        <x:v>吴承龙</x:v>
      </x:c>
      <x:c r="C1552" s="16" t="n">
        <x:v>46181</x:v>
      </x:c>
      <x:c r="D1552" s="17" t="n">
        <x:v>827</x:v>
      </x:c>
      <x:c r="E1552" s="17" t="n">
        <x:v>1208</x:v>
      </x:c>
      <x:c r="F1552" s="18" t="n">
        <x:v>11063.79</x:v>
      </x:c>
    </x:row>
    <x:row r="1553">
      <x:c r="A1553" s="14" t="str">
        <x:v>店长</x:v>
      </x:c>
      <x:c r="B1553" s="15" t="str">
        <x:v>吴承龙</x:v>
      </x:c>
      <x:c r="C1553" s="16" t="n">
        <x:v>46182</x:v>
      </x:c>
      <x:c r="D1553" s="17" t="n">
        <x:v>749</x:v>
      </x:c>
      <x:c r="E1553" s="17" t="n">
        <x:v>1119</x:v>
      </x:c>
      <x:c r="F1553" s="18" t="n">
        <x:v>10844.17</x:v>
      </x:c>
    </x:row>
    <x:row r="1554">
      <x:c r="A1554" s="14" t="str">
        <x:v>店长</x:v>
      </x:c>
      <x:c r="B1554" s="15" t="str">
        <x:v>吴承龙</x:v>
      </x:c>
      <x:c r="C1554" s="16" t="n">
        <x:v>46183</x:v>
      </x:c>
      <x:c r="D1554" s="17" t="n">
        <x:v>677</x:v>
      </x:c>
      <x:c r="E1554" s="17" t="n">
        <x:v>1036</x:v>
      </x:c>
      <x:c r="F1554" s="18" t="n">
        <x:v>9267.28</x:v>
      </x:c>
    </x:row>
    <x:row r="1555">
      <x:c r="A1555" s="14" t="str">
        <x:v>店长</x:v>
      </x:c>
      <x:c r="B1555" s="15" t="str">
        <x:v>吴承龙</x:v>
      </x:c>
      <x:c r="C1555" s="16" t="n">
        <x:v>46184</x:v>
      </x:c>
      <x:c r="D1555" s="17" t="n">
        <x:v>776</x:v>
      </x:c>
      <x:c r="E1555" s="17" t="n">
        <x:v>1147</x:v>
      </x:c>
      <x:c r="F1555" s="18" t="n">
        <x:v>10971.8</x:v>
      </x:c>
    </x:row>
    <x:row r="1556">
      <x:c r="A1556" s="14" t="str">
        <x:v>店长</x:v>
      </x:c>
      <x:c r="B1556" s="15" t="str">
        <x:v>吴承龙</x:v>
      </x:c>
      <x:c r="C1556" s="16" t="n">
        <x:v>46185</x:v>
      </x:c>
      <x:c r="D1556" s="17" t="n">
        <x:v>713</x:v>
      </x:c>
      <x:c r="E1556" s="17" t="n">
        <x:v>1052</x:v>
      </x:c>
      <x:c r="F1556" s="18" t="n">
        <x:v>11049.89</x:v>
      </x:c>
    </x:row>
    <x:row r="1557">
      <x:c r="A1557" s="14" t="str">
        <x:v>店长</x:v>
      </x:c>
      <x:c r="B1557" s="15" t="str">
        <x:v>吴承龙</x:v>
      </x:c>
      <x:c r="C1557" s="16" t="n">
        <x:v>46186</x:v>
      </x:c>
      <x:c r="D1557" s="17" t="n">
        <x:v>668</x:v>
      </x:c>
      <x:c r="E1557" s="17" t="n">
        <x:v>1031</x:v>
      </x:c>
      <x:c r="F1557" s="18" t="n">
        <x:v>9606.19</x:v>
      </x:c>
    </x:row>
    <x:row r="1558">
      <x:c r="A1558" s="14" t="str">
        <x:v>店长</x:v>
      </x:c>
      <x:c r="B1558" s="15" t="str">
        <x:v>吴承龙</x:v>
      </x:c>
      <x:c r="C1558" s="16" t="n">
        <x:v>46187</x:v>
      </x:c>
      <x:c r="D1558" s="17" t="n">
        <x:v>682</x:v>
      </x:c>
      <x:c r="E1558" s="17" t="n">
        <x:v>1003</x:v>
      </x:c>
      <x:c r="F1558" s="18" t="n">
        <x:v>9558.8</x:v>
      </x:c>
    </x:row>
    <x:row r="1559">
      <x:c r="A1559" s="14" t="str">
        <x:v>店长</x:v>
      </x:c>
      <x:c r="B1559" s="15" t="str">
        <x:v>吴承龙</x:v>
      </x:c>
      <x:c r="C1559" s="16" t="n">
        <x:v>46188</x:v>
      </x:c>
      <x:c r="D1559" s="17" t="n">
        <x:v>624</x:v>
      </x:c>
      <x:c r="E1559" s="17" t="n">
        <x:v>938</x:v>
      </x:c>
      <x:c r="F1559" s="18" t="n">
        <x:v>9400.48</x:v>
      </x:c>
    </x:row>
    <x:row r="1560">
      <x:c r="A1560" s="14" t="str">
        <x:v>店长</x:v>
      </x:c>
      <x:c r="B1560" s="15" t="str">
        <x:v>吴承龙</x:v>
      </x:c>
      <x:c r="C1560" s="16" t="n">
        <x:v>46189</x:v>
      </x:c>
      <x:c r="D1560" s="17" t="n">
        <x:v>682</x:v>
      </x:c>
      <x:c r="E1560" s="17" t="n">
        <x:v>998</x:v>
      </x:c>
      <x:c r="F1560" s="18" t="n">
        <x:v>10451.58</x:v>
      </x:c>
    </x:row>
    <x:row r="1561">
      <x:c r="A1561" s="14" t="str">
        <x:v>店长</x:v>
      </x:c>
      <x:c r="B1561" s="15" t="str">
        <x:v>吴承龙</x:v>
      </x:c>
      <x:c r="C1561" s="16" t="n">
        <x:v>46190</x:v>
      </x:c>
      <x:c r="D1561" s="17" t="n">
        <x:v>579</x:v>
      </x:c>
      <x:c r="E1561" s="17" t="n">
        <x:v>927</x:v>
      </x:c>
      <x:c r="F1561" s="18" t="n">
        <x:v>10154.41</x:v>
      </x:c>
    </x:row>
    <x:row r="1562">
      <x:c r="A1562" s="14" t="str">
        <x:v>店长</x:v>
      </x:c>
      <x:c r="B1562" s="15" t="str">
        <x:v>吴承龙</x:v>
      </x:c>
      <x:c r="C1562" s="16" t="n">
        <x:v>46191</x:v>
      </x:c>
      <x:c r="D1562" s="17" t="n">
        <x:v>625</x:v>
      </x:c>
      <x:c r="E1562" s="17" t="n">
        <x:v>980</x:v>
      </x:c>
      <x:c r="F1562" s="18" t="n">
        <x:v>11463.24</x:v>
      </x:c>
    </x:row>
    <x:row r="1563">
      <x:c r="A1563" s="14" t="str">
        <x:v>店长</x:v>
      </x:c>
      <x:c r="B1563" s="15" t="str">
        <x:v>吴承龙</x:v>
      </x:c>
      <x:c r="C1563" s="16" t="n">
        <x:v>46192</x:v>
      </x:c>
      <x:c r="D1563" s="17" t="n">
        <x:v>556</x:v>
      </x:c>
      <x:c r="E1563" s="17" t="n">
        <x:v>844</x:v>
      </x:c>
      <x:c r="F1563" s="18" t="n">
        <x:v>9561.76</x:v>
      </x:c>
    </x:row>
    <x:row r="1564">
      <x:c r="A1564" s="14" t="str">
        <x:v>店长</x:v>
      </x:c>
      <x:c r="B1564" s="15" t="str">
        <x:v>吴承龙</x:v>
      </x:c>
      <x:c r="C1564" s="16" t="n">
        <x:v>46193</x:v>
      </x:c>
      <x:c r="D1564" s="17" t="n">
        <x:v>561</x:v>
      </x:c>
      <x:c r="E1564" s="17" t="n">
        <x:v>893</x:v>
      </x:c>
      <x:c r="F1564" s="18" t="n">
        <x:v>9515.03</x:v>
      </x:c>
    </x:row>
    <x:row r="1565">
      <x:c r="A1565" s="14" t="str">
        <x:v>店长</x:v>
      </x:c>
      <x:c r="B1565" s="15" t="str">
        <x:v>吴承龙</x:v>
      </x:c>
      <x:c r="C1565" s="16" t="n">
        <x:v>46194</x:v>
      </x:c>
      <x:c r="D1565" s="17" t="n">
        <x:v>571</x:v>
      </x:c>
      <x:c r="E1565" s="17" t="n">
        <x:v>906</x:v>
      </x:c>
      <x:c r="F1565" s="18" t="n">
        <x:v>9626.33</x:v>
      </x:c>
    </x:row>
    <x:row r="1566">
      <x:c r="A1566" s="14" t="str">
        <x:v>店长</x:v>
      </x:c>
      <x:c r="B1566" s="15" t="str">
        <x:v>吴承龙</x:v>
      </x:c>
      <x:c r="C1566" s="16" t="n">
        <x:v>46195</x:v>
      </x:c>
      <x:c r="D1566" s="17" t="n">
        <x:v>593</x:v>
      </x:c>
      <x:c r="E1566" s="17" t="n">
        <x:v>935</x:v>
      </x:c>
      <x:c r="F1566" s="18" t="n">
        <x:v>9630.74</x:v>
      </x:c>
    </x:row>
    <x:row r="1567">
      <x:c r="A1567" s="14" t="str">
        <x:v>店长</x:v>
      </x:c>
      <x:c r="B1567" s="15" t="str">
        <x:v>吴承龙</x:v>
      </x:c>
      <x:c r="C1567" s="16" t="n">
        <x:v>46196</x:v>
      </x:c>
      <x:c r="D1567" s="17" t="n">
        <x:v>658</x:v>
      </x:c>
      <x:c r="E1567" s="17" t="n">
        <x:v>1052</x:v>
      </x:c>
      <x:c r="F1567" s="18" t="n">
        <x:v>11157.05</x:v>
      </x:c>
    </x:row>
    <x:row r="1568">
      <x:c r="A1568" s="14" t="str">
        <x:v>店长</x:v>
      </x:c>
      <x:c r="B1568" s="15" t="str">
        <x:v>吴承龙</x:v>
      </x:c>
      <x:c r="C1568" s="16" t="n">
        <x:v>46197</x:v>
      </x:c>
      <x:c r="D1568" s="17" t="n">
        <x:v>637</x:v>
      </x:c>
      <x:c r="E1568" s="17" t="n">
        <x:v>996</x:v>
      </x:c>
      <x:c r="F1568" s="18" t="n">
        <x:v>10522.85</x:v>
      </x:c>
    </x:row>
    <x:row r="1569">
      <x:c r="A1569" s="14" t="str">
        <x:v>店长</x:v>
      </x:c>
      <x:c r="B1569" s="15" t="str">
        <x:v>吴承龙</x:v>
      </x:c>
      <x:c r="C1569" s="16" t="n">
        <x:v>46198</x:v>
      </x:c>
      <x:c r="D1569" s="17" t="n">
        <x:v>713</x:v>
      </x:c>
      <x:c r="E1569" s="17" t="n">
        <x:v>1103</x:v>
      </x:c>
      <x:c r="F1569" s="18" t="n">
        <x:v>11149.92</x:v>
      </x:c>
    </x:row>
    <x:row r="1570">
      <x:c r="A1570" s="14" t="str">
        <x:v>店长</x:v>
      </x:c>
      <x:c r="B1570" s="15" t="str">
        <x:v>吴承龙</x:v>
      </x:c>
      <x:c r="C1570" s="16" t="n">
        <x:v>46199</x:v>
      </x:c>
      <x:c r="D1570" s="17" t="n">
        <x:v>751</x:v>
      </x:c>
      <x:c r="E1570" s="17" t="n">
        <x:v>1227</x:v>
      </x:c>
      <x:c r="F1570" s="18" t="n">
        <x:v>11299.1</x:v>
      </x:c>
    </x:row>
    <x:row r="1571">
      <x:c r="A1571" s="14" t="str">
        <x:v>店长</x:v>
      </x:c>
      <x:c r="B1571" s="15" t="str">
        <x:v>吴承龙</x:v>
      </x:c>
      <x:c r="C1571" s="16" t="n">
        <x:v>46200</x:v>
      </x:c>
      <x:c r="D1571" s="17" t="n">
        <x:v>683</x:v>
      </x:c>
      <x:c r="E1571" s="17" t="n">
        <x:v>1060</x:v>
      </x:c>
      <x:c r="F1571" s="18" t="n">
        <x:v>10318.09</x:v>
      </x:c>
    </x:row>
    <x:row r="1572">
      <x:c r="A1572" s="14" t="str">
        <x:v>店长</x:v>
      </x:c>
      <x:c r="B1572" s="15" t="str">
        <x:v>吴承龙</x:v>
      </x:c>
      <x:c r="C1572" s="16" t="n">
        <x:v>46201</x:v>
      </x:c>
      <x:c r="D1572" s="17" t="n">
        <x:v>694</x:v>
      </x:c>
      <x:c r="E1572" s="17" t="n">
        <x:v>1093</x:v>
      </x:c>
      <x:c r="F1572" s="18" t="n">
        <x:v>10369.25</x:v>
      </x:c>
    </x:row>
    <x:row r="1573">
      <x:c r="A1573" s="14" t="str">
        <x:v>店长</x:v>
      </x:c>
      <x:c r="B1573" s="15" t="str">
        <x:v>吴承龙</x:v>
      </x:c>
      <x:c r="C1573" s="16" t="n">
        <x:v>46202</x:v>
      </x:c>
      <x:c r="D1573" s="17" t="n">
        <x:v>682</x:v>
      </x:c>
      <x:c r="E1573" s="17" t="n">
        <x:v>1053</x:v>
      </x:c>
      <x:c r="F1573" s="18" t="n">
        <x:v>9780.46</x:v>
      </x:c>
    </x:row>
    <x:row r="1574">
      <x:c r="A1574" s="14" t="str">
        <x:v>店长</x:v>
      </x:c>
      <x:c r="B1574" s="15" t="str">
        <x:v>吴承龙</x:v>
      </x:c>
      <x:c r="C1574" s="16" t="n">
        <x:v>46203</x:v>
      </x:c>
      <x:c r="D1574" s="17" t="n">
        <x:v>665</x:v>
      </x:c>
      <x:c r="E1574" s="17" t="n">
        <x:v>1013</x:v>
      </x:c>
      <x:c r="F1574" s="18" t="n">
        <x:v>9937.53</x:v>
      </x:c>
    </x:row>
    <x:row r="1575">
      <x:c r="A1575" s="14" t="str">
        <x:v>店长</x:v>
      </x:c>
      <x:c r="B1575" s="15" t="str">
        <x:v>吴承龙</x:v>
      </x:c>
      <x:c r="C1575" s="16" t="n">
        <x:v>46204</x:v>
      </x:c>
      <x:c r="D1575" s="17" t="n">
        <x:v>681</x:v>
      </x:c>
      <x:c r="E1575" s="17" t="n">
        <x:v>1023</x:v>
      </x:c>
      <x:c r="F1575" s="18" t="n">
        <x:v>9791.16</x:v>
      </x:c>
    </x:row>
    <x:row r="1576">
      <x:c r="A1576" s="14" t="str">
        <x:v>店长</x:v>
      </x:c>
      <x:c r="B1576" s="15" t="str">
        <x:v>吴承龙</x:v>
      </x:c>
      <x:c r="C1576" s="16" t="n">
        <x:v>46205</x:v>
      </x:c>
      <x:c r="D1576" s="17" t="n">
        <x:v>732</x:v>
      </x:c>
      <x:c r="E1576" s="17" t="n">
        <x:v>1044</x:v>
      </x:c>
      <x:c r="F1576" s="18" t="n">
        <x:v>9815.04</x:v>
      </x:c>
    </x:row>
    <x:row r="1577">
      <x:c r="A1577" s="14" t="str">
        <x:v>店长</x:v>
      </x:c>
      <x:c r="B1577" s="15" t="str">
        <x:v>吴承龙</x:v>
      </x:c>
      <x:c r="C1577" s="16" t="n">
        <x:v>46206</x:v>
      </x:c>
      <x:c r="D1577" s="17" t="n">
        <x:v>808</x:v>
      </x:c>
      <x:c r="E1577" s="17" t="n">
        <x:v>1152</x:v>
      </x:c>
      <x:c r="F1577" s="18" t="n">
        <x:v>10558.38</x:v>
      </x:c>
    </x:row>
    <x:row r="1578">
      <x:c r="A1578" s="14" t="str">
        <x:v>店长</x:v>
      </x:c>
      <x:c r="B1578" s="15" t="str">
        <x:v>吴承龙</x:v>
      </x:c>
      <x:c r="C1578" s="16" t="n">
        <x:v>46207</x:v>
      </x:c>
      <x:c r="D1578" s="17" t="n">
        <x:v>1000</x:v>
      </x:c>
      <x:c r="E1578" s="17" t="n">
        <x:v>1485</x:v>
      </x:c>
      <x:c r="F1578" s="18" t="n">
        <x:v>13202.79</x:v>
      </x:c>
    </x:row>
    <x:row r="1579">
      <x:c r="A1579" s="14" t="str">
        <x:v>店长</x:v>
      </x:c>
      <x:c r="B1579" s="15" t="str">
        <x:v>吴承龙</x:v>
      </x:c>
      <x:c r="C1579" s="16" t="n">
        <x:v>46208</x:v>
      </x:c>
      <x:c r="D1579" s="17" t="n">
        <x:v>881</x:v>
      </x:c>
      <x:c r="E1579" s="17" t="n">
        <x:v>1332</x:v>
      </x:c>
      <x:c r="F1579" s="18" t="n">
        <x:v>11707.61</x:v>
      </x:c>
    </x:row>
    <x:row r="1580">
      <x:c r="A1580" s="14" t="str">
        <x:v>店长</x:v>
      </x:c>
      <x:c r="B1580" s="15" t="str">
        <x:v>吴承龙</x:v>
      </x:c>
      <x:c r="C1580" s="16" t="n">
        <x:v>46209</x:v>
      </x:c>
      <x:c r="D1580" s="17" t="n">
        <x:v>856</x:v>
      </x:c>
      <x:c r="E1580" s="17" t="n">
        <x:v>1249</x:v>
      </x:c>
      <x:c r="F1580" s="18" t="n">
        <x:v>10785.98</x:v>
      </x:c>
    </x:row>
    <x:row r="1581">
      <x:c r="A1581" s="14" t="str">
        <x:v>店长</x:v>
      </x:c>
      <x:c r="B1581" s="15" t="str">
        <x:v>吴承龙</x:v>
      </x:c>
      <x:c r="C1581" s="16" t="n">
        <x:v>46210</x:v>
      </x:c>
      <x:c r="D1581" s="17" t="n">
        <x:v>1065</x:v>
      </x:c>
      <x:c r="E1581" s="17" t="n">
        <x:v>1615</x:v>
      </x:c>
      <x:c r="F1581" s="18" t="n">
        <x:v>14092.7</x:v>
      </x:c>
    </x:row>
    <x:row r="1582">
      <x:c r="A1582" s="14" t="str">
        <x:v>店长</x:v>
      </x:c>
      <x:c r="B1582" s="15" t="str">
        <x:v>吴承龙</x:v>
      </x:c>
      <x:c r="C1582" s="16" t="n">
        <x:v>46211</x:v>
      </x:c>
      <x:c r="D1582" s="17" t="n">
        <x:v>863</x:v>
      </x:c>
      <x:c r="E1582" s="17" t="n">
        <x:v>1230</x:v>
      </x:c>
      <x:c r="F1582" s="18" t="n">
        <x:v>10841.84</x:v>
      </x:c>
    </x:row>
    <x:row r="1583">
      <x:c r="A1583" s="14" t="str">
        <x:v>店长</x:v>
      </x:c>
      <x:c r="B1583" s="15" t="str">
        <x:v>吴承龙</x:v>
      </x:c>
      <x:c r="C1583" s="16" t="n">
        <x:v>46212</x:v>
      </x:c>
      <x:c r="D1583" s="17" t="n">
        <x:v>818</x:v>
      </x:c>
      <x:c r="E1583" s="17" t="n">
        <x:v>1266</x:v>
      </x:c>
      <x:c r="F1583" s="18" t="n">
        <x:v>11297.7</x:v>
      </x:c>
    </x:row>
    <x:row r="1584">
      <x:c r="A1584" s="14" t="str">
        <x:v>店长</x:v>
      </x:c>
      <x:c r="B1584" s="15" t="str">
        <x:v>吴承龙</x:v>
      </x:c>
      <x:c r="C1584" s="16" t="n">
        <x:v>46213</x:v>
      </x:c>
      <x:c r="D1584" s="17" t="n">
        <x:v>509</x:v>
      </x:c>
      <x:c r="E1584" s="17" t="n">
        <x:v>780</x:v>
      </x:c>
      <x:c r="F1584" s="18" t="n">
        <x:v>7284.94</x:v>
      </x:c>
    </x:row>
    <x:row r="1585">
      <x:c r="A1585" s="14" t="str">
        <x:v>店长</x:v>
      </x:c>
      <x:c r="B1585" s="15" t="str">
        <x:v>吴承龙</x:v>
      </x:c>
      <x:c r="C1585" s="16" t="n">
        <x:v>46214</x:v>
      </x:c>
      <x:c r="D1585" s="17" t="n">
        <x:v>566</x:v>
      </x:c>
      <x:c r="E1585" s="17" t="n">
        <x:v>886</x:v>
      </x:c>
      <x:c r="F1585" s="18" t="n">
        <x:v>8280.54</x:v>
      </x:c>
    </x:row>
    <x:row r="1586">
      <x:c r="A1586" s="14" t="str">
        <x:v>店长</x:v>
      </x:c>
      <x:c r="B1586" s="15" t="str">
        <x:v>吴承龙</x:v>
      </x:c>
      <x:c r="C1586" s="16" t="n">
        <x:v>46215</x:v>
      </x:c>
      <x:c r="D1586" s="17" t="n">
        <x:v>568</x:v>
      </x:c>
      <x:c r="E1586" s="17" t="n">
        <x:v>863</x:v>
      </x:c>
      <x:c r="F1586" s="18" t="n">
        <x:v>7961.95</x:v>
      </x:c>
    </x:row>
    <x:row r="1587">
      <x:c r="A1587" s="14" t="str">
        <x:v>店长</x:v>
      </x:c>
      <x:c r="B1587" s="15" t="str">
        <x:v>吴承龙</x:v>
      </x:c>
      <x:c r="C1587" s="16" t="n">
        <x:v>46216</x:v>
      </x:c>
      <x:c r="D1587" s="17" t="n">
        <x:v>582</x:v>
      </x:c>
      <x:c r="E1587" s="17" t="n">
        <x:v>879</x:v>
      </x:c>
      <x:c r="F1587" s="18" t="n">
        <x:v>8719.82</x:v>
      </x:c>
    </x:row>
    <x:row r="1588">
      <x:c r="A1588" s="14" t="str">
        <x:v>店长</x:v>
      </x:c>
      <x:c r="B1588" s="15" t="str">
        <x:v>吴承龙</x:v>
      </x:c>
      <x:c r="C1588" s="16" t="n">
        <x:v>46217</x:v>
      </x:c>
      <x:c r="D1588" s="17" t="n">
        <x:v>523</x:v>
      </x:c>
      <x:c r="E1588" s="17" t="n">
        <x:v>765</x:v>
      </x:c>
      <x:c r="F1588" s="18" t="n">
        <x:v>7146.24</x:v>
      </x:c>
    </x:row>
    <x:row r="1589">
      <x:c r="A1589" s="14" t="str">
        <x:v>店长</x:v>
      </x:c>
      <x:c r="B1589" s="15" t="str">
        <x:v>吴承龙</x:v>
      </x:c>
      <x:c r="C1589" s="16" t="n">
        <x:v>46218</x:v>
      </x:c>
      <x:c r="D1589" s="17" t="n">
        <x:v>594</x:v>
      </x:c>
      <x:c r="E1589" s="17" t="n">
        <x:v>865</x:v>
      </x:c>
      <x:c r="F1589" s="18" t="n">
        <x:v>9298.05</x:v>
      </x:c>
    </x:row>
    <x:row r="1590">
      <x:c r="A1590" s="14" t="str">
        <x:v>店长</x:v>
      </x:c>
      <x:c r="B1590" s="15" t="str">
        <x:v>吴承龙</x:v>
      </x:c>
      <x:c r="C1590" s="16" t="n">
        <x:v>46219</x:v>
      </x:c>
      <x:c r="D1590" s="17" t="n">
        <x:v>465</x:v>
      </x:c>
      <x:c r="E1590" s="17" t="n">
        <x:v>665</x:v>
      </x:c>
      <x:c r="F1590" s="18" t="n">
        <x:v>6317.97</x:v>
      </x:c>
    </x:row>
    <x:row r="1591">
      <x:c r="A1591" s="14" t="str">
        <x:v>店长</x:v>
      </x:c>
      <x:c r="B1591" s="15" t="str">
        <x:v>吴承龙</x:v>
      </x:c>
      <x:c r="C1591" s="16" t="n">
        <x:v>46220</x:v>
      </x:c>
      <x:c r="D1591" s="17" t="n">
        <x:v>480</x:v>
      </x:c>
      <x:c r="E1591" s="17" t="n">
        <x:v>776</x:v>
      </x:c>
      <x:c r="F1591" s="18" t="n">
        <x:v>7094.91</x:v>
      </x:c>
    </x:row>
    <x:row r="1592">
      <x:c r="A1592" s="14" t="str">
        <x:v>店长</x:v>
      </x:c>
      <x:c r="B1592" s="15" t="str">
        <x:v>吴承龙</x:v>
      </x:c>
      <x:c r="C1592" s="16" t="n">
        <x:v>46221</x:v>
      </x:c>
      <x:c r="D1592" s="17" t="n">
        <x:v>439</x:v>
      </x:c>
      <x:c r="E1592" s="17" t="n">
        <x:v>619</x:v>
      </x:c>
      <x:c r="F1592" s="18" t="n">
        <x:v>6104.96</x:v>
      </x:c>
    </x:row>
    <x:row r="1593">
      <x:c r="A1593" s="14" t="str">
        <x:v>店长</x:v>
      </x:c>
      <x:c r="B1593" s="15" t="str">
        <x:v>吴承龙</x:v>
      </x:c>
      <x:c r="C1593" s="16" t="n">
        <x:v>46222</x:v>
      </x:c>
      <x:c r="D1593" s="17" t="n">
        <x:v>597</x:v>
      </x:c>
      <x:c r="E1593" s="17" t="n">
        <x:v>880</x:v>
      </x:c>
      <x:c r="F1593" s="18" t="n">
        <x:v>8564.23</x:v>
      </x:c>
    </x:row>
    <x:row r="1594">
      <x:c r="A1594" s="14" t="str">
        <x:v>店长</x:v>
      </x:c>
      <x:c r="B1594" s="15" t="str">
        <x:v>吴承龙</x:v>
      </x:c>
      <x:c r="C1594" s="16" t="n">
        <x:v>46223</x:v>
      </x:c>
      <x:c r="D1594" s="17" t="n">
        <x:v>501</x:v>
      </x:c>
      <x:c r="E1594" s="17" t="n">
        <x:v>729</x:v>
      </x:c>
      <x:c r="F1594" s="18" t="n">
        <x:v>7223.44</x:v>
      </x:c>
    </x:row>
    <x:row r="1595">
      <x:c r="A1595" s="14" t="str">
        <x:v>店长</x:v>
      </x:c>
      <x:c r="B1595" s="15" t="str">
        <x:v>吴承龙</x:v>
      </x:c>
      <x:c r="C1595" s="16" t="n">
        <x:v>46224</x:v>
      </x:c>
      <x:c r="D1595" s="17" t="n">
        <x:v>456</x:v>
      </x:c>
      <x:c r="E1595" s="17" t="n">
        <x:v>679</x:v>
      </x:c>
      <x:c r="F1595" s="18" t="n">
        <x:v>6183.92</x:v>
      </x:c>
    </x:row>
    <x:row r="1596">
      <x:c r="A1596" s="14" t="str">
        <x:v>店长</x:v>
      </x:c>
      <x:c r="B1596" s="15" t="str">
        <x:v>吴承龙</x:v>
      </x:c>
      <x:c r="C1596" s="16" t="n">
        <x:v>46225</x:v>
      </x:c>
      <x:c r="D1596" s="17" t="n">
        <x:v>707</x:v>
      </x:c>
      <x:c r="E1596" s="17" t="n">
        <x:v>1135</x:v>
      </x:c>
      <x:c r="F1596" s="18" t="n">
        <x:v>11109.39</x:v>
      </x:c>
    </x:row>
    <x:row r="1597">
      <x:c r="A1597" s="14" t="str">
        <x:v>店长</x:v>
      </x:c>
      <x:c r="B1597" s="15" t="str">
        <x:v>吴承龙</x:v>
      </x:c>
      <x:c r="C1597" s="16" t="n">
        <x:v>46226</x:v>
      </x:c>
      <x:c r="D1597" s="17" t="n">
        <x:v>635</x:v>
      </x:c>
      <x:c r="E1597" s="17" t="n">
        <x:v>929</x:v>
      </x:c>
      <x:c r="F1597" s="18" t="n">
        <x:v>9597.51</x:v>
      </x:c>
    </x:row>
    <x:row r="1598">
      <x:c r="A1598" s="14" t="str">
        <x:v>店长</x:v>
      </x:c>
      <x:c r="B1598" s="15" t="str">
        <x:v>吴承龙</x:v>
      </x:c>
      <x:c r="C1598" s="16" t="n">
        <x:v>46227</x:v>
      </x:c>
      <x:c r="D1598" s="17" t="n">
        <x:v>581</x:v>
      </x:c>
      <x:c r="E1598" s="17" t="n">
        <x:v>854</x:v>
      </x:c>
      <x:c r="F1598" s="18" t="n">
        <x:v>8320.98</x:v>
      </x:c>
    </x:row>
    <x:row r="1599">
      <x:c r="A1599" s="14" t="str">
        <x:v>店长</x:v>
      </x:c>
      <x:c r="B1599" s="15" t="str">
        <x:v>吴承龙</x:v>
      </x:c>
      <x:c r="C1599" s="16" t="n">
        <x:v>46228</x:v>
      </x:c>
      <x:c r="D1599" s="17" t="n">
        <x:v>566</x:v>
      </x:c>
      <x:c r="E1599" s="17" t="n">
        <x:v>837</x:v>
      </x:c>
      <x:c r="F1599" s="18" t="n">
        <x:v>7898.6</x:v>
      </x:c>
    </x:row>
    <x:row r="1600">
      <x:c r="A1600" s="14" t="str">
        <x:v>店长</x:v>
      </x:c>
      <x:c r="B1600" s="15" t="str">
        <x:v>吴承龙</x:v>
      </x:c>
      <x:c r="C1600" s="16" t="n">
        <x:v>46229</x:v>
      </x:c>
      <x:c r="D1600" s="17" t="n">
        <x:v>621</x:v>
      </x:c>
      <x:c r="E1600" s="17" t="n">
        <x:v>922</x:v>
      </x:c>
      <x:c r="F1600" s="18" t="n">
        <x:v>8086.78</x:v>
      </x:c>
    </x:row>
    <x:row r="1601">
      <x:c r="A1601" s="14" t="str">
        <x:v>店长</x:v>
      </x:c>
      <x:c r="B1601" s="15" t="str">
        <x:v>吴承龙</x:v>
      </x:c>
      <x:c r="C1601" s="16" t="n">
        <x:v>46230</x:v>
      </x:c>
      <x:c r="D1601" s="17" t="n">
        <x:v>608</x:v>
      </x:c>
      <x:c r="E1601" s="17" t="n">
        <x:v>898</x:v>
      </x:c>
      <x:c r="F1601" s="18" t="n">
        <x:v>8008.92</x:v>
      </x:c>
    </x:row>
    <x:row r="1602">
      <x:c r="A1602" s="14" t="str">
        <x:v>店长</x:v>
      </x:c>
      <x:c r="B1602" s="15" t="str">
        <x:v>吴承龙</x:v>
      </x:c>
      <x:c r="C1602" s="16" t="n">
        <x:v>46231</x:v>
      </x:c>
      <x:c r="D1602" s="17" t="n">
        <x:v>508</x:v>
      </x:c>
      <x:c r="E1602" s="17" t="n">
        <x:v>765</x:v>
      </x:c>
      <x:c r="F1602" s="18" t="n">
        <x:v>6853.19</x:v>
      </x:c>
    </x:row>
    <x:row r="1603">
      <x:c r="A1603" s="14" t="str">
        <x:v>店长</x:v>
      </x:c>
      <x:c r="B1603" s="15" t="str">
        <x:v>吴承龙</x:v>
      </x:c>
      <x:c r="C1603" s="16" t="n">
        <x:v>46232</x:v>
      </x:c>
      <x:c r="D1603" s="17" t="n">
        <x:v>820</x:v>
      </x:c>
      <x:c r="E1603" s="17" t="n">
        <x:v>1233</x:v>
      </x:c>
      <x:c r="F1603" s="18" t="n">
        <x:v>12214.98</x:v>
      </x:c>
    </x:row>
    <x:row r="1604">
      <x:c r="A1604" s="14" t="str">
        <x:v>店长</x:v>
      </x:c>
      <x:c r="B1604" s="15" t="str">
        <x:v>吴承龙</x:v>
      </x:c>
      <x:c r="C1604" s="16" t="n">
        <x:v>46233</x:v>
      </x:c>
      <x:c r="D1604" s="17" t="n">
        <x:v>671</x:v>
      </x:c>
      <x:c r="E1604" s="17" t="n">
        <x:v>1065</x:v>
      </x:c>
      <x:c r="F1604" s="18" t="n">
        <x:v>9611.88</x:v>
      </x:c>
    </x:row>
    <x:row r="1605">
      <x:c r="A1605" s="14" t="str">
        <x:v>店长</x:v>
      </x:c>
      <x:c r="B1605" s="15" t="str">
        <x:v>吴承龙</x:v>
      </x:c>
      <x:c r="C1605" s="16" t="n">
        <x:v>46234</x:v>
      </x:c>
      <x:c r="D1605" s="17" t="n">
        <x:v>678</x:v>
      </x:c>
      <x:c r="E1605" s="17" t="n">
        <x:v>989</x:v>
      </x:c>
      <x:c r="F1605" s="18" t="n">
        <x:v>9247.35</x:v>
      </x:c>
    </x:row>
    <x:row r="1606">
      <x:c r="A1606" s="14" t="str">
        <x:v>店长</x:v>
      </x:c>
      <x:c r="B1606" s="15" t="str">
        <x:v>吴承龙</x:v>
      </x:c>
      <x:c r="C1606" s="16" t="n">
        <x:v>46235</x:v>
      </x:c>
      <x:c r="D1606" s="17" t="n">
        <x:v>620</x:v>
      </x:c>
      <x:c r="E1606" s="17" t="n">
        <x:v>878</x:v>
      </x:c>
      <x:c r="F1606" s="18" t="n">
        <x:v>8457.21</x:v>
      </x:c>
    </x:row>
    <x:row r="1607">
      <x:c r="A1607" s="14" t="str">
        <x:v>店长</x:v>
      </x:c>
      <x:c r="B1607" s="15" t="str">
        <x:v>吴承龙</x:v>
      </x:c>
      <x:c r="C1607" s="16" t="n">
        <x:v>46236</x:v>
      </x:c>
      <x:c r="D1607" s="17" t="n">
        <x:v>646</x:v>
      </x:c>
      <x:c r="E1607" s="17" t="n">
        <x:v>937</x:v>
      </x:c>
      <x:c r="F1607" s="18" t="n">
        <x:v>8880.41</x:v>
      </x:c>
    </x:row>
    <x:row r="1608">
      <x:c r="A1608" s="14" t="str">
        <x:v>店长</x:v>
      </x:c>
      <x:c r="B1608" s="15" t="str">
        <x:v>吴承龙</x:v>
      </x:c>
      <x:c r="C1608" s="16" t="n">
        <x:v>46237</x:v>
      </x:c>
      <x:c r="D1608" s="17" t="n">
        <x:v>690</x:v>
      </x:c>
      <x:c r="E1608" s="17" t="n">
        <x:v>1014</x:v>
      </x:c>
      <x:c r="F1608" s="18" t="n">
        <x:v>9591.53</x:v>
      </x:c>
    </x:row>
    <x:row r="1609">
      <x:c r="A1609" s="14" t="str">
        <x:v>店长</x:v>
      </x:c>
      <x:c r="B1609" s="15" t="str">
        <x:v>吴承龙</x:v>
      </x:c>
      <x:c r="C1609" s="16" t="n">
        <x:v>46238</x:v>
      </x:c>
      <x:c r="D1609" s="17" t="n">
        <x:v>606</x:v>
      </x:c>
      <x:c r="E1609" s="17" t="n">
        <x:v>888</x:v>
      </x:c>
      <x:c r="F1609" s="18" t="n">
        <x:v>8416.82</x:v>
      </x:c>
    </x:row>
    <x:row r="1610">
      <x:c r="A1610" s="14" t="str">
        <x:v>店长</x:v>
      </x:c>
      <x:c r="B1610" s="15" t="str">
        <x:v>吴承龙</x:v>
      </x:c>
      <x:c r="C1610" s="16" t="n">
        <x:v>46239</x:v>
      </x:c>
      <x:c r="D1610" s="17" t="n">
        <x:v>529</x:v>
      </x:c>
      <x:c r="E1610" s="17" t="n">
        <x:v>778</x:v>
      </x:c>
      <x:c r="F1610" s="18" t="n">
        <x:v>7868.44</x:v>
      </x:c>
    </x:row>
    <x:row r="1611">
      <x:c r="A1611" s="14" t="str">
        <x:v>店长</x:v>
      </x:c>
      <x:c r="B1611" s="15" t="str">
        <x:v>吴承龙</x:v>
      </x:c>
      <x:c r="C1611" s="16" t="n">
        <x:v>46240</x:v>
      </x:c>
      <x:c r="D1611" s="17" t="n">
        <x:v>622</x:v>
      </x:c>
      <x:c r="E1611" s="17" t="n">
        <x:v>945</x:v>
      </x:c>
      <x:c r="F1611" s="18" t="n">
        <x:v>9101.37</x:v>
      </x:c>
    </x:row>
    <x:row r="1612">
      <x:c r="A1612" s="14" t="str">
        <x:v>店长</x:v>
      </x:c>
      <x:c r="B1612" s="15" t="str">
        <x:v>吴承龙</x:v>
      </x:c>
      <x:c r="C1612" s="16" t="n">
        <x:v>46241</x:v>
      </x:c>
      <x:c r="D1612" s="17" t="n">
        <x:v>730</x:v>
      </x:c>
      <x:c r="E1612" s="17" t="n">
        <x:v>1038</x:v>
      </x:c>
      <x:c r="F1612" s="18" t="n">
        <x:v>9863.77</x:v>
      </x:c>
    </x:row>
    <x:row r="1613">
      <x:c r="A1613" s="14" t="str">
        <x:v>店长</x:v>
      </x:c>
      <x:c r="B1613" s="15" t="str">
        <x:v>吴承龙</x:v>
      </x:c>
      <x:c r="C1613" s="16" t="n">
        <x:v>46242</x:v>
      </x:c>
      <x:c r="D1613" s="17" t="n">
        <x:v>795</x:v>
      </x:c>
      <x:c r="E1613" s="17" t="n">
        <x:v>1191</x:v>
      </x:c>
      <x:c r="F1613" s="18" t="n">
        <x:v>11962.44</x:v>
      </x:c>
    </x:row>
    <x:row r="1614">
      <x:c r="A1614" s="14" t="str">
        <x:v>店长</x:v>
      </x:c>
      <x:c r="B1614" s="15" t="str">
        <x:v>吴承龙</x:v>
      </x:c>
      <x:c r="C1614" s="16" t="n">
        <x:v>46243</x:v>
      </x:c>
      <x:c r="D1614" s="17" t="n">
        <x:v>450</x:v>
      </x:c>
      <x:c r="E1614" s="17" t="n">
        <x:v>749</x:v>
      </x:c>
      <x:c r="F1614" s="18" t="n">
        <x:v>5763.74</x:v>
      </x:c>
    </x:row>
    <x:row r="1615">
      <x:c r="A1615" s="14" t="str">
        <x:v>店长</x:v>
      </x:c>
      <x:c r="B1615" s="15" t="str">
        <x:v>吴承龙</x:v>
      </x:c>
      <x:c r="C1615" s="16" t="n">
        <x:v>46244</x:v>
      </x:c>
      <x:c r="D1615" s="17" t="n">
        <x:v>803</x:v>
      </x:c>
      <x:c r="E1615" s="17" t="n">
        <x:v>1293</x:v>
      </x:c>
      <x:c r="F1615" s="18" t="n">
        <x:v>14941.98</x:v>
      </x:c>
    </x:row>
    <x:row r="1616">
      <x:c r="A1616" s="14" t="str">
        <x:v>店长</x:v>
      </x:c>
      <x:c r="B1616" s="15" t="str">
        <x:v>吴承龙</x:v>
      </x:c>
      <x:c r="C1616" s="16" t="n">
        <x:v>46245</x:v>
      </x:c>
      <x:c r="D1616" s="17" t="n">
        <x:v>735</x:v>
      </x:c>
      <x:c r="E1616" s="17" t="n">
        <x:v>1160</x:v>
      </x:c>
      <x:c r="F1616" s="18" t="n">
        <x:v>10612.64</x:v>
      </x:c>
    </x:row>
    <x:row r="1617">
      <x:c r="A1617" s="14" t="str">
        <x:v>店长</x:v>
      </x:c>
      <x:c r="B1617" s="15" t="str">
        <x:v>吴承龙</x:v>
      </x:c>
      <x:c r="C1617" s="16" t="n">
        <x:v>46246</x:v>
      </x:c>
      <x:c r="D1617" s="17" t="n">
        <x:v>729</x:v>
      </x:c>
      <x:c r="E1617" s="17" t="n">
        <x:v>1103</x:v>
      </x:c>
      <x:c r="F1617" s="18" t="n">
        <x:v>10019.41</x:v>
      </x:c>
    </x:row>
    <x:row r="1618">
      <x:c r="A1618" s="14" t="str">
        <x:v>店长</x:v>
      </x:c>
      <x:c r="B1618" s="15" t="str">
        <x:v>吴承龙</x:v>
      </x:c>
      <x:c r="C1618" s="16" t="n">
        <x:v>46247</x:v>
      </x:c>
      <x:c r="D1618" s="17" t="n">
        <x:v>588</x:v>
      </x:c>
      <x:c r="E1618" s="17" t="n">
        <x:v>867</x:v>
      </x:c>
      <x:c r="F1618" s="18" t="n">
        <x:v>8346.85</x:v>
      </x:c>
    </x:row>
    <x:row r="1619">
      <x:c r="A1619" s="14" t="str">
        <x:v>店长</x:v>
      </x:c>
      <x:c r="B1619" s="15" t="str">
        <x:v>吴承龙</x:v>
      </x:c>
      <x:c r="C1619" s="16" t="n">
        <x:v>46248</x:v>
      </x:c>
      <x:c r="D1619" s="17" t="n">
        <x:v>604</x:v>
      </x:c>
      <x:c r="E1619" s="17" t="n">
        <x:v>907</x:v>
      </x:c>
      <x:c r="F1619" s="18" t="n">
        <x:v>8700.12</x:v>
      </x:c>
    </x:row>
    <x:row r="1620">
      <x:c r="A1620" s="14" t="str">
        <x:v>店长</x:v>
      </x:c>
      <x:c r="B1620" s="15" t="str">
        <x:v>吴承龙</x:v>
      </x:c>
      <x:c r="C1620" s="16" t="n">
        <x:v>46249</x:v>
      </x:c>
      <x:c r="D1620" s="17" t="n">
        <x:v>567</x:v>
      </x:c>
      <x:c r="E1620" s="17" t="n">
        <x:v>877</x:v>
      </x:c>
      <x:c r="F1620" s="18" t="n">
        <x:v>8580.08</x:v>
      </x:c>
    </x:row>
    <x:row r="1621">
      <x:c r="A1621" s="14" t="str">
        <x:v>店长</x:v>
      </x:c>
      <x:c r="B1621" s="15" t="str">
        <x:v>吴承龙</x:v>
      </x:c>
      <x:c r="C1621" s="16" t="n">
        <x:v>46250</x:v>
      </x:c>
      <x:c r="D1621" s="17" t="n">
        <x:v>426</x:v>
      </x:c>
      <x:c r="E1621" s="17" t="n">
        <x:v>744</x:v>
      </x:c>
      <x:c r="F1621" s="18" t="n">
        <x:v>6866.57</x:v>
      </x:c>
    </x:row>
    <x:row r="1622">
      <x:c r="A1622" s="14" t="str">
        <x:v>店长</x:v>
      </x:c>
      <x:c r="B1622" s="15" t="str">
        <x:v>吴承龙</x:v>
      </x:c>
      <x:c r="C1622" s="16" t="n">
        <x:v>46251</x:v>
      </x:c>
      <x:c r="D1622" s="17" t="n">
        <x:v>551</x:v>
      </x:c>
      <x:c r="E1622" s="17" t="n">
        <x:v>973</x:v>
      </x:c>
      <x:c r="F1622" s="18" t="n">
        <x:v>9311.16</x:v>
      </x:c>
    </x:row>
    <x:row r="1623">
      <x:c r="A1623" s="14" t="str">
        <x:v>店长</x:v>
      </x:c>
      <x:c r="B1623" s="15" t="str">
        <x:v>吴承龙</x:v>
      </x:c>
      <x:c r="C1623" s="16" t="n">
        <x:v>46252</x:v>
      </x:c>
      <x:c r="D1623" s="17" t="n">
        <x:v>545</x:v>
      </x:c>
      <x:c r="E1623" s="17" t="n">
        <x:v>860</x:v>
      </x:c>
      <x:c r="F1623" s="18" t="n">
        <x:v>8248.39</x:v>
      </x:c>
    </x:row>
    <x:row r="1624">
      <x:c r="A1624" s="14" t="str">
        <x:v>店长</x:v>
      </x:c>
      <x:c r="B1624" s="15" t="str">
        <x:v>吴承龙</x:v>
      </x:c>
      <x:c r="C1624" s="16" t="n">
        <x:v>46253</x:v>
      </x:c>
      <x:c r="D1624" s="17" t="n">
        <x:v>558</x:v>
      </x:c>
      <x:c r="E1624" s="17" t="n">
        <x:v>846</x:v>
      </x:c>
      <x:c r="F1624" s="18" t="n">
        <x:v>7972.9</x:v>
      </x:c>
    </x:row>
    <x:row r="1625">
      <x:c r="A1625" s="14" t="str">
        <x:v>店长</x:v>
      </x:c>
      <x:c r="B1625" s="15" t="str">
        <x:v>吴承龙</x:v>
      </x:c>
      <x:c r="C1625" s="16" t="n">
        <x:v>46254</x:v>
      </x:c>
      <x:c r="D1625" s="17" t="n">
        <x:v>411</x:v>
      </x:c>
      <x:c r="E1625" s="17" t="n">
        <x:v>606</x:v>
      </x:c>
      <x:c r="F1625" s="18" t="n">
        <x:v>5362.63</x:v>
      </x:c>
    </x:row>
    <x:row r="1626">
      <x:c r="A1626" s="14" t="str">
        <x:v>店长</x:v>
      </x:c>
      <x:c r="B1626" s="15" t="str">
        <x:v>叶娜</x:v>
      </x:c>
      <x:c r="C1626" s="16" t="n">
        <x:v>46023</x:v>
      </x:c>
      <x:c r="D1626" s="17" t="n">
        <x:v>51</x:v>
      </x:c>
      <x:c r="E1626" s="17" t="n">
        <x:v>57</x:v>
      </x:c>
      <x:c r="F1626" s="18" t="n">
        <x:v>3416.7</x:v>
      </x:c>
    </x:row>
    <x:row r="1627">
      <x:c r="A1627" s="14" t="str">
        <x:v>店长</x:v>
      </x:c>
      <x:c r="B1627" s="15" t="str">
        <x:v>叶娜</x:v>
      </x:c>
      <x:c r="C1627" s="16" t="n">
        <x:v>46024</x:v>
      </x:c>
      <x:c r="D1627" s="17" t="n">
        <x:v>20</x:v>
      </x:c>
      <x:c r="E1627" s="17" t="n">
        <x:v>32</x:v>
      </x:c>
      <x:c r="F1627" s="18" t="n">
        <x:v>1400.6</x:v>
      </x:c>
    </x:row>
    <x:row r="1628">
      <x:c r="A1628" s="14" t="str">
        <x:v>店长</x:v>
      </x:c>
      <x:c r="B1628" s="15" t="str">
        <x:v>叶娜</x:v>
      </x:c>
      <x:c r="C1628" s="16" t="n">
        <x:v>46025</x:v>
      </x:c>
      <x:c r="D1628" s="17" t="n">
        <x:v>123</x:v>
      </x:c>
      <x:c r="E1628" s="17" t="n">
        <x:v>137</x:v>
      </x:c>
      <x:c r="F1628" s="18" t="n">
        <x:v>12243.56</x:v>
      </x:c>
    </x:row>
    <x:row r="1629">
      <x:c r="A1629" s="14" t="str">
        <x:v>店长</x:v>
      </x:c>
      <x:c r="B1629" s="15" t="str">
        <x:v>叶娜</x:v>
      </x:c>
      <x:c r="C1629" s="16" t="n">
        <x:v>46026</x:v>
      </x:c>
      <x:c r="D1629" s="17" t="n">
        <x:v>76</x:v>
      </x:c>
      <x:c r="E1629" s="17" t="n">
        <x:v>91</x:v>
      </x:c>
      <x:c r="F1629" s="18" t="n">
        <x:v>7703.92</x:v>
      </x:c>
    </x:row>
    <x:row r="1630">
      <x:c r="A1630" s="14" t="str">
        <x:v>店长</x:v>
      </x:c>
      <x:c r="B1630" s="15" t="str">
        <x:v>叶娜</x:v>
      </x:c>
      <x:c r="C1630" s="16" t="n">
        <x:v>46027</x:v>
      </x:c>
      <x:c r="D1630" s="17" t="n">
        <x:v>59</x:v>
      </x:c>
      <x:c r="E1630" s="17" t="n">
        <x:v>70</x:v>
      </x:c>
      <x:c r="F1630" s="18" t="n">
        <x:v>5007.66</x:v>
      </x:c>
    </x:row>
    <x:row r="1631">
      <x:c r="A1631" s="14" t="str">
        <x:v>店长</x:v>
      </x:c>
      <x:c r="B1631" s="15" t="str">
        <x:v>叶娜</x:v>
      </x:c>
      <x:c r="C1631" s="16" t="n">
        <x:v>46028</x:v>
      </x:c>
      <x:c r="D1631" s="17" t="n">
        <x:v>146</x:v>
      </x:c>
      <x:c r="E1631" s="17" t="n">
        <x:v>186</x:v>
      </x:c>
      <x:c r="F1631" s="18" t="n">
        <x:v>13039.59</x:v>
      </x:c>
    </x:row>
    <x:row r="1632">
      <x:c r="A1632" s="14" t="str">
        <x:v>店长</x:v>
      </x:c>
      <x:c r="B1632" s="15" t="str">
        <x:v>叶娜</x:v>
      </x:c>
      <x:c r="C1632" s="16" t="n">
        <x:v>46029</x:v>
      </x:c>
      <x:c r="D1632" s="17" t="n">
        <x:v>124</x:v>
      </x:c>
      <x:c r="E1632" s="17" t="n">
        <x:v>137</x:v>
      </x:c>
      <x:c r="F1632" s="18" t="n">
        <x:v>12091.34</x:v>
      </x:c>
    </x:row>
    <x:row r="1633">
      <x:c r="A1633" s="14" t="str">
        <x:v>店长</x:v>
      </x:c>
      <x:c r="B1633" s="15" t="str">
        <x:v>叶娜</x:v>
      </x:c>
      <x:c r="C1633" s="16" t="n">
        <x:v>46030</x:v>
      </x:c>
      <x:c r="D1633" s="17" t="n">
        <x:v>61</x:v>
      </x:c>
      <x:c r="E1633" s="17" t="n">
        <x:v>70</x:v>
      </x:c>
      <x:c r="F1633" s="18" t="n">
        <x:v>4969.09</x:v>
      </x:c>
    </x:row>
    <x:row r="1634">
      <x:c r="A1634" s="14" t="str">
        <x:v>店长</x:v>
      </x:c>
      <x:c r="B1634" s="15" t="str">
        <x:v>叶娜</x:v>
      </x:c>
      <x:c r="C1634" s="16" t="n">
        <x:v>46031</x:v>
      </x:c>
      <x:c r="D1634" s="17" t="n">
        <x:v>79</x:v>
      </x:c>
      <x:c r="E1634" s="17" t="n">
        <x:v>88</x:v>
      </x:c>
      <x:c r="F1634" s="18" t="n">
        <x:v>7101.22</x:v>
      </x:c>
    </x:row>
    <x:row r="1635">
      <x:c r="A1635" s="14" t="str">
        <x:v>店长</x:v>
      </x:c>
      <x:c r="B1635" s="15" t="str">
        <x:v>叶娜</x:v>
      </x:c>
      <x:c r="C1635" s="16" t="n">
        <x:v>46032</x:v>
      </x:c>
      <x:c r="D1635" s="17" t="n">
        <x:v>78</x:v>
      </x:c>
      <x:c r="E1635" s="17" t="n">
        <x:v>100</x:v>
      </x:c>
      <x:c r="F1635" s="18" t="n">
        <x:v>7761.97</x:v>
      </x:c>
    </x:row>
    <x:row r="1636">
      <x:c r="A1636" s="14" t="str">
        <x:v>店长</x:v>
      </x:c>
      <x:c r="B1636" s="15" t="str">
        <x:v>叶娜</x:v>
      </x:c>
      <x:c r="C1636" s="16" t="n">
        <x:v>46033</x:v>
      </x:c>
      <x:c r="D1636" s="17" t="n">
        <x:v>47</x:v>
      </x:c>
      <x:c r="E1636" s="17" t="n">
        <x:v>57</x:v>
      </x:c>
      <x:c r="F1636" s="18" t="n">
        <x:v>4926.64</x:v>
      </x:c>
    </x:row>
    <x:row r="1637">
      <x:c r="A1637" s="14" t="str">
        <x:v>店长</x:v>
      </x:c>
      <x:c r="B1637" s="15" t="str">
        <x:v>叶娜</x:v>
      </x:c>
      <x:c r="C1637" s="16" t="n">
        <x:v>46034</x:v>
      </x:c>
      <x:c r="D1637" s="17" t="n">
        <x:v>41</x:v>
      </x:c>
      <x:c r="E1637" s="17" t="n">
        <x:v>52</x:v>
      </x:c>
      <x:c r="F1637" s="18" t="n">
        <x:v>3656.91</x:v>
      </x:c>
    </x:row>
    <x:row r="1638">
      <x:c r="A1638" s="14" t="str">
        <x:v>店长</x:v>
      </x:c>
      <x:c r="B1638" s="15" t="str">
        <x:v>叶娜</x:v>
      </x:c>
      <x:c r="C1638" s="16" t="n">
        <x:v>46035</x:v>
      </x:c>
      <x:c r="D1638" s="17" t="n">
        <x:v>99</x:v>
      </x:c>
      <x:c r="E1638" s="17" t="n">
        <x:v>115</x:v>
      </x:c>
      <x:c r="F1638" s="18" t="n">
        <x:v>9987.34</x:v>
      </x:c>
    </x:row>
    <x:row r="1639">
      <x:c r="A1639" s="14" t="str">
        <x:v>店长</x:v>
      </x:c>
      <x:c r="B1639" s="15" t="str">
        <x:v>叶娜</x:v>
      </x:c>
      <x:c r="C1639" s="16" t="n">
        <x:v>46036</x:v>
      </x:c>
      <x:c r="D1639" s="17" t="n">
        <x:v>75</x:v>
      </x:c>
      <x:c r="E1639" s="17" t="n">
        <x:v>90</x:v>
      </x:c>
      <x:c r="F1639" s="18" t="n">
        <x:v>7089.28</x:v>
      </x:c>
    </x:row>
    <x:row r="1640">
      <x:c r="A1640" s="14" t="str">
        <x:v>店长</x:v>
      </x:c>
      <x:c r="B1640" s="15" t="str">
        <x:v>叶娜</x:v>
      </x:c>
      <x:c r="C1640" s="16" t="n">
        <x:v>46037</x:v>
      </x:c>
      <x:c r="D1640" s="17" t="n">
        <x:v>74</x:v>
      </x:c>
      <x:c r="E1640" s="17" t="n">
        <x:v>86</x:v>
      </x:c>
      <x:c r="F1640" s="18" t="n">
        <x:v>7064.3</x:v>
      </x:c>
    </x:row>
    <x:row r="1641">
      <x:c r="A1641" s="14" t="str">
        <x:v>店长</x:v>
      </x:c>
      <x:c r="B1641" s="15" t="str">
        <x:v>叶娜</x:v>
      </x:c>
      <x:c r="C1641" s="16" t="n">
        <x:v>46038</x:v>
      </x:c>
      <x:c r="D1641" s="17" t="n">
        <x:v>7</x:v>
      </x:c>
      <x:c r="E1641" s="17" t="n">
        <x:v>14</x:v>
      </x:c>
      <x:c r="F1641" s="18" t="n">
        <x:v>140.19</x:v>
      </x:c>
    </x:row>
    <x:row r="1642">
      <x:c r="A1642" s="14" t="str">
        <x:v>店长</x:v>
      </x:c>
      <x:c r="B1642" s="15" t="str">
        <x:v>叶娜</x:v>
      </x:c>
      <x:c r="C1642" s="16" t="n">
        <x:v>46039</x:v>
      </x:c>
      <x:c r="D1642" s="17" t="n">
        <x:v>4</x:v>
      </x:c>
      <x:c r="E1642" s="17" t="n">
        <x:v>8</x:v>
      </x:c>
      <x:c r="F1642" s="18" t="n">
        <x:v>80.11</x:v>
      </x:c>
    </x:row>
    <x:row r="1643">
      <x:c r="A1643" s="14" t="str">
        <x:v>店长</x:v>
      </x:c>
      <x:c r="B1643" s="15" t="str">
        <x:v>叶娜</x:v>
      </x:c>
      <x:c r="C1643" s="16" t="n">
        <x:v>46040</x:v>
      </x:c>
      <x:c r="D1643" s="17" t="n">
        <x:v>7</x:v>
      </x:c>
      <x:c r="E1643" s="17" t="n">
        <x:v>20</x:v>
      </x:c>
      <x:c r="F1643" s="18" t="n">
        <x:v>276.89</x:v>
      </x:c>
    </x:row>
    <x:row r="1644">
      <x:c r="A1644" s="14" t="str">
        <x:v>店长</x:v>
      </x:c>
      <x:c r="B1644" s="15" t="str">
        <x:v>叶娜</x:v>
      </x:c>
      <x:c r="C1644" s="16" t="n">
        <x:v>46041</x:v>
      </x:c>
      <x:c r="D1644" s="17" t="n">
        <x:v>179</x:v>
      </x:c>
      <x:c r="E1644" s="17" t="n">
        <x:v>227</x:v>
      </x:c>
      <x:c r="F1644" s="18" t="n">
        <x:v>19485.58</x:v>
      </x:c>
    </x:row>
    <x:row r="1645">
      <x:c r="A1645" s="14" t="str">
        <x:v>店长</x:v>
      </x:c>
      <x:c r="B1645" s="15" t="str">
        <x:v>叶娜</x:v>
      </x:c>
      <x:c r="C1645" s="16" t="n">
        <x:v>46042</x:v>
      </x:c>
      <x:c r="D1645" s="17" t="n">
        <x:v>22</x:v>
      </x:c>
      <x:c r="E1645" s="17" t="n">
        <x:v>30</x:v>
      </x:c>
      <x:c r="F1645" s="18" t="n">
        <x:v>2483.11</x:v>
      </x:c>
    </x:row>
    <x:row r="1646">
      <x:c r="A1646" s="14" t="str">
        <x:v>店长</x:v>
      </x:c>
      <x:c r="B1646" s="15" t="str">
        <x:v>叶娜</x:v>
      </x:c>
      <x:c r="C1646" s="16" t="n">
        <x:v>46043</x:v>
      </x:c>
      <x:c r="D1646" s="17" t="n">
        <x:v>30</x:v>
      </x:c>
      <x:c r="E1646" s="17" t="n">
        <x:v>47</x:v>
      </x:c>
      <x:c r="F1646" s="18" t="n">
        <x:v>2819.3</x:v>
      </x:c>
    </x:row>
    <x:row r="1647">
      <x:c r="A1647" s="14" t="str">
        <x:v>店长</x:v>
      </x:c>
      <x:c r="B1647" s="15" t="str">
        <x:v>叶娜</x:v>
      </x:c>
      <x:c r="C1647" s="16" t="n">
        <x:v>46044</x:v>
      </x:c>
      <x:c r="D1647" s="17" t="n">
        <x:v>22</x:v>
      </x:c>
      <x:c r="E1647" s="17" t="n">
        <x:v>35</x:v>
      </x:c>
      <x:c r="F1647" s="18" t="n">
        <x:v>1837.45</x:v>
      </x:c>
    </x:row>
    <x:row r="1648">
      <x:c r="A1648" s="14" t="str">
        <x:v>店长</x:v>
      </x:c>
      <x:c r="B1648" s="15" t="str">
        <x:v>叶娜</x:v>
      </x:c>
      <x:c r="C1648" s="16" t="n">
        <x:v>46045</x:v>
      </x:c>
      <x:c r="D1648" s="17" t="n">
        <x:v>30</x:v>
      </x:c>
      <x:c r="E1648" s="17" t="n">
        <x:v>35</x:v>
      </x:c>
      <x:c r="F1648" s="18" t="n">
        <x:v>1850.48</x:v>
      </x:c>
    </x:row>
    <x:row r="1649">
      <x:c r="A1649" s="14" t="str">
        <x:v>店长</x:v>
      </x:c>
      <x:c r="B1649" s="15" t="str">
        <x:v>叶娜</x:v>
      </x:c>
      <x:c r="C1649" s="16" t="n">
        <x:v>46046</x:v>
      </x:c>
      <x:c r="D1649" s="17" t="n">
        <x:v>18</x:v>
      </x:c>
      <x:c r="E1649" s="17" t="n">
        <x:v>25</x:v>
      </x:c>
      <x:c r="F1649" s="18" t="n">
        <x:v>1563.59</x:v>
      </x:c>
    </x:row>
    <x:row r="1650">
      <x:c r="A1650" s="14" t="str">
        <x:v>店长</x:v>
      </x:c>
      <x:c r="B1650" s="15" t="str">
        <x:v>叶娜</x:v>
      </x:c>
      <x:c r="C1650" s="16" t="n">
        <x:v>46047</x:v>
      </x:c>
      <x:c r="D1650" s="17" t="n">
        <x:v>19</x:v>
      </x:c>
      <x:c r="E1650" s="17" t="n">
        <x:v>27</x:v>
      </x:c>
      <x:c r="F1650" s="18" t="n">
        <x:v>1490.41</x:v>
      </x:c>
    </x:row>
    <x:row r="1651">
      <x:c r="A1651" s="14" t="str">
        <x:v>店长</x:v>
      </x:c>
      <x:c r="B1651" s="15" t="str">
        <x:v>叶娜</x:v>
      </x:c>
      <x:c r="C1651" s="16" t="n">
        <x:v>46048</x:v>
      </x:c>
      <x:c r="D1651" s="17" t="n">
        <x:v>19</x:v>
      </x:c>
      <x:c r="E1651" s="17" t="n">
        <x:v>24</x:v>
      </x:c>
      <x:c r="F1651" s="18" t="n">
        <x:v>734.64</x:v>
      </x:c>
    </x:row>
    <x:row r="1652">
      <x:c r="A1652" s="14" t="str">
        <x:v>店长</x:v>
      </x:c>
      <x:c r="B1652" s="15" t="str">
        <x:v>叶娜</x:v>
      </x:c>
      <x:c r="C1652" s="16" t="n">
        <x:v>46049</x:v>
      </x:c>
      <x:c r="D1652" s="17" t="n">
        <x:v>29</x:v>
      </x:c>
      <x:c r="E1652" s="17" t="n">
        <x:v>41</x:v>
      </x:c>
      <x:c r="F1652" s="18" t="n">
        <x:v>1267.37</x:v>
      </x:c>
    </x:row>
    <x:row r="1653">
      <x:c r="A1653" s="14" t="str">
        <x:v>店长</x:v>
      </x:c>
      <x:c r="B1653" s="15" t="str">
        <x:v>叶娜</x:v>
      </x:c>
      <x:c r="C1653" s="16" t="n">
        <x:v>46050</x:v>
      </x:c>
      <x:c r="D1653" s="17" t="n">
        <x:v>27</x:v>
      </x:c>
      <x:c r="E1653" s="17" t="n">
        <x:v>42</x:v>
      </x:c>
      <x:c r="F1653" s="18" t="n">
        <x:v>827.39</x:v>
      </x:c>
    </x:row>
    <x:row r="1654">
      <x:c r="A1654" s="14" t="str">
        <x:v>店长</x:v>
      </x:c>
      <x:c r="B1654" s="15" t="str">
        <x:v>叶娜</x:v>
      </x:c>
      <x:c r="C1654" s="16" t="n">
        <x:v>46051</x:v>
      </x:c>
      <x:c r="D1654" s="17" t="n">
        <x:v>20</x:v>
      </x:c>
      <x:c r="E1654" s="17" t="n">
        <x:v>27</x:v>
      </x:c>
      <x:c r="F1654" s="18" t="n">
        <x:v>716.59</x:v>
      </x:c>
    </x:row>
    <x:row r="1655">
      <x:c r="A1655" s="14" t="str">
        <x:v>店长</x:v>
      </x:c>
      <x:c r="B1655" s="15" t="str">
        <x:v>叶娜</x:v>
      </x:c>
      <x:c r="C1655" s="16" t="n">
        <x:v>46052</x:v>
      </x:c>
      <x:c r="D1655" s="17" t="n">
        <x:v>26</x:v>
      </x:c>
      <x:c r="E1655" s="17" t="n">
        <x:v>36</x:v>
      </x:c>
      <x:c r="F1655" s="18" t="n">
        <x:v>1076.96</x:v>
      </x:c>
    </x:row>
    <x:row r="1656">
      <x:c r="A1656" s="14" t="str">
        <x:v>店长</x:v>
      </x:c>
      <x:c r="B1656" s="15" t="str">
        <x:v>叶娜</x:v>
      </x:c>
      <x:c r="C1656" s="16" t="n">
        <x:v>46053</x:v>
      </x:c>
      <x:c r="D1656" s="17" t="n">
        <x:v>23</x:v>
      </x:c>
      <x:c r="E1656" s="17" t="n">
        <x:v>33</x:v>
      </x:c>
      <x:c r="F1656" s="18" t="n">
        <x:v>11485.16</x:v>
      </x:c>
    </x:row>
    <x:row r="1657">
      <x:c r="A1657" s="14" t="str">
        <x:v>店长</x:v>
      </x:c>
      <x:c r="B1657" s="15" t="str">
        <x:v>叶娜</x:v>
      </x:c>
      <x:c r="C1657" s="16" t="n">
        <x:v>46054</x:v>
      </x:c>
      <x:c r="D1657" s="17" t="n">
        <x:v>14</x:v>
      </x:c>
      <x:c r="E1657" s="17" t="n">
        <x:v>26</x:v>
      </x:c>
      <x:c r="F1657" s="18" t="n">
        <x:v>545.75</x:v>
      </x:c>
    </x:row>
    <x:row r="1658">
      <x:c r="A1658" s="14" t="str">
        <x:v>店长</x:v>
      </x:c>
      <x:c r="B1658" s="15" t="str">
        <x:v>叶娜</x:v>
      </x:c>
      <x:c r="C1658" s="16" t="n">
        <x:v>46055</x:v>
      </x:c>
      <x:c r="D1658" s="17" t="n">
        <x:v>19</x:v>
      </x:c>
      <x:c r="E1658" s="17" t="n">
        <x:v>34</x:v>
      </x:c>
      <x:c r="F1658" s="18" t="n">
        <x:v>358.11</x:v>
      </x:c>
    </x:row>
    <x:row r="1659">
      <x:c r="A1659" s="14" t="str">
        <x:v>店长</x:v>
      </x:c>
      <x:c r="B1659" s="15" t="str">
        <x:v>叶娜</x:v>
      </x:c>
      <x:c r="C1659" s="16" t="n">
        <x:v>46056</x:v>
      </x:c>
      <x:c r="D1659" s="17" t="n">
        <x:v>9</x:v>
      </x:c>
      <x:c r="E1659" s="17" t="n">
        <x:v>15</x:v>
      </x:c>
      <x:c r="F1659" s="18" t="n">
        <x:v>263</x:v>
      </x:c>
    </x:row>
    <x:row r="1660">
      <x:c r="A1660" s="14" t="str">
        <x:v>店长</x:v>
      </x:c>
      <x:c r="B1660" s="15" t="str">
        <x:v>叶娜</x:v>
      </x:c>
      <x:c r="C1660" s="16" t="n">
        <x:v>46057</x:v>
      </x:c>
      <x:c r="D1660" s="17" t="n">
        <x:v>23</x:v>
      </x:c>
      <x:c r="E1660" s="17" t="n">
        <x:v>28</x:v>
      </x:c>
      <x:c r="F1660" s="18" t="n">
        <x:v>800.64</x:v>
      </x:c>
    </x:row>
    <x:row r="1661">
      <x:c r="A1661" s="14" t="str">
        <x:v>店长</x:v>
      </x:c>
      <x:c r="B1661" s="15" t="str">
        <x:v>叶娜</x:v>
      </x:c>
      <x:c r="C1661" s="16" t="n">
        <x:v>46058</x:v>
      </x:c>
      <x:c r="D1661" s="17" t="n">
        <x:v>25</x:v>
      </x:c>
      <x:c r="E1661" s="17" t="n">
        <x:v>38</x:v>
      </x:c>
      <x:c r="F1661" s="18" t="n">
        <x:v>860.32</x:v>
      </x:c>
    </x:row>
    <x:row r="1662">
      <x:c r="A1662" s="14" t="str">
        <x:v>店长</x:v>
      </x:c>
      <x:c r="B1662" s="15" t="str">
        <x:v>叶娜</x:v>
      </x:c>
      <x:c r="C1662" s="16" t="n">
        <x:v>46059</x:v>
      </x:c>
      <x:c r="D1662" s="17" t="n">
        <x:v>36</x:v>
      </x:c>
      <x:c r="E1662" s="17" t="n">
        <x:v>76</x:v>
      </x:c>
      <x:c r="F1662" s="18" t="n">
        <x:v>1354.96</x:v>
      </x:c>
    </x:row>
    <x:row r="1663">
      <x:c r="A1663" s="14" t="str">
        <x:v>店长</x:v>
      </x:c>
      <x:c r="B1663" s="15" t="str">
        <x:v>叶娜</x:v>
      </x:c>
      <x:c r="C1663" s="16" t="n">
        <x:v>46060</x:v>
      </x:c>
      <x:c r="D1663" s="17" t="n">
        <x:v>31</x:v>
      </x:c>
      <x:c r="E1663" s="17" t="n">
        <x:v>41</x:v>
      </x:c>
      <x:c r="F1663" s="18" t="n">
        <x:v>1021.02</x:v>
      </x:c>
    </x:row>
    <x:row r="1664">
      <x:c r="A1664" s="14" t="str">
        <x:v>店长</x:v>
      </x:c>
      <x:c r="B1664" s="15" t="str">
        <x:v>叶娜</x:v>
      </x:c>
      <x:c r="C1664" s="16" t="n">
        <x:v>46061</x:v>
      </x:c>
      <x:c r="D1664" s="17" t="n">
        <x:v>14</x:v>
      </x:c>
      <x:c r="E1664" s="17" t="n">
        <x:v>25</x:v>
      </x:c>
      <x:c r="F1664" s="18" t="n">
        <x:v>553.4</x:v>
      </x:c>
    </x:row>
    <x:row r="1665">
      <x:c r="A1665" s="14" t="str">
        <x:v>店长</x:v>
      </x:c>
      <x:c r="B1665" s="15" t="str">
        <x:v>叶娜</x:v>
      </x:c>
      <x:c r="C1665" s="16" t="n">
        <x:v>46062</x:v>
      </x:c>
      <x:c r="D1665" s="17" t="n">
        <x:v>11</x:v>
      </x:c>
      <x:c r="E1665" s="17" t="n">
        <x:v>16</x:v>
      </x:c>
      <x:c r="F1665" s="18" t="n">
        <x:v>288.36</x:v>
      </x:c>
    </x:row>
    <x:row r="1666">
      <x:c r="A1666" s="14" t="str">
        <x:v>店长</x:v>
      </x:c>
      <x:c r="B1666" s="15" t="str">
        <x:v>叶娜</x:v>
      </x:c>
      <x:c r="C1666" s="16" t="n">
        <x:v>46063</x:v>
      </x:c>
      <x:c r="D1666" s="17" t="n">
        <x:v>21</x:v>
      </x:c>
      <x:c r="E1666" s="17" t="n">
        <x:v>30</x:v>
      </x:c>
      <x:c r="F1666" s="18" t="n">
        <x:v>718.47</x:v>
      </x:c>
    </x:row>
    <x:row r="1667">
      <x:c r="A1667" s="14" t="str">
        <x:v>店长</x:v>
      </x:c>
      <x:c r="B1667" s="15" t="str">
        <x:v>叶娜</x:v>
      </x:c>
      <x:c r="C1667" s="16" t="n">
        <x:v>46064</x:v>
      </x:c>
      <x:c r="D1667" s="17" t="n">
        <x:v>24</x:v>
      </x:c>
      <x:c r="E1667" s="17" t="n">
        <x:v>32</x:v>
      </x:c>
      <x:c r="F1667" s="18" t="n">
        <x:v>719.95</x:v>
      </x:c>
    </x:row>
    <x:row r="1668">
      <x:c r="A1668" s="14" t="str">
        <x:v>店长</x:v>
      </x:c>
      <x:c r="B1668" s="15" t="str">
        <x:v>叶娜</x:v>
      </x:c>
      <x:c r="C1668" s="16" t="n">
        <x:v>46065</x:v>
      </x:c>
      <x:c r="D1668" s="17" t="n">
        <x:v>16</x:v>
      </x:c>
      <x:c r="E1668" s="17" t="n">
        <x:v>21</x:v>
      </x:c>
      <x:c r="F1668" s="18" t="n">
        <x:v>492.4</x:v>
      </x:c>
    </x:row>
    <x:row r="1669">
      <x:c r="A1669" s="14" t="str">
        <x:v>店长</x:v>
      </x:c>
      <x:c r="B1669" s="15" t="str">
        <x:v>叶娜</x:v>
      </x:c>
      <x:c r="C1669" s="16" t="n">
        <x:v>46066</x:v>
      </x:c>
      <x:c r="D1669" s="17" t="n">
        <x:v>26</x:v>
      </x:c>
      <x:c r="E1669" s="17" t="n">
        <x:v>41</x:v>
      </x:c>
      <x:c r="F1669" s="18" t="n">
        <x:v>835.69</x:v>
      </x:c>
    </x:row>
    <x:row r="1670">
      <x:c r="A1670" s="14" t="str">
        <x:v>店长</x:v>
      </x:c>
      <x:c r="B1670" s="15" t="str">
        <x:v>叶娜</x:v>
      </x:c>
      <x:c r="C1670" s="16" t="n">
        <x:v>46067</x:v>
      </x:c>
      <x:c r="D1670" s="17" t="n">
        <x:v>37</x:v>
      </x:c>
      <x:c r="E1670" s="17" t="n">
        <x:v>65</x:v>
      </x:c>
      <x:c r="F1670" s="18" t="n">
        <x:v>828.14</x:v>
      </x:c>
    </x:row>
    <x:row r="1671">
      <x:c r="A1671" s="14" t="str">
        <x:v>店长</x:v>
      </x:c>
      <x:c r="B1671" s="15" t="str">
        <x:v>叶娜</x:v>
      </x:c>
      <x:c r="C1671" s="16" t="n">
        <x:v>46068</x:v>
      </x:c>
      <x:c r="D1671" s="17" t="n">
        <x:v>27</x:v>
      </x:c>
      <x:c r="E1671" s="17" t="n">
        <x:v>33</x:v>
      </x:c>
      <x:c r="F1671" s="18" t="n">
        <x:v>816.75</x:v>
      </x:c>
    </x:row>
    <x:row r="1672">
      <x:c r="A1672" s="14" t="str">
        <x:v>店长</x:v>
      </x:c>
      <x:c r="B1672" s="15" t="str">
        <x:v>叶娜</x:v>
      </x:c>
      <x:c r="C1672" s="16" t="n">
        <x:v>46069</x:v>
      </x:c>
      <x:c r="D1672" s="17" t="n">
        <x:v>11</x:v>
      </x:c>
      <x:c r="E1672" s="17" t="n">
        <x:v>13</x:v>
      </x:c>
      <x:c r="F1672" s="18" t="n">
        <x:v>327.77</x:v>
      </x:c>
    </x:row>
    <x:row r="1673">
      <x:c r="A1673" s="14" t="str">
        <x:v>店长</x:v>
      </x:c>
      <x:c r="B1673" s="15" t="str">
        <x:v>叶娜</x:v>
      </x:c>
      <x:c r="C1673" s="16" t="n">
        <x:v>46070</x:v>
      </x:c>
      <x:c r="D1673" s="17" t="n">
        <x:v>28</x:v>
      </x:c>
      <x:c r="E1673" s="17" t="n">
        <x:v>37</x:v>
      </x:c>
      <x:c r="F1673" s="18" t="n">
        <x:v>1083.59</x:v>
      </x:c>
    </x:row>
    <x:row r="1674">
      <x:c r="A1674" s="14" t="str">
        <x:v>店长</x:v>
      </x:c>
      <x:c r="B1674" s="15" t="str">
        <x:v>叶娜</x:v>
      </x:c>
      <x:c r="C1674" s="16" t="n">
        <x:v>46071</x:v>
      </x:c>
      <x:c r="D1674" s="17" t="n">
        <x:v>8</x:v>
      </x:c>
      <x:c r="E1674" s="17" t="n">
        <x:v>9</x:v>
      </x:c>
      <x:c r="F1674" s="18" t="n">
        <x:v>269.23</x:v>
      </x:c>
    </x:row>
    <x:row r="1675">
      <x:c r="A1675" s="14" t="str">
        <x:v>店长</x:v>
      </x:c>
      <x:c r="B1675" s="15" t="str">
        <x:v>叶娜</x:v>
      </x:c>
      <x:c r="C1675" s="16" t="n">
        <x:v>46072</x:v>
      </x:c>
      <x:c r="D1675" s="17" t="n">
        <x:v>15</x:v>
      </x:c>
      <x:c r="E1675" s="17" t="n">
        <x:v>18</x:v>
      </x:c>
      <x:c r="F1675" s="18" t="n">
        <x:v>509.88</x:v>
      </x:c>
    </x:row>
    <x:row r="1676">
      <x:c r="A1676" s="14" t="str">
        <x:v>店长</x:v>
      </x:c>
      <x:c r="B1676" s="15" t="str">
        <x:v>叶娜</x:v>
      </x:c>
      <x:c r="C1676" s="16" t="n">
        <x:v>46073</x:v>
      </x:c>
      <x:c r="D1676" s="17" t="n">
        <x:v>14</x:v>
      </x:c>
      <x:c r="E1676" s="17" t="n">
        <x:v>16</x:v>
      </x:c>
      <x:c r="F1676" s="18" t="n">
        <x:v>403.57</x:v>
      </x:c>
    </x:row>
    <x:row r="1677">
      <x:c r="A1677" s="14" t="str">
        <x:v>店长</x:v>
      </x:c>
      <x:c r="B1677" s="15" t="str">
        <x:v>叶娜</x:v>
      </x:c>
      <x:c r="C1677" s="16" t="n">
        <x:v>46074</x:v>
      </x:c>
      <x:c r="D1677" s="17" t="n">
        <x:v>154</x:v>
      </x:c>
      <x:c r="E1677" s="17" t="n">
        <x:v>298</x:v>
      </x:c>
      <x:c r="F1677" s="18" t="n">
        <x:v>2514.33</x:v>
      </x:c>
    </x:row>
    <x:row r="1678">
      <x:c r="A1678" s="14" t="str">
        <x:v>店长</x:v>
      </x:c>
      <x:c r="B1678" s="15" t="str">
        <x:v>叶娜</x:v>
      </x:c>
      <x:c r="C1678" s="16" t="n">
        <x:v>46075</x:v>
      </x:c>
      <x:c r="D1678" s="17" t="n">
        <x:v>58</x:v>
      </x:c>
      <x:c r="E1678" s="17" t="n">
        <x:v>123</x:v>
      </x:c>
      <x:c r="F1678" s="18" t="n">
        <x:v>1594.78</x:v>
      </x:c>
    </x:row>
    <x:row r="1679">
      <x:c r="A1679" s="14" t="str">
        <x:v>店长</x:v>
      </x:c>
      <x:c r="B1679" s="15" t="str">
        <x:v>叶娜</x:v>
      </x:c>
      <x:c r="C1679" s="16" t="n">
        <x:v>46076</x:v>
      </x:c>
      <x:c r="D1679" s="17" t="n">
        <x:v>42</x:v>
      </x:c>
      <x:c r="E1679" s="17" t="n">
        <x:v>71</x:v>
      </x:c>
      <x:c r="F1679" s="18" t="n">
        <x:v>943.13</x:v>
      </x:c>
    </x:row>
    <x:row r="1680">
      <x:c r="A1680" s="14" t="str">
        <x:v>店长</x:v>
      </x:c>
      <x:c r="B1680" s="15" t="str">
        <x:v>叶娜</x:v>
      </x:c>
      <x:c r="C1680" s="16" t="n">
        <x:v>46077</x:v>
      </x:c>
      <x:c r="D1680" s="17" t="n">
        <x:v>42</x:v>
      </x:c>
      <x:c r="E1680" s="17" t="n">
        <x:v>65</x:v>
      </x:c>
      <x:c r="F1680" s="18" t="n">
        <x:v>1238.57</x:v>
      </x:c>
    </x:row>
    <x:row r="1681">
      <x:c r="A1681" s="14" t="str">
        <x:v>店长</x:v>
      </x:c>
      <x:c r="B1681" s="15" t="str">
        <x:v>叶娜</x:v>
      </x:c>
      <x:c r="C1681" s="16" t="n">
        <x:v>46078</x:v>
      </x:c>
      <x:c r="D1681" s="17" t="n">
        <x:v>21</x:v>
      </x:c>
      <x:c r="E1681" s="17" t="n">
        <x:v>37</x:v>
      </x:c>
      <x:c r="F1681" s="18" t="n">
        <x:v>564.49</x:v>
      </x:c>
    </x:row>
    <x:row r="1682">
      <x:c r="A1682" s="14" t="str">
        <x:v>店长</x:v>
      </x:c>
      <x:c r="B1682" s="15" t="str">
        <x:v>叶娜</x:v>
      </x:c>
      <x:c r="C1682" s="16" t="n">
        <x:v>46079</x:v>
      </x:c>
      <x:c r="D1682" s="17" t="n">
        <x:v>33</x:v>
      </x:c>
      <x:c r="E1682" s="17" t="n">
        <x:v>50</x:v>
      </x:c>
      <x:c r="F1682" s="18" t="n">
        <x:v>686</x:v>
      </x:c>
    </x:row>
    <x:row r="1683">
      <x:c r="A1683" s="14" t="str">
        <x:v>店长</x:v>
      </x:c>
      <x:c r="B1683" s="15" t="str">
        <x:v>叶娜</x:v>
      </x:c>
      <x:c r="C1683" s="16" t="n">
        <x:v>46080</x:v>
      </x:c>
      <x:c r="D1683" s="17" t="n">
        <x:v>25</x:v>
      </x:c>
      <x:c r="E1683" s="17" t="n">
        <x:v>53</x:v>
      </x:c>
      <x:c r="F1683" s="18" t="n">
        <x:v>676.77</x:v>
      </x:c>
    </x:row>
    <x:row r="1684">
      <x:c r="A1684" s="14" t="str">
        <x:v>店长</x:v>
      </x:c>
      <x:c r="B1684" s="15" t="str">
        <x:v>叶娜</x:v>
      </x:c>
      <x:c r="C1684" s="16" t="n">
        <x:v>46081</x:v>
      </x:c>
      <x:c r="D1684" s="17" t="n">
        <x:v>25</x:v>
      </x:c>
      <x:c r="E1684" s="17" t="n">
        <x:v>42</x:v>
      </x:c>
      <x:c r="F1684" s="18" t="n">
        <x:v>-47477.61</x:v>
      </x:c>
    </x:row>
    <x:row r="1685">
      <x:c r="A1685" s="14" t="str">
        <x:v>店长</x:v>
      </x:c>
      <x:c r="B1685" s="15" t="str">
        <x:v>叶娜</x:v>
      </x:c>
      <x:c r="C1685" s="16" t="n">
        <x:v>46082</x:v>
      </x:c>
      <x:c r="D1685" s="17" t="n">
        <x:v>31</x:v>
      </x:c>
      <x:c r="E1685" s="17" t="n">
        <x:v>59</x:v>
      </x:c>
      <x:c r="F1685" s="18" t="n">
        <x:v>642.69</x:v>
      </x:c>
    </x:row>
    <x:row r="1686">
      <x:c r="A1686" s="14" t="str">
        <x:v>店长</x:v>
      </x:c>
      <x:c r="B1686" s="15" t="str">
        <x:v>叶娜</x:v>
      </x:c>
      <x:c r="C1686" s="16" t="n">
        <x:v>46083</x:v>
      </x:c>
      <x:c r="D1686" s="17" t="n">
        <x:v>28</x:v>
      </x:c>
      <x:c r="E1686" s="17" t="n">
        <x:v>46</x:v>
      </x:c>
      <x:c r="F1686" s="18" t="n">
        <x:v>667.92</x:v>
      </x:c>
    </x:row>
    <x:row r="1687">
      <x:c r="A1687" s="14" t="str">
        <x:v>店长</x:v>
      </x:c>
      <x:c r="B1687" s="15" t="str">
        <x:v>叶娜</x:v>
      </x:c>
      <x:c r="C1687" s="16" t="n">
        <x:v>46084</x:v>
      </x:c>
      <x:c r="D1687" s="17" t="n">
        <x:v>37</x:v>
      </x:c>
      <x:c r="E1687" s="17" t="n">
        <x:v>67</x:v>
      </x:c>
      <x:c r="F1687" s="18" t="n">
        <x:v>1126.88</x:v>
      </x:c>
    </x:row>
    <x:row r="1688">
      <x:c r="A1688" s="14" t="str">
        <x:v>店长</x:v>
      </x:c>
      <x:c r="B1688" s="15" t="str">
        <x:v>叶娜</x:v>
      </x:c>
      <x:c r="C1688" s="16" t="n">
        <x:v>46085</x:v>
      </x:c>
      <x:c r="D1688" s="17" t="n">
        <x:v>36</x:v>
      </x:c>
      <x:c r="E1688" s="17" t="n">
        <x:v>62</x:v>
      </x:c>
      <x:c r="F1688" s="18" t="n">
        <x:v>679.55</x:v>
      </x:c>
    </x:row>
    <x:row r="1689">
      <x:c r="A1689" s="14" t="str">
        <x:v>店长</x:v>
      </x:c>
      <x:c r="B1689" s="15" t="str">
        <x:v>叶娜</x:v>
      </x:c>
      <x:c r="C1689" s="16" t="n">
        <x:v>46086</x:v>
      </x:c>
      <x:c r="D1689" s="17" t="n">
        <x:v>34</x:v>
      </x:c>
      <x:c r="E1689" s="17" t="n">
        <x:v>60</x:v>
      </x:c>
      <x:c r="F1689" s="18" t="n">
        <x:v>1153.7</x:v>
      </x:c>
    </x:row>
    <x:row r="1690">
      <x:c r="A1690" s="14" t="str">
        <x:v>店长</x:v>
      </x:c>
      <x:c r="B1690" s="15" t="str">
        <x:v>叶娜</x:v>
      </x:c>
      <x:c r="C1690" s="16" t="n">
        <x:v>46087</x:v>
      </x:c>
      <x:c r="D1690" s="17" t="n">
        <x:v>22</x:v>
      </x:c>
      <x:c r="E1690" s="17" t="n">
        <x:v>35</x:v>
      </x:c>
      <x:c r="F1690" s="18" t="n">
        <x:v>544.56</x:v>
      </x:c>
    </x:row>
    <x:row r="1691">
      <x:c r="A1691" s="14" t="str">
        <x:v>店长</x:v>
      </x:c>
      <x:c r="B1691" s="15" t="str">
        <x:v>叶娜</x:v>
      </x:c>
      <x:c r="C1691" s="16" t="n">
        <x:v>46088</x:v>
      </x:c>
      <x:c r="D1691" s="17" t="n">
        <x:v>34</x:v>
      </x:c>
      <x:c r="E1691" s="17" t="n">
        <x:v>56</x:v>
      </x:c>
      <x:c r="F1691" s="18" t="n">
        <x:v>793.84</x:v>
      </x:c>
    </x:row>
    <x:row r="1692">
      <x:c r="A1692" s="14" t="str">
        <x:v>店长</x:v>
      </x:c>
      <x:c r="B1692" s="15" t="str">
        <x:v>叶娜</x:v>
      </x:c>
      <x:c r="C1692" s="16" t="n">
        <x:v>46089</x:v>
      </x:c>
      <x:c r="D1692" s="17" t="n">
        <x:v>36</x:v>
      </x:c>
      <x:c r="E1692" s="17" t="n">
        <x:v>64</x:v>
      </x:c>
      <x:c r="F1692" s="18" t="n">
        <x:v>884.91</x:v>
      </x:c>
    </x:row>
    <x:row r="1693">
      <x:c r="A1693" s="14" t="str">
        <x:v>店长</x:v>
      </x:c>
      <x:c r="B1693" s="15" t="str">
        <x:v>叶娜</x:v>
      </x:c>
      <x:c r="C1693" s="16" t="n">
        <x:v>46090</x:v>
      </x:c>
      <x:c r="D1693" s="17" t="n">
        <x:v>52</x:v>
      </x:c>
      <x:c r="E1693" s="17" t="n">
        <x:v>88</x:v>
      </x:c>
      <x:c r="F1693" s="18" t="n">
        <x:v>1127.82</x:v>
      </x:c>
    </x:row>
    <x:row r="1694">
      <x:c r="A1694" s="14" t="str">
        <x:v>店长</x:v>
      </x:c>
      <x:c r="B1694" s="15" t="str">
        <x:v>叶娜</x:v>
      </x:c>
      <x:c r="C1694" s="16" t="n">
        <x:v>46091</x:v>
      </x:c>
      <x:c r="D1694" s="17" t="n">
        <x:v>30</x:v>
      </x:c>
      <x:c r="E1694" s="17" t="n">
        <x:v>46</x:v>
      </x:c>
      <x:c r="F1694" s="18" t="n">
        <x:v>899.28</x:v>
      </x:c>
    </x:row>
    <x:row r="1695">
      <x:c r="A1695" s="14" t="str">
        <x:v>店长</x:v>
      </x:c>
      <x:c r="B1695" s="15" t="str">
        <x:v>叶娜</x:v>
      </x:c>
      <x:c r="C1695" s="16" t="n">
        <x:v>46092</x:v>
      </x:c>
      <x:c r="D1695" s="17" t="n">
        <x:v>20</x:v>
      </x:c>
      <x:c r="E1695" s="17" t="n">
        <x:v>28</x:v>
      </x:c>
      <x:c r="F1695" s="18" t="n">
        <x:v>527.78</x:v>
      </x:c>
    </x:row>
    <x:row r="1696">
      <x:c r="A1696" s="14" t="str">
        <x:v>店长</x:v>
      </x:c>
      <x:c r="B1696" s="15" t="str">
        <x:v>叶娜</x:v>
      </x:c>
      <x:c r="C1696" s="16" t="n">
        <x:v>46093</x:v>
      </x:c>
      <x:c r="D1696" s="17" t="n">
        <x:v>28</x:v>
      </x:c>
      <x:c r="E1696" s="17" t="n">
        <x:v>53</x:v>
      </x:c>
      <x:c r="F1696" s="18" t="n">
        <x:v>617.07</x:v>
      </x:c>
    </x:row>
    <x:row r="1697">
      <x:c r="A1697" s="14" t="str">
        <x:v>店长</x:v>
      </x:c>
      <x:c r="B1697" s="15" t="str">
        <x:v>叶娜</x:v>
      </x:c>
      <x:c r="C1697" s="16" t="n">
        <x:v>46094</x:v>
      </x:c>
      <x:c r="D1697" s="17" t="n">
        <x:v>35</x:v>
      </x:c>
      <x:c r="E1697" s="17" t="n">
        <x:v>60</x:v>
      </x:c>
      <x:c r="F1697" s="18" t="n">
        <x:v>923.15</x:v>
      </x:c>
    </x:row>
    <x:row r="1698">
      <x:c r="A1698" s="14" t="str">
        <x:v>店长</x:v>
      </x:c>
      <x:c r="B1698" s="15" t="str">
        <x:v>叶娜</x:v>
      </x:c>
      <x:c r="C1698" s="16" t="n">
        <x:v>46095</x:v>
      </x:c>
      <x:c r="D1698" s="17" t="n">
        <x:v>22</x:v>
      </x:c>
      <x:c r="E1698" s="17" t="n">
        <x:v>41</x:v>
      </x:c>
      <x:c r="F1698" s="18" t="n">
        <x:v>542.06</x:v>
      </x:c>
    </x:row>
    <x:row r="1699">
      <x:c r="A1699" s="14" t="str">
        <x:v>店长</x:v>
      </x:c>
      <x:c r="B1699" s="15" t="str">
        <x:v>叶娜</x:v>
      </x:c>
      <x:c r="C1699" s="16" t="n">
        <x:v>46096</x:v>
      </x:c>
      <x:c r="D1699" s="17" t="n">
        <x:v>10</x:v>
      </x:c>
      <x:c r="E1699" s="17" t="n">
        <x:v>16</x:v>
      </x:c>
      <x:c r="F1699" s="18" t="n">
        <x:v>309.35</x:v>
      </x:c>
    </x:row>
    <x:row r="1700">
      <x:c r="A1700" s="14" t="str">
        <x:v>店长</x:v>
      </x:c>
      <x:c r="B1700" s="15" t="str">
        <x:v>叶娜</x:v>
      </x:c>
      <x:c r="C1700" s="16" t="n">
        <x:v>46097</x:v>
      </x:c>
      <x:c r="D1700" s="17" t="n">
        <x:v>18</x:v>
      </x:c>
      <x:c r="E1700" s="17" t="n">
        <x:v>34</x:v>
      </x:c>
      <x:c r="F1700" s="18" t="n">
        <x:v>543.88</x:v>
      </x:c>
    </x:row>
    <x:row r="1701">
      <x:c r="A1701" s="14" t="str">
        <x:v>店长</x:v>
      </x:c>
      <x:c r="B1701" s="15" t="str">
        <x:v>叶娜</x:v>
      </x:c>
      <x:c r="C1701" s="16" t="n">
        <x:v>46098</x:v>
      </x:c>
      <x:c r="D1701" s="17" t="n">
        <x:v>10</x:v>
      </x:c>
      <x:c r="E1701" s="17" t="n">
        <x:v>27</x:v>
      </x:c>
      <x:c r="F1701" s="18" t="n">
        <x:v>503.05</x:v>
      </x:c>
    </x:row>
    <x:row r="1702">
      <x:c r="A1702" s="14" t="str">
        <x:v>店长</x:v>
      </x:c>
      <x:c r="B1702" s="15" t="str">
        <x:v>叶娜</x:v>
      </x:c>
      <x:c r="C1702" s="16" t="n">
        <x:v>46099</x:v>
      </x:c>
      <x:c r="D1702" s="17" t="n">
        <x:v>21</x:v>
      </x:c>
      <x:c r="E1702" s="17" t="n">
        <x:v>38</x:v>
      </x:c>
      <x:c r="F1702" s="18" t="n">
        <x:v>502.09</x:v>
      </x:c>
    </x:row>
    <x:row r="1703">
      <x:c r="A1703" s="14" t="str">
        <x:v>店长</x:v>
      </x:c>
      <x:c r="B1703" s="15" t="str">
        <x:v>叶娜</x:v>
      </x:c>
      <x:c r="C1703" s="16" t="n">
        <x:v>46100</x:v>
      </x:c>
      <x:c r="D1703" s="17" t="n">
        <x:v>21</x:v>
      </x:c>
      <x:c r="E1703" s="17" t="n">
        <x:v>33</x:v>
      </x:c>
      <x:c r="F1703" s="18" t="n">
        <x:v>595.67</x:v>
      </x:c>
    </x:row>
    <x:row r="1704">
      <x:c r="A1704" s="14" t="str">
        <x:v>店长</x:v>
      </x:c>
      <x:c r="B1704" s="15" t="str">
        <x:v>叶娜</x:v>
      </x:c>
      <x:c r="C1704" s="16" t="n">
        <x:v>46101</x:v>
      </x:c>
      <x:c r="D1704" s="17" t="n">
        <x:v>19</x:v>
      </x:c>
      <x:c r="E1704" s="17" t="n">
        <x:v>28</x:v>
      </x:c>
      <x:c r="F1704" s="18" t="n">
        <x:v>649.56</x:v>
      </x:c>
    </x:row>
    <x:row r="1705">
      <x:c r="A1705" s="14" t="str">
        <x:v>店长</x:v>
      </x:c>
      <x:c r="B1705" s="15" t="str">
        <x:v>叶娜</x:v>
      </x:c>
      <x:c r="C1705" s="16" t="n">
        <x:v>46102</x:v>
      </x:c>
      <x:c r="D1705" s="17" t="n">
        <x:v>25</x:v>
      </x:c>
      <x:c r="E1705" s="17" t="n">
        <x:v>32</x:v>
      </x:c>
      <x:c r="F1705" s="18" t="n">
        <x:v>1027.48</x:v>
      </x:c>
    </x:row>
    <x:row r="1706">
      <x:c r="A1706" s="14" t="str">
        <x:v>店长</x:v>
      </x:c>
      <x:c r="B1706" s="15" t="str">
        <x:v>叶娜</x:v>
      </x:c>
      <x:c r="C1706" s="16" t="n">
        <x:v>46103</x:v>
      </x:c>
      <x:c r="D1706" s="17" t="n">
        <x:v>26</x:v>
      </x:c>
      <x:c r="E1706" s="17" t="n">
        <x:v>47</x:v>
      </x:c>
      <x:c r="F1706" s="18" t="n">
        <x:v>1017.59</x:v>
      </x:c>
    </x:row>
    <x:row r="1707">
      <x:c r="A1707" s="14" t="str">
        <x:v>店长</x:v>
      </x:c>
      <x:c r="B1707" s="15" t="str">
        <x:v>叶娜</x:v>
      </x:c>
      <x:c r="C1707" s="16" t="n">
        <x:v>46104</x:v>
      </x:c>
      <x:c r="D1707" s="17" t="n">
        <x:v>24</x:v>
      </x:c>
      <x:c r="E1707" s="17" t="n">
        <x:v>31</x:v>
      </x:c>
      <x:c r="F1707" s="18" t="n">
        <x:v>852.57</x:v>
      </x:c>
    </x:row>
    <x:row r="1708">
      <x:c r="A1708" s="14" t="str">
        <x:v>店长</x:v>
      </x:c>
      <x:c r="B1708" s="15" t="str">
        <x:v>叶娜</x:v>
      </x:c>
      <x:c r="C1708" s="16" t="n">
        <x:v>46105</x:v>
      </x:c>
      <x:c r="D1708" s="17" t="n">
        <x:v>63</x:v>
      </x:c>
      <x:c r="E1708" s="17" t="n">
        <x:v>75</x:v>
      </x:c>
      <x:c r="F1708" s="18" t="n">
        <x:v>2405.03</x:v>
      </x:c>
    </x:row>
    <x:row r="1709">
      <x:c r="A1709" s="14" t="str">
        <x:v>店长</x:v>
      </x:c>
      <x:c r="B1709" s="15" t="str">
        <x:v>叶娜</x:v>
      </x:c>
      <x:c r="C1709" s="16" t="n">
        <x:v>46106</x:v>
      </x:c>
      <x:c r="D1709" s="17" t="n">
        <x:v>4</x:v>
      </x:c>
      <x:c r="E1709" s="17" t="n">
        <x:v>9</x:v>
      </x:c>
      <x:c r="F1709" s="18" t="n">
        <x:v>79.34</x:v>
      </x:c>
    </x:row>
    <x:row r="1710">
      <x:c r="A1710" s="14" t="str">
        <x:v>店长</x:v>
      </x:c>
      <x:c r="B1710" s="15" t="str">
        <x:v>叶娜</x:v>
      </x:c>
      <x:c r="C1710" s="16" t="n">
        <x:v>46107</x:v>
      </x:c>
      <x:c r="D1710" s="17" t="n">
        <x:v>64</x:v>
      </x:c>
      <x:c r="E1710" s="17" t="n">
        <x:v>84</x:v>
      </x:c>
      <x:c r="F1710" s="18" t="n">
        <x:v>2439.23</x:v>
      </x:c>
    </x:row>
    <x:row r="1711">
      <x:c r="A1711" s="14" t="str">
        <x:v>店长</x:v>
      </x:c>
      <x:c r="B1711" s="15" t="str">
        <x:v>叶娜</x:v>
      </x:c>
      <x:c r="C1711" s="16" t="n">
        <x:v>46108</x:v>
      </x:c>
      <x:c r="D1711" s="17" t="n">
        <x:v>31</x:v>
      </x:c>
      <x:c r="E1711" s="17" t="n">
        <x:v>44</x:v>
      </x:c>
      <x:c r="F1711" s="18" t="n">
        <x:v>991.87</x:v>
      </x:c>
    </x:row>
    <x:row r="1712">
      <x:c r="A1712" s="14" t="str">
        <x:v>店长</x:v>
      </x:c>
      <x:c r="B1712" s="15" t="str">
        <x:v>叶娜</x:v>
      </x:c>
      <x:c r="C1712" s="16" t="n">
        <x:v>46109</x:v>
      </x:c>
      <x:c r="D1712" s="17" t="n">
        <x:v>47</x:v>
      </x:c>
      <x:c r="E1712" s="17" t="n">
        <x:v>64</x:v>
      </x:c>
      <x:c r="F1712" s="18" t="n">
        <x:v>1175.53</x:v>
      </x:c>
    </x:row>
    <x:row r="1713">
      <x:c r="A1713" s="14" t="str">
        <x:v>店长</x:v>
      </x:c>
      <x:c r="B1713" s="15" t="str">
        <x:v>叶娜</x:v>
      </x:c>
      <x:c r="C1713" s="16" t="n">
        <x:v>46110</x:v>
      </x:c>
      <x:c r="D1713" s="17" t="n">
        <x:v>27</x:v>
      </x:c>
      <x:c r="E1713" s="17" t="n">
        <x:v>38</x:v>
      </x:c>
      <x:c r="F1713" s="18" t="n">
        <x:v>879.09</x:v>
      </x:c>
    </x:row>
    <x:row r="1714">
      <x:c r="A1714" s="14" t="str">
        <x:v>店长</x:v>
      </x:c>
      <x:c r="B1714" s="15" t="str">
        <x:v>叶娜</x:v>
      </x:c>
      <x:c r="C1714" s="16" t="n">
        <x:v>46111</x:v>
      </x:c>
      <x:c r="D1714" s="17" t="n">
        <x:v>26</x:v>
      </x:c>
      <x:c r="E1714" s="17" t="n">
        <x:v>34</x:v>
      </x:c>
      <x:c r="F1714" s="18" t="n">
        <x:v>881.24</x:v>
      </x:c>
    </x:row>
    <x:row r="1715">
      <x:c r="A1715" s="14" t="str">
        <x:v>店长</x:v>
      </x:c>
      <x:c r="B1715" s="15" t="str">
        <x:v>叶娜</x:v>
      </x:c>
      <x:c r="C1715" s="16" t="n">
        <x:v>46112</x:v>
      </x:c>
      <x:c r="D1715" s="17" t="n">
        <x:v>25</x:v>
      </x:c>
      <x:c r="E1715" s="17" t="n">
        <x:v>38</x:v>
      </x:c>
      <x:c r="F1715" s="18" t="n">
        <x:v>846.4</x:v>
      </x:c>
    </x:row>
    <x:row r="1716">
      <x:c r="A1716" s="14" t="str">
        <x:v>店长</x:v>
      </x:c>
      <x:c r="B1716" s="15" t="str">
        <x:v>叶娜</x:v>
      </x:c>
      <x:c r="C1716" s="16" t="n">
        <x:v>46113</x:v>
      </x:c>
      <x:c r="D1716" s="17" t="n">
        <x:v>43</x:v>
      </x:c>
      <x:c r="E1716" s="17" t="n">
        <x:v>52</x:v>
      </x:c>
      <x:c r="F1716" s="18" t="n">
        <x:v>1257.94</x:v>
      </x:c>
    </x:row>
    <x:row r="1717">
      <x:c r="A1717" s="14" t="str">
        <x:v>店长</x:v>
      </x:c>
      <x:c r="B1717" s="15" t="str">
        <x:v>叶娜</x:v>
      </x:c>
      <x:c r="C1717" s="16" t="n">
        <x:v>46114</x:v>
      </x:c>
      <x:c r="D1717" s="17" t="n">
        <x:v>36</x:v>
      </x:c>
      <x:c r="E1717" s="17" t="n">
        <x:v>53</x:v>
      </x:c>
      <x:c r="F1717" s="18" t="n">
        <x:v>1287.23</x:v>
      </x:c>
    </x:row>
    <x:row r="1718">
      <x:c r="A1718" s="14" t="str">
        <x:v>店长</x:v>
      </x:c>
      <x:c r="B1718" s="15" t="str">
        <x:v>叶娜</x:v>
      </x:c>
      <x:c r="C1718" s="16" t="n">
        <x:v>46115</x:v>
      </x:c>
      <x:c r="D1718" s="17" t="n">
        <x:v>32</x:v>
      </x:c>
      <x:c r="E1718" s="17" t="n">
        <x:v>37</x:v>
      </x:c>
      <x:c r="F1718" s="18" t="n">
        <x:v>858.04</x:v>
      </x:c>
    </x:row>
    <x:row r="1719">
      <x:c r="A1719" s="14" t="str">
        <x:v>店长</x:v>
      </x:c>
      <x:c r="B1719" s="15" t="str">
        <x:v>叶娜</x:v>
      </x:c>
      <x:c r="C1719" s="16" t="n">
        <x:v>46116</x:v>
      </x:c>
      <x:c r="D1719" s="17" t="n">
        <x:v>17</x:v>
      </x:c>
      <x:c r="E1719" s="17" t="n">
        <x:v>22</x:v>
      </x:c>
      <x:c r="F1719" s="18" t="n">
        <x:v>612.55</x:v>
      </x:c>
    </x:row>
    <x:row r="1720">
      <x:c r="A1720" s="14" t="str">
        <x:v>店长</x:v>
      </x:c>
      <x:c r="B1720" s="15" t="str">
        <x:v>叶娜</x:v>
      </x:c>
      <x:c r="C1720" s="16" t="n">
        <x:v>46117</x:v>
      </x:c>
      <x:c r="D1720" s="17" t="n">
        <x:v>16</x:v>
      </x:c>
      <x:c r="E1720" s="17" t="n">
        <x:v>23</x:v>
      </x:c>
      <x:c r="F1720" s="18" t="n">
        <x:v>521.56</x:v>
      </x:c>
    </x:row>
    <x:row r="1721">
      <x:c r="A1721" s="14" t="str">
        <x:v>店长</x:v>
      </x:c>
      <x:c r="B1721" s="15" t="str">
        <x:v>叶娜</x:v>
      </x:c>
      <x:c r="C1721" s="16" t="n">
        <x:v>46118</x:v>
      </x:c>
      <x:c r="D1721" s="17" t="n">
        <x:v>17</x:v>
      </x:c>
      <x:c r="E1721" s="17" t="n">
        <x:v>23</x:v>
      </x:c>
      <x:c r="F1721" s="18" t="n">
        <x:v>518.36</x:v>
      </x:c>
    </x:row>
    <x:row r="1722">
      <x:c r="A1722" s="14" t="str">
        <x:v>店长</x:v>
      </x:c>
      <x:c r="B1722" s="15" t="str">
        <x:v>叶娜</x:v>
      </x:c>
      <x:c r="C1722" s="16" t="n">
        <x:v>46119</x:v>
      </x:c>
      <x:c r="D1722" s="17" t="n">
        <x:v>42</x:v>
      </x:c>
      <x:c r="E1722" s="17" t="n">
        <x:v>48</x:v>
      </x:c>
      <x:c r="F1722" s="18" t="n">
        <x:v>1720.95</x:v>
      </x:c>
    </x:row>
    <x:row r="1723">
      <x:c r="A1723" s="14" t="str">
        <x:v>店长</x:v>
      </x:c>
      <x:c r="B1723" s="15" t="str">
        <x:v>叶娜</x:v>
      </x:c>
      <x:c r="C1723" s="16" t="n">
        <x:v>46120</x:v>
      </x:c>
      <x:c r="D1723" s="17" t="n">
        <x:v>35</x:v>
      </x:c>
      <x:c r="E1723" s="17" t="n">
        <x:v>54</x:v>
      </x:c>
      <x:c r="F1723" s="18" t="n">
        <x:v>1468.21</x:v>
      </x:c>
    </x:row>
    <x:row r="1724">
      <x:c r="A1724" s="14" t="str">
        <x:v>店长</x:v>
      </x:c>
      <x:c r="B1724" s="15" t="str">
        <x:v>叶娜</x:v>
      </x:c>
      <x:c r="C1724" s="16" t="n">
        <x:v>46121</x:v>
      </x:c>
      <x:c r="D1724" s="17" t="n">
        <x:v>16</x:v>
      </x:c>
      <x:c r="E1724" s="17" t="n">
        <x:v>19</x:v>
      </x:c>
      <x:c r="F1724" s="18" t="n">
        <x:v>666.93</x:v>
      </x:c>
    </x:row>
    <x:row r="1725">
      <x:c r="A1725" s="14" t="str">
        <x:v>店长</x:v>
      </x:c>
      <x:c r="B1725" s="15" t="str">
        <x:v>叶娜</x:v>
      </x:c>
      <x:c r="C1725" s="16" t="n">
        <x:v>46122</x:v>
      </x:c>
      <x:c r="D1725" s="17" t="n">
        <x:v>37</x:v>
      </x:c>
      <x:c r="E1725" s="17" t="n">
        <x:v>61</x:v>
      </x:c>
      <x:c r="F1725" s="18" t="n">
        <x:v>1535.87</x:v>
      </x:c>
    </x:row>
    <x:row r="1726">
      <x:c r="A1726" s="14" t="str">
        <x:v>店长</x:v>
      </x:c>
      <x:c r="B1726" s="15" t="str">
        <x:v>叶娜</x:v>
      </x:c>
      <x:c r="C1726" s="16" t="n">
        <x:v>46123</x:v>
      </x:c>
      <x:c r="D1726" s="17" t="n">
        <x:v>31</x:v>
      </x:c>
      <x:c r="E1726" s="17" t="n">
        <x:v>48</x:v>
      </x:c>
      <x:c r="F1726" s="18" t="n">
        <x:v>1328.23</x:v>
      </x:c>
    </x:row>
    <x:row r="1727">
      <x:c r="A1727" s="14" t="str">
        <x:v>店长</x:v>
      </x:c>
      <x:c r="B1727" s="15" t="str">
        <x:v>叶娜</x:v>
      </x:c>
      <x:c r="C1727" s="16" t="n">
        <x:v>46124</x:v>
      </x:c>
      <x:c r="D1727" s="17" t="n">
        <x:v>16</x:v>
      </x:c>
      <x:c r="E1727" s="17" t="n">
        <x:v>21</x:v>
      </x:c>
      <x:c r="F1727" s="18" t="n">
        <x:v>590.35</x:v>
      </x:c>
    </x:row>
    <x:row r="1728">
      <x:c r="A1728" s="14" t="str">
        <x:v>店长</x:v>
      </x:c>
      <x:c r="B1728" s="15" t="str">
        <x:v>叶娜</x:v>
      </x:c>
      <x:c r="C1728" s="16" t="n">
        <x:v>46125</x:v>
      </x:c>
      <x:c r="D1728" s="17" t="n">
        <x:v>24</x:v>
      </x:c>
      <x:c r="E1728" s="17" t="n">
        <x:v>32</x:v>
      </x:c>
      <x:c r="F1728" s="18" t="n">
        <x:v>836.1</x:v>
      </x:c>
    </x:row>
    <x:row r="1729">
      <x:c r="A1729" s="14" t="str">
        <x:v>店长</x:v>
      </x:c>
      <x:c r="B1729" s="15" t="str">
        <x:v>叶娜</x:v>
      </x:c>
      <x:c r="C1729" s="16" t="n">
        <x:v>46126</x:v>
      </x:c>
      <x:c r="D1729" s="17" t="n">
        <x:v>37</x:v>
      </x:c>
      <x:c r="E1729" s="17" t="n">
        <x:v>42</x:v>
      </x:c>
      <x:c r="F1729" s="18" t="n">
        <x:v>1499.45</x:v>
      </x:c>
    </x:row>
    <x:row r="1730">
      <x:c r="A1730" s="14" t="str">
        <x:v>店长</x:v>
      </x:c>
      <x:c r="B1730" s="15" t="str">
        <x:v>叶娜</x:v>
      </x:c>
      <x:c r="C1730" s="16" t="n">
        <x:v>46127</x:v>
      </x:c>
      <x:c r="D1730" s="17" t="n">
        <x:v>25</x:v>
      </x:c>
      <x:c r="E1730" s="17" t="n">
        <x:v>33</x:v>
      </x:c>
      <x:c r="F1730" s="18" t="n">
        <x:v>807.68</x:v>
      </x:c>
    </x:row>
    <x:row r="1731">
      <x:c r="A1731" s="14" t="str">
        <x:v>店长</x:v>
      </x:c>
      <x:c r="B1731" s="15" t="str">
        <x:v>叶娜</x:v>
      </x:c>
      <x:c r="C1731" s="16" t="n">
        <x:v>46128</x:v>
      </x:c>
      <x:c r="D1731" s="17" t="n">
        <x:v>31</x:v>
      </x:c>
      <x:c r="E1731" s="17" t="n">
        <x:v>43</x:v>
      </x:c>
      <x:c r="F1731" s="18" t="n">
        <x:v>1355.14</x:v>
      </x:c>
    </x:row>
    <x:row r="1732">
      <x:c r="A1732" s="14" t="str">
        <x:v>店长</x:v>
      </x:c>
      <x:c r="B1732" s="15" t="str">
        <x:v>叶娜</x:v>
      </x:c>
      <x:c r="C1732" s="16" t="n">
        <x:v>46129</x:v>
      </x:c>
      <x:c r="D1732" s="17" t="n">
        <x:v>38</x:v>
      </x:c>
      <x:c r="E1732" s="17" t="n">
        <x:v>48</x:v>
      </x:c>
      <x:c r="F1732" s="18" t="n">
        <x:v>1596.02</x:v>
      </x:c>
    </x:row>
    <x:row r="1733">
      <x:c r="A1733" s="14" t="str">
        <x:v>店长</x:v>
      </x:c>
      <x:c r="B1733" s="15" t="str">
        <x:v>叶娜</x:v>
      </x:c>
      <x:c r="C1733" s="16" t="n">
        <x:v>46130</x:v>
      </x:c>
      <x:c r="D1733" s="17" t="n">
        <x:v>59</x:v>
      </x:c>
      <x:c r="E1733" s="17" t="n">
        <x:v>70</x:v>
      </x:c>
      <x:c r="F1733" s="18" t="n">
        <x:v>2026.75</x:v>
      </x:c>
    </x:row>
    <x:row r="1734">
      <x:c r="A1734" s="14" t="str">
        <x:v>店长</x:v>
      </x:c>
      <x:c r="B1734" s="15" t="str">
        <x:v>叶娜</x:v>
      </x:c>
      <x:c r="C1734" s="16" t="n">
        <x:v>46131</x:v>
      </x:c>
      <x:c r="D1734" s="17" t="n">
        <x:v>71</x:v>
      </x:c>
      <x:c r="E1734" s="17" t="n">
        <x:v>89</x:v>
      </x:c>
      <x:c r="F1734" s="18" t="n">
        <x:v>2992.36</x:v>
      </x:c>
    </x:row>
    <x:row r="1735">
      <x:c r="A1735" s="14" t="str">
        <x:v>店长</x:v>
      </x:c>
      <x:c r="B1735" s="15" t="str">
        <x:v>叶娜</x:v>
      </x:c>
      <x:c r="C1735" s="16" t="n">
        <x:v>46132</x:v>
      </x:c>
      <x:c r="D1735" s="17" t="n">
        <x:v>12</x:v>
      </x:c>
      <x:c r="E1735" s="17" t="n">
        <x:v>15</x:v>
      </x:c>
      <x:c r="F1735" s="18" t="n">
        <x:v>698.48</x:v>
      </x:c>
    </x:row>
    <x:row r="1736">
      <x:c r="A1736" s="14" t="str">
        <x:v>店长</x:v>
      </x:c>
      <x:c r="B1736" s="15" t="str">
        <x:v>叶娜</x:v>
      </x:c>
      <x:c r="C1736" s="16" t="n">
        <x:v>46133</x:v>
      </x:c>
      <x:c r="D1736" s="17" t="n">
        <x:v>155</x:v>
      </x:c>
      <x:c r="E1736" s="17" t="n">
        <x:v>185</x:v>
      </x:c>
      <x:c r="F1736" s="18" t="n">
        <x:v>6413.44</x:v>
      </x:c>
    </x:row>
    <x:row r="1737">
      <x:c r="A1737" s="14" t="str">
        <x:v>店长</x:v>
      </x:c>
      <x:c r="B1737" s="15" t="str">
        <x:v>叶娜</x:v>
      </x:c>
      <x:c r="C1737" s="16" t="n">
        <x:v>46134</x:v>
      </x:c>
      <x:c r="D1737" s="17" t="n">
        <x:v>54</x:v>
      </x:c>
      <x:c r="E1737" s="17" t="n">
        <x:v>66</x:v>
      </x:c>
      <x:c r="F1737" s="18" t="n">
        <x:v>1853.55</x:v>
      </x:c>
    </x:row>
    <x:row r="1738">
      <x:c r="A1738" s="14" t="str">
        <x:v>店长</x:v>
      </x:c>
      <x:c r="B1738" s="15" t="str">
        <x:v>叶娜</x:v>
      </x:c>
      <x:c r="C1738" s="16" t="n">
        <x:v>46135</x:v>
      </x:c>
      <x:c r="D1738" s="17" t="n">
        <x:v>47</x:v>
      </x:c>
      <x:c r="E1738" s="17" t="n">
        <x:v>53</x:v>
      </x:c>
      <x:c r="F1738" s="18" t="n">
        <x:v>1802.71</x:v>
      </x:c>
    </x:row>
    <x:row r="1739">
      <x:c r="A1739" s="14" t="str">
        <x:v>店长</x:v>
      </x:c>
      <x:c r="B1739" s="15" t="str">
        <x:v>叶娜</x:v>
      </x:c>
      <x:c r="C1739" s="16" t="n">
        <x:v>46136</x:v>
      </x:c>
      <x:c r="D1739" s="17" t="n">
        <x:v>36</x:v>
      </x:c>
      <x:c r="E1739" s="17" t="n">
        <x:v>41</x:v>
      </x:c>
      <x:c r="F1739" s="18" t="n">
        <x:v>1481.96</x:v>
      </x:c>
    </x:row>
    <x:row r="1740">
      <x:c r="A1740" s="14" t="str">
        <x:v>店长</x:v>
      </x:c>
      <x:c r="B1740" s="15" t="str">
        <x:v>叶娜</x:v>
      </x:c>
      <x:c r="C1740" s="16" t="n">
        <x:v>46137</x:v>
      </x:c>
      <x:c r="D1740" s="17" t="n">
        <x:v>32</x:v>
      </x:c>
      <x:c r="E1740" s="17" t="n">
        <x:v>40</x:v>
      </x:c>
      <x:c r="F1740" s="18" t="n">
        <x:v>1377.34</x:v>
      </x:c>
    </x:row>
    <x:row r="1741">
      <x:c r="A1741" s="14" t="str">
        <x:v>店长</x:v>
      </x:c>
      <x:c r="B1741" s="15" t="str">
        <x:v>叶娜</x:v>
      </x:c>
      <x:c r="C1741" s="16" t="n">
        <x:v>46138</x:v>
      </x:c>
      <x:c r="D1741" s="17" t="n">
        <x:v>20</x:v>
      </x:c>
      <x:c r="E1741" s="17" t="n">
        <x:v>23</x:v>
      </x:c>
      <x:c r="F1741" s="18" t="n">
        <x:v>858.94</x:v>
      </x:c>
    </x:row>
    <x:row r="1742">
      <x:c r="A1742" s="14" t="str">
        <x:v>店长</x:v>
      </x:c>
      <x:c r="B1742" s="15" t="str">
        <x:v>叶娜</x:v>
      </x:c>
      <x:c r="C1742" s="16" t="n">
        <x:v>46139</x:v>
      </x:c>
      <x:c r="D1742" s="17" t="n">
        <x:v>35</x:v>
      </x:c>
      <x:c r="E1742" s="17" t="n">
        <x:v>43</x:v>
      </x:c>
      <x:c r="F1742" s="18" t="n">
        <x:v>1597.15</x:v>
      </x:c>
    </x:row>
    <x:row r="1743">
      <x:c r="A1743" s="14" t="str">
        <x:v>店长</x:v>
      </x:c>
      <x:c r="B1743" s="15" t="str">
        <x:v>叶娜</x:v>
      </x:c>
      <x:c r="C1743" s="16" t="n">
        <x:v>46140</x:v>
      </x:c>
      <x:c r="D1743" s="17" t="n">
        <x:v>48</x:v>
      </x:c>
      <x:c r="E1743" s="17" t="n">
        <x:v>57</x:v>
      </x:c>
      <x:c r="F1743" s="18" t="n">
        <x:v>1860.84</x:v>
      </x:c>
    </x:row>
    <x:row r="1744">
      <x:c r="A1744" s="14" t="str">
        <x:v>店长</x:v>
      </x:c>
      <x:c r="B1744" s="15" t="str">
        <x:v>叶娜</x:v>
      </x:c>
      <x:c r="C1744" s="16" t="n">
        <x:v>46141</x:v>
      </x:c>
      <x:c r="D1744" s="17" t="n">
        <x:v>42</x:v>
      </x:c>
      <x:c r="E1744" s="17" t="n">
        <x:v>51</x:v>
      </x:c>
      <x:c r="F1744" s="18" t="n">
        <x:v>1622.12</x:v>
      </x:c>
    </x:row>
    <x:row r="1745">
      <x:c r="A1745" s="14" t="str">
        <x:v>店长</x:v>
      </x:c>
      <x:c r="B1745" s="15" t="str">
        <x:v>叶娜</x:v>
      </x:c>
      <x:c r="C1745" s="16" t="n">
        <x:v>46142</x:v>
      </x:c>
      <x:c r="D1745" s="17" t="n">
        <x:v>41</x:v>
      </x:c>
      <x:c r="E1745" s="17" t="n">
        <x:v>46</x:v>
      </x:c>
      <x:c r="F1745" s="18" t="n">
        <x:v>1935.37</x:v>
      </x:c>
    </x:row>
    <x:row r="1746">
      <x:c r="A1746" s="14" t="str">
        <x:v>店长</x:v>
      </x:c>
      <x:c r="B1746" s="15" t="str">
        <x:v>叶娜</x:v>
      </x:c>
      <x:c r="C1746" s="16" t="n">
        <x:v>46143</x:v>
      </x:c>
      <x:c r="D1746" s="17" t="n">
        <x:v>57</x:v>
      </x:c>
      <x:c r="E1746" s="17" t="n">
        <x:v>73</x:v>
      </x:c>
      <x:c r="F1746" s="18" t="n">
        <x:v>2577.26</x:v>
      </x:c>
    </x:row>
    <x:row r="1747">
      <x:c r="A1747" s="14" t="str">
        <x:v>店长</x:v>
      </x:c>
      <x:c r="B1747" s="15" t="str">
        <x:v>叶娜</x:v>
      </x:c>
      <x:c r="C1747" s="16" t="n">
        <x:v>46144</x:v>
      </x:c>
      <x:c r="D1747" s="17" t="n">
        <x:v>42</x:v>
      </x:c>
      <x:c r="E1747" s="17" t="n">
        <x:v>75</x:v>
      </x:c>
      <x:c r="F1747" s="18" t="n">
        <x:v>1212.87</x:v>
      </x:c>
    </x:row>
    <x:row r="1748">
      <x:c r="A1748" s="14" t="str">
        <x:v>店长</x:v>
      </x:c>
      <x:c r="B1748" s="15" t="str">
        <x:v>叶娜</x:v>
      </x:c>
      <x:c r="C1748" s="16" t="n">
        <x:v>46145</x:v>
      </x:c>
      <x:c r="D1748" s="17" t="n">
        <x:v>89</x:v>
      </x:c>
      <x:c r="E1748" s="17" t="n">
        <x:v>124</x:v>
      </x:c>
      <x:c r="F1748" s="18" t="n">
        <x:v>3590.31</x:v>
      </x:c>
    </x:row>
    <x:row r="1749">
      <x:c r="A1749" s="14" t="str">
        <x:v>店长</x:v>
      </x:c>
      <x:c r="B1749" s="15" t="str">
        <x:v>叶娜</x:v>
      </x:c>
      <x:c r="C1749" s="16" t="n">
        <x:v>46146</x:v>
      </x:c>
      <x:c r="D1749" s="17" t="n">
        <x:v>80</x:v>
      </x:c>
      <x:c r="E1749" s="17" t="n">
        <x:v>115</x:v>
      </x:c>
      <x:c r="F1749" s="18" t="n">
        <x:v>3038.07</x:v>
      </x:c>
    </x:row>
    <x:row r="1750">
      <x:c r="A1750" s="14" t="str">
        <x:v>店长</x:v>
      </x:c>
      <x:c r="B1750" s="15" t="str">
        <x:v>叶娜</x:v>
      </x:c>
      <x:c r="C1750" s="16" t="n">
        <x:v>46147</x:v>
      </x:c>
      <x:c r="D1750" s="17" t="n">
        <x:v>214</x:v>
      </x:c>
      <x:c r="E1750" s="17" t="n">
        <x:v>302</x:v>
      </x:c>
      <x:c r="F1750" s="18" t="n">
        <x:v>9266.33</x:v>
      </x:c>
    </x:row>
    <x:row r="1751">
      <x:c r="A1751" s="14" t="str">
        <x:v>店长</x:v>
      </x:c>
      <x:c r="B1751" s="15" t="str">
        <x:v>叶娜</x:v>
      </x:c>
      <x:c r="C1751" s="16" t="n">
        <x:v>46148</x:v>
      </x:c>
      <x:c r="D1751" s="17" t="n">
        <x:v>153</x:v>
      </x:c>
      <x:c r="E1751" s="17" t="n">
        <x:v>188</x:v>
      </x:c>
      <x:c r="F1751" s="18" t="n">
        <x:v>6298.32</x:v>
      </x:c>
    </x:row>
    <x:row r="1752">
      <x:c r="A1752" s="14" t="str">
        <x:v>店长</x:v>
      </x:c>
      <x:c r="B1752" s="15" t="str">
        <x:v>叶娜</x:v>
      </x:c>
      <x:c r="C1752" s="16" t="n">
        <x:v>46149</x:v>
      </x:c>
      <x:c r="D1752" s="17" t="n">
        <x:v>108</x:v>
      </x:c>
      <x:c r="E1752" s="17" t="n">
        <x:v>142</x:v>
      </x:c>
      <x:c r="F1752" s="18" t="n">
        <x:v>4842.66</x:v>
      </x:c>
    </x:row>
    <x:row r="1753">
      <x:c r="A1753" s="14" t="str">
        <x:v>店长</x:v>
      </x:c>
      <x:c r="B1753" s="15" t="str">
        <x:v>叶娜</x:v>
      </x:c>
      <x:c r="C1753" s="16" t="n">
        <x:v>46150</x:v>
      </x:c>
      <x:c r="D1753" s="17" t="n">
        <x:v>63</x:v>
      </x:c>
      <x:c r="E1753" s="17" t="n">
        <x:v>88</x:v>
      </x:c>
      <x:c r="F1753" s="18" t="n">
        <x:v>2682.12</x:v>
      </x:c>
    </x:row>
    <x:row r="1754">
      <x:c r="A1754" s="14" t="str">
        <x:v>店长</x:v>
      </x:c>
      <x:c r="B1754" s="15" t="str">
        <x:v>叶娜</x:v>
      </x:c>
      <x:c r="C1754" s="16" t="n">
        <x:v>46151</x:v>
      </x:c>
      <x:c r="D1754" s="17" t="n">
        <x:v>53</x:v>
      </x:c>
      <x:c r="E1754" s="17" t="n">
        <x:v>70</x:v>
      </x:c>
      <x:c r="F1754" s="18" t="n">
        <x:v>2214.86</x:v>
      </x:c>
    </x:row>
    <x:row r="1755">
      <x:c r="A1755" s="14" t="str">
        <x:v>店长</x:v>
      </x:c>
      <x:c r="B1755" s="15" t="str">
        <x:v>叶娜</x:v>
      </x:c>
      <x:c r="C1755" s="16" t="n">
        <x:v>46152</x:v>
      </x:c>
      <x:c r="D1755" s="17" t="n">
        <x:v>36</x:v>
      </x:c>
      <x:c r="E1755" s="17" t="n">
        <x:v>46</x:v>
      </x:c>
      <x:c r="F1755" s="18" t="n">
        <x:v>1191.31</x:v>
      </x:c>
    </x:row>
    <x:row r="1756">
      <x:c r="A1756" s="14" t="str">
        <x:v>店长</x:v>
      </x:c>
      <x:c r="B1756" s="15" t="str">
        <x:v>叶娜</x:v>
      </x:c>
      <x:c r="C1756" s="16" t="n">
        <x:v>46153</x:v>
      </x:c>
      <x:c r="D1756" s="17" t="n">
        <x:v>31</x:v>
      </x:c>
      <x:c r="E1756" s="17" t="n">
        <x:v>39</x:v>
      </x:c>
      <x:c r="F1756" s="18" t="n">
        <x:v>1365.12</x:v>
      </x:c>
    </x:row>
    <x:row r="1757">
      <x:c r="A1757" s="14" t="str">
        <x:v>店长</x:v>
      </x:c>
      <x:c r="B1757" s="15" t="str">
        <x:v>叶娜</x:v>
      </x:c>
      <x:c r="C1757" s="16" t="n">
        <x:v>46154</x:v>
      </x:c>
      <x:c r="D1757" s="17" t="n">
        <x:v>25</x:v>
      </x:c>
      <x:c r="E1757" s="17" t="n">
        <x:v>51</x:v>
      </x:c>
      <x:c r="F1757" s="18" t="n">
        <x:v>1090.96</x:v>
      </x:c>
    </x:row>
    <x:row r="1758">
      <x:c r="A1758" s="14" t="str">
        <x:v>店长</x:v>
      </x:c>
      <x:c r="B1758" s="15" t="str">
        <x:v>叶娜</x:v>
      </x:c>
      <x:c r="C1758" s="16" t="n">
        <x:v>46155</x:v>
      </x:c>
      <x:c r="D1758" s="17" t="n">
        <x:v>39</x:v>
      </x:c>
      <x:c r="E1758" s="17" t="n">
        <x:v>58</x:v>
      </x:c>
      <x:c r="F1758" s="18" t="n">
        <x:v>1458.26</x:v>
      </x:c>
    </x:row>
    <x:row r="1759">
      <x:c r="A1759" s="14" t="str">
        <x:v>店长</x:v>
      </x:c>
      <x:c r="B1759" s="15" t="str">
        <x:v>叶娜</x:v>
      </x:c>
      <x:c r="C1759" s="16" t="n">
        <x:v>46156</x:v>
      </x:c>
      <x:c r="D1759" s="17" t="n">
        <x:v>38</x:v>
      </x:c>
      <x:c r="E1759" s="17" t="n">
        <x:v>96</x:v>
      </x:c>
      <x:c r="F1759" s="18" t="n">
        <x:v>2107.09</x:v>
      </x:c>
    </x:row>
    <x:row r="1760">
      <x:c r="A1760" s="14" t="str">
        <x:v>店长</x:v>
      </x:c>
      <x:c r="B1760" s="15" t="str">
        <x:v>叶娜</x:v>
      </x:c>
      <x:c r="C1760" s="16" t="n">
        <x:v>46157</x:v>
      </x:c>
      <x:c r="D1760" s="17" t="n">
        <x:v>29</x:v>
      </x:c>
      <x:c r="E1760" s="17" t="n">
        <x:v>38</x:v>
      </x:c>
      <x:c r="F1760" s="18" t="n">
        <x:v>1291.39</x:v>
      </x:c>
    </x:row>
    <x:row r="1761">
      <x:c r="A1761" s="14" t="str">
        <x:v>店长</x:v>
      </x:c>
      <x:c r="B1761" s="15" t="str">
        <x:v>叶娜</x:v>
      </x:c>
      <x:c r="C1761" s="16" t="n">
        <x:v>46158</x:v>
      </x:c>
      <x:c r="D1761" s="17" t="n">
        <x:v>21</x:v>
      </x:c>
      <x:c r="E1761" s="17" t="n">
        <x:v>27</x:v>
      </x:c>
      <x:c r="F1761" s="18" t="n">
        <x:v>778.39</x:v>
      </x:c>
    </x:row>
    <x:row r="1762">
      <x:c r="A1762" s="14" t="str">
        <x:v>店长</x:v>
      </x:c>
      <x:c r="B1762" s="15" t="str">
        <x:v>叶娜</x:v>
      </x:c>
      <x:c r="C1762" s="16" t="n">
        <x:v>46159</x:v>
      </x:c>
      <x:c r="D1762" s="17" t="n">
        <x:v>15</x:v>
      </x:c>
      <x:c r="E1762" s="17" t="n">
        <x:v>29</x:v>
      </x:c>
      <x:c r="F1762" s="18" t="n">
        <x:v>553.69</x:v>
      </x:c>
    </x:row>
    <x:row r="1763">
      <x:c r="A1763" s="14" t="str">
        <x:v>店长</x:v>
      </x:c>
      <x:c r="B1763" s="15" t="str">
        <x:v>叶娜</x:v>
      </x:c>
      <x:c r="C1763" s="16" t="n">
        <x:v>46160</x:v>
      </x:c>
      <x:c r="D1763" s="17" t="n">
        <x:v>7</x:v>
      </x:c>
      <x:c r="E1763" s="17" t="n">
        <x:v>21</x:v>
      </x:c>
      <x:c r="F1763" s="18" t="n">
        <x:v>110.93</x:v>
      </x:c>
    </x:row>
    <x:row r="1764">
      <x:c r="A1764" s="14" t="str">
        <x:v>店长</x:v>
      </x:c>
      <x:c r="B1764" s="15" t="str">
        <x:v>叶娜</x:v>
      </x:c>
      <x:c r="C1764" s="16" t="n">
        <x:v>46161</x:v>
      </x:c>
      <x:c r="D1764" s="17" t="n">
        <x:v>20</x:v>
      </x:c>
      <x:c r="E1764" s="17" t="n">
        <x:v>25</x:v>
      </x:c>
      <x:c r="F1764" s="18" t="n">
        <x:v>733.97</x:v>
      </x:c>
    </x:row>
    <x:row r="1765">
      <x:c r="A1765" s="14" t="str">
        <x:v>店长</x:v>
      </x:c>
      <x:c r="B1765" s="15" t="str">
        <x:v>叶娜</x:v>
      </x:c>
      <x:c r="C1765" s="16" t="n">
        <x:v>46162</x:v>
      </x:c>
      <x:c r="D1765" s="17" t="n">
        <x:v>16</x:v>
      </x:c>
      <x:c r="E1765" s="17" t="n">
        <x:v>32</x:v>
      </x:c>
      <x:c r="F1765" s="18" t="n">
        <x:v>570.83</x:v>
      </x:c>
    </x:row>
    <x:row r="1766">
      <x:c r="A1766" s="14" t="str">
        <x:v>店长</x:v>
      </x:c>
      <x:c r="B1766" s="15" t="str">
        <x:v>叶娜</x:v>
      </x:c>
      <x:c r="C1766" s="16" t="n">
        <x:v>46163</x:v>
      </x:c>
      <x:c r="D1766" s="17" t="n">
        <x:v>21</x:v>
      </x:c>
      <x:c r="E1766" s="17" t="n">
        <x:v>32</x:v>
      </x:c>
      <x:c r="F1766" s="18" t="n">
        <x:v>702.23</x:v>
      </x:c>
    </x:row>
    <x:row r="1767">
      <x:c r="A1767" s="14" t="str">
        <x:v>店长</x:v>
      </x:c>
      <x:c r="B1767" s="15" t="str">
        <x:v>叶娜</x:v>
      </x:c>
      <x:c r="C1767" s="16" t="n">
        <x:v>46164</x:v>
      </x:c>
      <x:c r="D1767" s="17" t="n">
        <x:v>53</x:v>
      </x:c>
      <x:c r="E1767" s="17" t="n">
        <x:v>55</x:v>
      </x:c>
      <x:c r="F1767" s="18" t="n">
        <x:v>1283.96</x:v>
      </x:c>
    </x:row>
    <x:row r="1768">
      <x:c r="A1768" s="14" t="str">
        <x:v>店长</x:v>
      </x:c>
      <x:c r="B1768" s="15" t="str">
        <x:v>叶娜</x:v>
      </x:c>
      <x:c r="C1768" s="16" t="n">
        <x:v>46165</x:v>
      </x:c>
      <x:c r="D1768" s="17" t="n">
        <x:v>23</x:v>
      </x:c>
      <x:c r="E1768" s="17" t="n">
        <x:v>34</x:v>
      </x:c>
      <x:c r="F1768" s="18" t="n">
        <x:v>1042.2</x:v>
      </x:c>
    </x:row>
    <x:row r="1769">
      <x:c r="A1769" s="14" t="str">
        <x:v>店长</x:v>
      </x:c>
      <x:c r="B1769" s="15" t="str">
        <x:v>叶娜</x:v>
      </x:c>
      <x:c r="C1769" s="16" t="n">
        <x:v>46166</x:v>
      </x:c>
      <x:c r="D1769" s="17" t="n">
        <x:v>21</x:v>
      </x:c>
      <x:c r="E1769" s="17" t="n">
        <x:v>25</x:v>
      </x:c>
      <x:c r="F1769" s="18" t="n">
        <x:v>884.36</x:v>
      </x:c>
    </x:row>
    <x:row r="1770">
      <x:c r="A1770" s="14" t="str">
        <x:v>店长</x:v>
      </x:c>
      <x:c r="B1770" s="15" t="str">
        <x:v>叶娜</x:v>
      </x:c>
      <x:c r="C1770" s="16" t="n">
        <x:v>46167</x:v>
      </x:c>
      <x:c r="D1770" s="17" t="n">
        <x:v>19</x:v>
      </x:c>
      <x:c r="E1770" s="17" t="n">
        <x:v>35</x:v>
      </x:c>
      <x:c r="F1770" s="18" t="n">
        <x:v>648.44</x:v>
      </x:c>
    </x:row>
    <x:row r="1771">
      <x:c r="A1771" s="14" t="str">
        <x:v>店长</x:v>
      </x:c>
      <x:c r="B1771" s="15" t="str">
        <x:v>叶娜</x:v>
      </x:c>
      <x:c r="C1771" s="16" t="n">
        <x:v>46168</x:v>
      </x:c>
      <x:c r="D1771" s="17" t="n">
        <x:v>18</x:v>
      </x:c>
      <x:c r="E1771" s="17" t="n">
        <x:v>27</x:v>
      </x:c>
      <x:c r="F1771" s="18" t="n">
        <x:v>481.58</x:v>
      </x:c>
    </x:row>
    <x:row r="1772">
      <x:c r="A1772" s="14" t="str">
        <x:v>店长</x:v>
      </x:c>
      <x:c r="B1772" s="15" t="str">
        <x:v>叶娜</x:v>
      </x:c>
      <x:c r="C1772" s="16" t="n">
        <x:v>46169</x:v>
      </x:c>
      <x:c r="D1772" s="17" t="n">
        <x:v>19</x:v>
      </x:c>
      <x:c r="E1772" s="17" t="n">
        <x:v>23</x:v>
      </x:c>
      <x:c r="F1772" s="18" t="n">
        <x:v>822.31</x:v>
      </x:c>
    </x:row>
    <x:row r="1773">
      <x:c r="A1773" s="14" t="str">
        <x:v>店长</x:v>
      </x:c>
      <x:c r="B1773" s="15" t="str">
        <x:v>叶娜</x:v>
      </x:c>
      <x:c r="C1773" s="16" t="n">
        <x:v>46170</x:v>
      </x:c>
      <x:c r="D1773" s="17" t="n">
        <x:v>29</x:v>
      </x:c>
      <x:c r="E1773" s="17" t="n">
        <x:v>43</x:v>
      </x:c>
      <x:c r="F1773" s="18" t="n">
        <x:v>1373.61</x:v>
      </x:c>
    </x:row>
    <x:row r="1774">
      <x:c r="A1774" s="14" t="str">
        <x:v>店长</x:v>
      </x:c>
      <x:c r="B1774" s="15" t="str">
        <x:v>叶娜</x:v>
      </x:c>
      <x:c r="C1774" s="16" t="n">
        <x:v>46171</x:v>
      </x:c>
      <x:c r="D1774" s="17" t="n">
        <x:v>17</x:v>
      </x:c>
      <x:c r="E1774" s="17" t="n">
        <x:v>29</x:v>
      </x:c>
      <x:c r="F1774" s="18" t="n">
        <x:v>685.34</x:v>
      </x:c>
    </x:row>
    <x:row r="1775">
      <x:c r="A1775" s="14" t="str">
        <x:v>店长</x:v>
      </x:c>
      <x:c r="B1775" s="15" t="str">
        <x:v>叶娜</x:v>
      </x:c>
      <x:c r="C1775" s="16" t="n">
        <x:v>46172</x:v>
      </x:c>
      <x:c r="D1775" s="17" t="n">
        <x:v>14</x:v>
      </x:c>
      <x:c r="E1775" s="17" t="n">
        <x:v>18</x:v>
      </x:c>
      <x:c r="F1775" s="18" t="n">
        <x:v>481.85</x:v>
      </x:c>
    </x:row>
    <x:row r="1776">
      <x:c r="A1776" s="14" t="str">
        <x:v>店长</x:v>
      </x:c>
      <x:c r="B1776" s="15" t="str">
        <x:v>叶娜</x:v>
      </x:c>
      <x:c r="C1776" s="16" t="n">
        <x:v>46173</x:v>
      </x:c>
      <x:c r="D1776" s="17" t="n">
        <x:v>17</x:v>
      </x:c>
      <x:c r="E1776" s="17" t="n">
        <x:v>23</x:v>
      </x:c>
      <x:c r="F1776" s="18" t="n">
        <x:v>839.57</x:v>
      </x:c>
    </x:row>
    <x:row r="1777">
      <x:c r="A1777" s="14" t="str">
        <x:v>店长</x:v>
      </x:c>
      <x:c r="B1777" s="15" t="str">
        <x:v>叶娜</x:v>
      </x:c>
      <x:c r="C1777" s="16" t="n">
        <x:v>46174</x:v>
      </x:c>
      <x:c r="D1777" s="17" t="n">
        <x:v>24</x:v>
      </x:c>
      <x:c r="E1777" s="17" t="n">
        <x:v>30</x:v>
      </x:c>
      <x:c r="F1777" s="18" t="n">
        <x:v>867.59</x:v>
      </x:c>
    </x:row>
    <x:row r="1778">
      <x:c r="A1778" s="14" t="str">
        <x:v>店长</x:v>
      </x:c>
      <x:c r="B1778" s="15" t="str">
        <x:v>叶娜</x:v>
      </x:c>
      <x:c r="C1778" s="16" t="n">
        <x:v>46175</x:v>
      </x:c>
      <x:c r="D1778" s="17" t="n">
        <x:v>11</x:v>
      </x:c>
      <x:c r="E1778" s="17" t="n">
        <x:v>35</x:v>
      </x:c>
      <x:c r="F1778" s="18" t="n">
        <x:v>1080.34</x:v>
      </x:c>
    </x:row>
    <x:row r="1779">
      <x:c r="A1779" s="14" t="str">
        <x:v>店长</x:v>
      </x:c>
      <x:c r="B1779" s="15" t="str">
        <x:v>叶娜</x:v>
      </x:c>
      <x:c r="C1779" s="16" t="n">
        <x:v>46176</x:v>
      </x:c>
      <x:c r="D1779" s="17" t="n">
        <x:v>50</x:v>
      </x:c>
      <x:c r="E1779" s="17" t="n">
        <x:v>69</x:v>
      </x:c>
      <x:c r="F1779" s="18" t="n">
        <x:v>1961.47</x:v>
      </x:c>
    </x:row>
    <x:row r="1780">
      <x:c r="A1780" s="14" t="str">
        <x:v>店长</x:v>
      </x:c>
      <x:c r="B1780" s="15" t="str">
        <x:v>叶娜</x:v>
      </x:c>
      <x:c r="C1780" s="16" t="n">
        <x:v>46177</x:v>
      </x:c>
      <x:c r="D1780" s="17" t="n">
        <x:v>16</x:v>
      </x:c>
      <x:c r="E1780" s="17" t="n">
        <x:v>32</x:v>
      </x:c>
      <x:c r="F1780" s="18" t="n">
        <x:v>808.78</x:v>
      </x:c>
    </x:row>
    <x:row r="1781">
      <x:c r="A1781" s="14" t="str">
        <x:v>店长</x:v>
      </x:c>
      <x:c r="B1781" s="15" t="str">
        <x:v>叶娜</x:v>
      </x:c>
      <x:c r="C1781" s="16" t="n">
        <x:v>46178</x:v>
      </x:c>
      <x:c r="D1781" s="17" t="n">
        <x:v>35</x:v>
      </x:c>
      <x:c r="E1781" s="17" t="n">
        <x:v>51</x:v>
      </x:c>
      <x:c r="F1781" s="18" t="n">
        <x:v>1590.45</x:v>
      </x:c>
    </x:row>
    <x:row r="1782">
      <x:c r="A1782" s="14" t="str">
        <x:v>店长</x:v>
      </x:c>
      <x:c r="B1782" s="15" t="str">
        <x:v>叶娜</x:v>
      </x:c>
      <x:c r="C1782" s="16" t="n">
        <x:v>46179</x:v>
      </x:c>
      <x:c r="D1782" s="17" t="n">
        <x:v>27</x:v>
      </x:c>
      <x:c r="E1782" s="17" t="n">
        <x:v>36</x:v>
      </x:c>
      <x:c r="F1782" s="18" t="n">
        <x:v>1118.13</x:v>
      </x:c>
    </x:row>
    <x:row r="1783">
      <x:c r="A1783" s="14" t="str">
        <x:v>店长</x:v>
      </x:c>
      <x:c r="B1783" s="15" t="str">
        <x:v>叶娜</x:v>
      </x:c>
      <x:c r="C1783" s="16" t="n">
        <x:v>46180</x:v>
      </x:c>
      <x:c r="D1783" s="17" t="n">
        <x:v>13</x:v>
      </x:c>
      <x:c r="E1783" s="17" t="n">
        <x:v>14</x:v>
      </x:c>
      <x:c r="F1783" s="18" t="n">
        <x:v>614.02</x:v>
      </x:c>
    </x:row>
    <x:row r="1784">
      <x:c r="A1784" s="14" t="str">
        <x:v>店长</x:v>
      </x:c>
      <x:c r="B1784" s="15" t="str">
        <x:v>叶娜</x:v>
      </x:c>
      <x:c r="C1784" s="16" t="n">
        <x:v>46181</x:v>
      </x:c>
      <x:c r="D1784" s="17" t="n">
        <x:v>11</x:v>
      </x:c>
      <x:c r="E1784" s="17" t="n">
        <x:v>11</x:v>
      </x:c>
      <x:c r="F1784" s="18" t="n">
        <x:v>462.56</x:v>
      </x:c>
    </x:row>
    <x:row r="1785">
      <x:c r="A1785" s="14" t="str">
        <x:v>店长</x:v>
      </x:c>
      <x:c r="B1785" s="15" t="str">
        <x:v>叶娜</x:v>
      </x:c>
      <x:c r="C1785" s="16" t="n">
        <x:v>46182</x:v>
      </x:c>
      <x:c r="D1785" s="17" t="n">
        <x:v>30</x:v>
      </x:c>
      <x:c r="E1785" s="17" t="n">
        <x:v>52</x:v>
      </x:c>
      <x:c r="F1785" s="18" t="n">
        <x:v>1779.5</x:v>
      </x:c>
    </x:row>
    <x:row r="1786">
      <x:c r="A1786" s="14" t="str">
        <x:v>店长</x:v>
      </x:c>
      <x:c r="B1786" s="15" t="str">
        <x:v>叶娜</x:v>
      </x:c>
      <x:c r="C1786" s="16" t="n">
        <x:v>46183</x:v>
      </x:c>
      <x:c r="D1786" s="17" t="n">
        <x:v>33</x:v>
      </x:c>
      <x:c r="E1786" s="17" t="n">
        <x:v>40</x:v>
      </x:c>
      <x:c r="F1786" s="18" t="n">
        <x:v>1441.02</x:v>
      </x:c>
    </x:row>
    <x:row r="1787">
      <x:c r="A1787" s="14" t="str">
        <x:v>店长</x:v>
      </x:c>
      <x:c r="B1787" s="15" t="str">
        <x:v>叶娜</x:v>
      </x:c>
      <x:c r="C1787" s="16" t="n">
        <x:v>46184</x:v>
      </x:c>
      <x:c r="D1787" s="17" t="n">
        <x:v>24</x:v>
      </x:c>
      <x:c r="E1787" s="17" t="n">
        <x:v>30</x:v>
      </x:c>
      <x:c r="F1787" s="18" t="n">
        <x:v>1804.5</x:v>
      </x:c>
    </x:row>
    <x:row r="1788">
      <x:c r="A1788" s="14" t="str">
        <x:v>店长</x:v>
      </x:c>
      <x:c r="B1788" s="15" t="str">
        <x:v>叶娜</x:v>
      </x:c>
      <x:c r="C1788" s="16" t="n">
        <x:v>46185</x:v>
      </x:c>
      <x:c r="D1788" s="17" t="n">
        <x:v>16</x:v>
      </x:c>
      <x:c r="E1788" s="17" t="n">
        <x:v>28</x:v>
      </x:c>
      <x:c r="F1788" s="18" t="n">
        <x:v>1325.1</x:v>
      </x:c>
    </x:row>
    <x:row r="1789">
      <x:c r="A1789" s="14" t="str">
        <x:v>店长</x:v>
      </x:c>
      <x:c r="B1789" s="15" t="str">
        <x:v>叶娜</x:v>
      </x:c>
      <x:c r="C1789" s="16" t="n">
        <x:v>46186</x:v>
      </x:c>
      <x:c r="D1789" s="17" t="n">
        <x:v>23</x:v>
      </x:c>
      <x:c r="E1789" s="17" t="n">
        <x:v>34</x:v>
      </x:c>
      <x:c r="F1789" s="18" t="n">
        <x:v>1808.84</x:v>
      </x:c>
    </x:row>
    <x:row r="1790">
      <x:c r="A1790" s="14" t="str">
        <x:v>店长</x:v>
      </x:c>
      <x:c r="B1790" s="15" t="str">
        <x:v>叶娜</x:v>
      </x:c>
      <x:c r="C1790" s="16" t="n">
        <x:v>46187</x:v>
      </x:c>
      <x:c r="D1790" s="17" t="n">
        <x:v>26</x:v>
      </x:c>
      <x:c r="E1790" s="17" t="n">
        <x:v>42</x:v>
      </x:c>
      <x:c r="F1790" s="18" t="n">
        <x:v>1827.25</x:v>
      </x:c>
    </x:row>
    <x:row r="1791">
      <x:c r="A1791" s="14" t="str">
        <x:v>店长</x:v>
      </x:c>
      <x:c r="B1791" s="15" t="str">
        <x:v>叶娜</x:v>
      </x:c>
      <x:c r="C1791" s="16" t="n">
        <x:v>46188</x:v>
      </x:c>
      <x:c r="D1791" s="17" t="n">
        <x:v>12</x:v>
      </x:c>
      <x:c r="E1791" s="17" t="n">
        <x:v>15</x:v>
      </x:c>
      <x:c r="F1791" s="18" t="n">
        <x:v>550.91</x:v>
      </x:c>
    </x:row>
    <x:row r="1792">
      <x:c r="A1792" s="14" t="str">
        <x:v>店长</x:v>
      </x:c>
      <x:c r="B1792" s="15" t="str">
        <x:v>叶娜</x:v>
      </x:c>
      <x:c r="C1792" s="16" t="n">
        <x:v>46189</x:v>
      </x:c>
      <x:c r="D1792" s="17" t="n">
        <x:v>50</x:v>
      </x:c>
      <x:c r="E1792" s="17" t="n">
        <x:v>77</x:v>
      </x:c>
      <x:c r="F1792" s="18" t="n">
        <x:v>3252</x:v>
      </x:c>
    </x:row>
    <x:row r="1793">
      <x:c r="A1793" s="14" t="str">
        <x:v>店长</x:v>
      </x:c>
      <x:c r="B1793" s="15" t="str">
        <x:v>叶娜</x:v>
      </x:c>
      <x:c r="C1793" s="16" t="n">
        <x:v>46190</x:v>
      </x:c>
      <x:c r="D1793" s="17" t="n">
        <x:v>28</x:v>
      </x:c>
      <x:c r="E1793" s="17" t="n">
        <x:v>37</x:v>
      </x:c>
      <x:c r="F1793" s="18" t="n">
        <x:v>1925.34</x:v>
      </x:c>
    </x:row>
    <x:row r="1794">
      <x:c r="A1794" s="14" t="str">
        <x:v>店长</x:v>
      </x:c>
      <x:c r="B1794" s="15" t="str">
        <x:v>叶娜</x:v>
      </x:c>
      <x:c r="C1794" s="16" t="n">
        <x:v>46191</x:v>
      </x:c>
      <x:c r="D1794" s="17" t="n">
        <x:v>32</x:v>
      </x:c>
      <x:c r="E1794" s="17" t="n">
        <x:v>52</x:v>
      </x:c>
      <x:c r="F1794" s="18" t="n">
        <x:v>1862.76</x:v>
      </x:c>
    </x:row>
    <x:row r="1795">
      <x:c r="A1795" s="14" t="str">
        <x:v>店长</x:v>
      </x:c>
      <x:c r="B1795" s="15" t="str">
        <x:v>叶娜</x:v>
      </x:c>
      <x:c r="C1795" s="16" t="n">
        <x:v>46192</x:v>
      </x:c>
      <x:c r="D1795" s="17" t="n">
        <x:v>26</x:v>
      </x:c>
      <x:c r="E1795" s="17" t="n">
        <x:v>30</x:v>
      </x:c>
      <x:c r="F1795" s="18" t="n">
        <x:v>1504.3</x:v>
      </x:c>
    </x:row>
    <x:row r="1796">
      <x:c r="A1796" s="14" t="str">
        <x:v>店长</x:v>
      </x:c>
      <x:c r="B1796" s="15" t="str">
        <x:v>叶娜</x:v>
      </x:c>
      <x:c r="C1796" s="16" t="n">
        <x:v>46193</x:v>
      </x:c>
      <x:c r="D1796" s="17" t="n">
        <x:v>14</x:v>
      </x:c>
      <x:c r="E1796" s="17" t="n">
        <x:v>18</x:v>
      </x:c>
      <x:c r="F1796" s="18" t="n">
        <x:v>724.86</x:v>
      </x:c>
    </x:row>
    <x:row r="1797">
      <x:c r="A1797" s="14" t="str">
        <x:v>店长</x:v>
      </x:c>
      <x:c r="B1797" s="15" t="str">
        <x:v>叶娜</x:v>
      </x:c>
      <x:c r="C1797" s="16" t="n">
        <x:v>46194</x:v>
      </x:c>
      <x:c r="D1797" s="17" t="n">
        <x:v>16</x:v>
      </x:c>
      <x:c r="E1797" s="17" t="n">
        <x:v>29</x:v>
      </x:c>
      <x:c r="F1797" s="18" t="n">
        <x:v>522.17</x:v>
      </x:c>
    </x:row>
    <x:row r="1798">
      <x:c r="A1798" s="14" t="str">
        <x:v>店长</x:v>
      </x:c>
      <x:c r="B1798" s="15" t="str">
        <x:v>叶娜</x:v>
      </x:c>
      <x:c r="C1798" s="16" t="n">
        <x:v>46195</x:v>
      </x:c>
      <x:c r="D1798" s="17" t="n">
        <x:v>7</x:v>
      </x:c>
      <x:c r="E1798" s="17" t="n">
        <x:v>13</x:v>
      </x:c>
      <x:c r="F1798" s="18" t="n">
        <x:v>135.65</x:v>
      </x:c>
    </x:row>
    <x:row r="1799">
      <x:c r="A1799" s="14" t="str">
        <x:v>店长</x:v>
      </x:c>
      <x:c r="B1799" s="15" t="str">
        <x:v>叶娜</x:v>
      </x:c>
      <x:c r="C1799" s="16" t="n">
        <x:v>46196</x:v>
      </x:c>
      <x:c r="D1799" s="17" t="n">
        <x:v>49</x:v>
      </x:c>
      <x:c r="E1799" s="17" t="n">
        <x:v>55</x:v>
      </x:c>
      <x:c r="F1799" s="18" t="n">
        <x:v>2331.21</x:v>
      </x:c>
    </x:row>
    <x:row r="1800">
      <x:c r="A1800" s="14" t="str">
        <x:v>店长</x:v>
      </x:c>
      <x:c r="B1800" s="15" t="str">
        <x:v>叶娜</x:v>
      </x:c>
      <x:c r="C1800" s="16" t="n">
        <x:v>46197</x:v>
      </x:c>
      <x:c r="D1800" s="17" t="n">
        <x:v>27</x:v>
      </x:c>
      <x:c r="E1800" s="17" t="n">
        <x:v>36</x:v>
      </x:c>
      <x:c r="F1800" s="18" t="n">
        <x:v>1341</x:v>
      </x:c>
    </x:row>
    <x:row r="1801">
      <x:c r="A1801" s="14" t="str">
        <x:v>店长</x:v>
      </x:c>
      <x:c r="B1801" s="15" t="str">
        <x:v>叶娜</x:v>
      </x:c>
      <x:c r="C1801" s="16" t="n">
        <x:v>46198</x:v>
      </x:c>
      <x:c r="D1801" s="17" t="n">
        <x:v>27</x:v>
      </x:c>
      <x:c r="E1801" s="17" t="n">
        <x:v>34</x:v>
      </x:c>
      <x:c r="F1801" s="18" t="n">
        <x:v>1027.26</x:v>
      </x:c>
    </x:row>
    <x:row r="1802">
      <x:c r="A1802" s="14" t="str">
        <x:v>店长</x:v>
      </x:c>
      <x:c r="B1802" s="15" t="str">
        <x:v>叶娜</x:v>
      </x:c>
      <x:c r="C1802" s="16" t="n">
        <x:v>46199</x:v>
      </x:c>
      <x:c r="D1802" s="17" t="n">
        <x:v>30</x:v>
      </x:c>
      <x:c r="E1802" s="17" t="n">
        <x:v>37</x:v>
      </x:c>
      <x:c r="F1802" s="18" t="n">
        <x:v>1556.69</x:v>
      </x:c>
    </x:row>
    <x:row r="1803">
      <x:c r="A1803" s="14" t="str">
        <x:v>店长</x:v>
      </x:c>
      <x:c r="B1803" s="15" t="str">
        <x:v>叶娜</x:v>
      </x:c>
      <x:c r="C1803" s="16" t="n">
        <x:v>46200</x:v>
      </x:c>
      <x:c r="D1803" s="17" t="n">
        <x:v>45</x:v>
      </x:c>
      <x:c r="E1803" s="17" t="n">
        <x:v>62</x:v>
      </x:c>
      <x:c r="F1803" s="18" t="n">
        <x:v>1408.59</x:v>
      </x:c>
    </x:row>
    <x:row r="1804">
      <x:c r="A1804" s="14" t="str">
        <x:v>店长</x:v>
      </x:c>
      <x:c r="B1804" s="15" t="str">
        <x:v>叶娜</x:v>
      </x:c>
      <x:c r="C1804" s="16" t="n">
        <x:v>46201</x:v>
      </x:c>
      <x:c r="D1804" s="17" t="n">
        <x:v>31</x:v>
      </x:c>
      <x:c r="E1804" s="17" t="n">
        <x:v>52</x:v>
      </x:c>
      <x:c r="F1804" s="18" t="n">
        <x:v>1515.65</x:v>
      </x:c>
    </x:row>
    <x:row r="1805">
      <x:c r="A1805" s="14" t="str">
        <x:v>店长</x:v>
      </x:c>
      <x:c r="B1805" s="15" t="str">
        <x:v>叶娜</x:v>
      </x:c>
      <x:c r="C1805" s="16" t="n">
        <x:v>46202</x:v>
      </x:c>
      <x:c r="D1805" s="17" t="n">
        <x:v>21</x:v>
      </x:c>
      <x:c r="E1805" s="17" t="n">
        <x:v>32</x:v>
      </x:c>
      <x:c r="F1805" s="18" t="n">
        <x:v>1043.9</x:v>
      </x:c>
    </x:row>
    <x:row r="1806">
      <x:c r="A1806" s="14" t="str">
        <x:v>店长</x:v>
      </x:c>
      <x:c r="B1806" s="15" t="str">
        <x:v>叶娜</x:v>
      </x:c>
      <x:c r="C1806" s="16" t="n">
        <x:v>46203</x:v>
      </x:c>
      <x:c r="D1806" s="17" t="n">
        <x:v>63</x:v>
      </x:c>
      <x:c r="E1806" s="17" t="n">
        <x:v>80</x:v>
      </x:c>
      <x:c r="F1806" s="18" t="n">
        <x:v>4066.11</x:v>
      </x:c>
    </x:row>
    <x:row r="1807">
      <x:c r="A1807" s="14" t="str">
        <x:v>店长</x:v>
      </x:c>
      <x:c r="B1807" s="15" t="str">
        <x:v>叶娜</x:v>
      </x:c>
      <x:c r="C1807" s="16" t="n">
        <x:v>46204</x:v>
      </x:c>
      <x:c r="D1807" s="17" t="n">
        <x:v>43</x:v>
      </x:c>
      <x:c r="E1807" s="17" t="n">
        <x:v>57</x:v>
      </x:c>
      <x:c r="F1807" s="18" t="n">
        <x:v>1898</x:v>
      </x:c>
    </x:row>
    <x:row r="1808">
      <x:c r="A1808" s="14" t="str">
        <x:v>店长</x:v>
      </x:c>
      <x:c r="B1808" s="15" t="str">
        <x:v>叶娜</x:v>
      </x:c>
      <x:c r="C1808" s="16" t="n">
        <x:v>46205</x:v>
      </x:c>
      <x:c r="D1808" s="17" t="n">
        <x:v>39</x:v>
      </x:c>
      <x:c r="E1808" s="17" t="n">
        <x:v>46</x:v>
      </x:c>
      <x:c r="F1808" s="18" t="n">
        <x:v>1323.6</x:v>
      </x:c>
    </x:row>
    <x:row r="1809">
      <x:c r="A1809" s="14" t="str">
        <x:v>店长</x:v>
      </x:c>
      <x:c r="B1809" s="15" t="str">
        <x:v>叶娜</x:v>
      </x:c>
      <x:c r="C1809" s="16" t="n">
        <x:v>46206</x:v>
      </x:c>
      <x:c r="D1809" s="17" t="n">
        <x:v>46</x:v>
      </x:c>
      <x:c r="E1809" s="17" t="n">
        <x:v>71</x:v>
      </x:c>
      <x:c r="F1809" s="18" t="n">
        <x:v>1652.99</x:v>
      </x:c>
    </x:row>
    <x:row r="1810">
      <x:c r="A1810" s="14" t="str">
        <x:v>店长</x:v>
      </x:c>
      <x:c r="B1810" s="15" t="str">
        <x:v>叶娜</x:v>
      </x:c>
      <x:c r="C1810" s="16" t="n">
        <x:v>46207</x:v>
      </x:c>
      <x:c r="D1810" s="17" t="n">
        <x:v>39</x:v>
      </x:c>
      <x:c r="E1810" s="17" t="n">
        <x:v>65</x:v>
      </x:c>
      <x:c r="F1810" s="18" t="n">
        <x:v>1550.92</x:v>
      </x:c>
    </x:row>
    <x:row r="1811">
      <x:c r="A1811" s="14" t="str">
        <x:v>店长</x:v>
      </x:c>
      <x:c r="B1811" s="15" t="str">
        <x:v>叶娜</x:v>
      </x:c>
      <x:c r="C1811" s="16" t="n">
        <x:v>46208</x:v>
      </x:c>
      <x:c r="D1811" s="17" t="n">
        <x:v>45</x:v>
      </x:c>
      <x:c r="E1811" s="17" t="n">
        <x:v>68</x:v>
      </x:c>
      <x:c r="F1811" s="18" t="n">
        <x:v>1860.68</x:v>
      </x:c>
    </x:row>
    <x:row r="1812">
      <x:c r="A1812" s="14" t="str">
        <x:v>店长</x:v>
      </x:c>
      <x:c r="B1812" s="15" t="str">
        <x:v>叶娜</x:v>
      </x:c>
      <x:c r="C1812" s="16" t="n">
        <x:v>46209</x:v>
      </x:c>
      <x:c r="D1812" s="17" t="n">
        <x:v>44</x:v>
      </x:c>
      <x:c r="E1812" s="17" t="n">
        <x:v>57</x:v>
      </x:c>
      <x:c r="F1812" s="18" t="n">
        <x:v>1750.52</x:v>
      </x:c>
    </x:row>
    <x:row r="1813">
      <x:c r="A1813" s="14" t="str">
        <x:v>店长</x:v>
      </x:c>
      <x:c r="B1813" s="15" t="str">
        <x:v>叶娜</x:v>
      </x:c>
      <x:c r="C1813" s="16" t="n">
        <x:v>46210</x:v>
      </x:c>
      <x:c r="D1813" s="17" t="n">
        <x:v>65</x:v>
      </x:c>
      <x:c r="E1813" s="17" t="n">
        <x:v>91</x:v>
      </x:c>
      <x:c r="F1813" s="18" t="n">
        <x:v>2794.43</x:v>
      </x:c>
    </x:row>
    <x:row r="1814">
      <x:c r="A1814" s="14" t="str">
        <x:v>店长</x:v>
      </x:c>
      <x:c r="B1814" s="15" t="str">
        <x:v>叶娜</x:v>
      </x:c>
      <x:c r="C1814" s="16" t="n">
        <x:v>46211</x:v>
      </x:c>
      <x:c r="D1814" s="17" t="n">
        <x:v>30</x:v>
      </x:c>
      <x:c r="E1814" s="17" t="n">
        <x:v>36</x:v>
      </x:c>
      <x:c r="F1814" s="18" t="n">
        <x:v>1302.81</x:v>
      </x:c>
    </x:row>
    <x:row r="1815">
      <x:c r="A1815" s="14" t="str">
        <x:v>店长</x:v>
      </x:c>
      <x:c r="B1815" s="15" t="str">
        <x:v>叶娜</x:v>
      </x:c>
      <x:c r="C1815" s="16" t="n">
        <x:v>46212</x:v>
      </x:c>
      <x:c r="D1815" s="17" t="n">
        <x:v>37</x:v>
      </x:c>
      <x:c r="E1815" s="17" t="n">
        <x:v>47</x:v>
      </x:c>
      <x:c r="F1815" s="18" t="n">
        <x:v>1587.21</x:v>
      </x:c>
    </x:row>
    <x:row r="1816">
      <x:c r="A1816" s="14" t="str">
        <x:v>店长</x:v>
      </x:c>
      <x:c r="B1816" s="15" t="str">
        <x:v>叶娜</x:v>
      </x:c>
      <x:c r="C1816" s="16" t="n">
        <x:v>46213</x:v>
      </x:c>
      <x:c r="D1816" s="17" t="n">
        <x:v>49</x:v>
      </x:c>
      <x:c r="E1816" s="17" t="n">
        <x:v>52</x:v>
      </x:c>
      <x:c r="F1816" s="18" t="n">
        <x:v>1716.26</x:v>
      </x:c>
    </x:row>
    <x:row r="1817">
      <x:c r="A1817" s="14" t="str">
        <x:v>店长</x:v>
      </x:c>
      <x:c r="B1817" s="15" t="str">
        <x:v>叶娜</x:v>
      </x:c>
      <x:c r="C1817" s="16" t="n">
        <x:v>46214</x:v>
      </x:c>
      <x:c r="D1817" s="17" t="n">
        <x:v>22</x:v>
      </x:c>
      <x:c r="E1817" s="17" t="n">
        <x:v>26</x:v>
      </x:c>
      <x:c r="F1817" s="18" t="n">
        <x:v>995.96</x:v>
      </x:c>
    </x:row>
    <x:row r="1818">
      <x:c r="A1818" s="14" t="str">
        <x:v>店长</x:v>
      </x:c>
      <x:c r="B1818" s="15" t="str">
        <x:v>叶娜</x:v>
      </x:c>
      <x:c r="C1818" s="16" t="n">
        <x:v>46215</x:v>
      </x:c>
      <x:c r="D1818" s="17" t="n">
        <x:v>19</x:v>
      </x:c>
      <x:c r="E1818" s="17" t="n">
        <x:v>21</x:v>
      </x:c>
      <x:c r="F1818" s="18" t="n">
        <x:v>850.89</x:v>
      </x:c>
    </x:row>
    <x:row r="1819">
      <x:c r="A1819" s="14" t="str">
        <x:v>店长</x:v>
      </x:c>
      <x:c r="B1819" s="15" t="str">
        <x:v>叶娜</x:v>
      </x:c>
      <x:c r="C1819" s="16" t="n">
        <x:v>46216</x:v>
      </x:c>
      <x:c r="D1819" s="17" t="n">
        <x:v>34</x:v>
      </x:c>
      <x:c r="E1819" s="17" t="n">
        <x:v>39</x:v>
      </x:c>
      <x:c r="F1819" s="18" t="n">
        <x:v>1373.87</x:v>
      </x:c>
    </x:row>
    <x:row r="1820">
      <x:c r="A1820" s="14" t="str">
        <x:v>店长</x:v>
      </x:c>
      <x:c r="B1820" s="15" t="str">
        <x:v>叶娜</x:v>
      </x:c>
      <x:c r="C1820" s="16" t="n">
        <x:v>46217</x:v>
      </x:c>
      <x:c r="D1820" s="17" t="n">
        <x:v>39</x:v>
      </x:c>
      <x:c r="E1820" s="17" t="n">
        <x:v>46</x:v>
      </x:c>
      <x:c r="F1820" s="18" t="n">
        <x:v>1939.02</x:v>
      </x:c>
    </x:row>
    <x:row r="1821">
      <x:c r="A1821" s="14" t="str">
        <x:v>店长</x:v>
      </x:c>
      <x:c r="B1821" s="15" t="str">
        <x:v>叶娜</x:v>
      </x:c>
      <x:c r="C1821" s="16" t="n">
        <x:v>46218</x:v>
      </x:c>
      <x:c r="D1821" s="17" t="n">
        <x:v>38</x:v>
      </x:c>
      <x:c r="E1821" s="17" t="n">
        <x:v>46</x:v>
      </x:c>
      <x:c r="F1821" s="18" t="n">
        <x:v>1628.48</x:v>
      </x:c>
    </x:row>
    <x:row r="1822">
      <x:c r="A1822" s="14" t="str">
        <x:v>店长</x:v>
      </x:c>
      <x:c r="B1822" s="15" t="str">
        <x:v>叶娜</x:v>
      </x:c>
      <x:c r="C1822" s="16" t="n">
        <x:v>46219</x:v>
      </x:c>
      <x:c r="D1822" s="17" t="n">
        <x:v>38</x:v>
      </x:c>
      <x:c r="E1822" s="17" t="n">
        <x:v>52</x:v>
      </x:c>
      <x:c r="F1822" s="18" t="n">
        <x:v>1787.11</x:v>
      </x:c>
    </x:row>
    <x:row r="1823">
      <x:c r="A1823" s="14" t="str">
        <x:v>店长</x:v>
      </x:c>
      <x:c r="B1823" s="15" t="str">
        <x:v>叶娜</x:v>
      </x:c>
      <x:c r="C1823" s="16" t="n">
        <x:v>46220</x:v>
      </x:c>
      <x:c r="D1823" s="17" t="n">
        <x:v>37</x:v>
      </x:c>
      <x:c r="E1823" s="17" t="n">
        <x:v>48</x:v>
      </x:c>
      <x:c r="F1823" s="18" t="n">
        <x:v>1787.14</x:v>
      </x:c>
    </x:row>
    <x:row r="1824">
      <x:c r="A1824" s="14" t="str">
        <x:v>店长</x:v>
      </x:c>
      <x:c r="B1824" s="15" t="str">
        <x:v>叶娜</x:v>
      </x:c>
      <x:c r="C1824" s="16" t="n">
        <x:v>46221</x:v>
      </x:c>
      <x:c r="D1824" s="17" t="n">
        <x:v>23</x:v>
      </x:c>
      <x:c r="E1824" s="17" t="n">
        <x:v>29</x:v>
      </x:c>
      <x:c r="F1824" s="18" t="n">
        <x:v>1092.17</x:v>
      </x:c>
    </x:row>
    <x:row r="1825">
      <x:c r="A1825" s="14" t="str">
        <x:v>店长</x:v>
      </x:c>
      <x:c r="B1825" s="15" t="str">
        <x:v>叶娜</x:v>
      </x:c>
      <x:c r="C1825" s="16" t="n">
        <x:v>46222</x:v>
      </x:c>
      <x:c r="D1825" s="17" t="n">
        <x:v>29</x:v>
      </x:c>
      <x:c r="E1825" s="17" t="n">
        <x:v>35</x:v>
      </x:c>
      <x:c r="F1825" s="18" t="n">
        <x:v>1197.48</x:v>
      </x:c>
    </x:row>
    <x:row r="1826">
      <x:c r="A1826" s="14" t="str">
        <x:v>店长</x:v>
      </x:c>
      <x:c r="B1826" s="15" t="str">
        <x:v>叶娜</x:v>
      </x:c>
      <x:c r="C1826" s="16" t="n">
        <x:v>46223</x:v>
      </x:c>
      <x:c r="D1826" s="17" t="n">
        <x:v>25</x:v>
      </x:c>
      <x:c r="E1826" s="17" t="n">
        <x:v>41</x:v>
      </x:c>
      <x:c r="F1826" s="18" t="n">
        <x:v>1121.59</x:v>
      </x:c>
    </x:row>
    <x:row r="1827">
      <x:c r="A1827" s="14" t="str">
        <x:v>店长</x:v>
      </x:c>
      <x:c r="B1827" s="15" t="str">
        <x:v>叶娜</x:v>
      </x:c>
      <x:c r="C1827" s="16" t="n">
        <x:v>46224</x:v>
      </x:c>
      <x:c r="D1827" s="17" t="n">
        <x:v>40</x:v>
      </x:c>
      <x:c r="E1827" s="17" t="n">
        <x:v>56</x:v>
      </x:c>
      <x:c r="F1827" s="18" t="n">
        <x:v>1849.81</x:v>
      </x:c>
    </x:row>
    <x:row r="1828">
      <x:c r="A1828" s="14" t="str">
        <x:v>店长</x:v>
      </x:c>
      <x:c r="B1828" s="15" t="str">
        <x:v>叶娜</x:v>
      </x:c>
      <x:c r="C1828" s="16" t="n">
        <x:v>46225</x:v>
      </x:c>
      <x:c r="D1828" s="17" t="n">
        <x:v>66</x:v>
      </x:c>
      <x:c r="E1828" s="17" t="n">
        <x:v>97</x:v>
      </x:c>
      <x:c r="F1828" s="18" t="n">
        <x:v>3467.1</x:v>
      </x:c>
    </x:row>
    <x:row r="1829">
      <x:c r="A1829" s="14" t="str">
        <x:v>店长</x:v>
      </x:c>
      <x:c r="B1829" s="15" t="str">
        <x:v>叶娜</x:v>
      </x:c>
      <x:c r="C1829" s="16" t="n">
        <x:v>46226</x:v>
      </x:c>
      <x:c r="D1829" s="17" t="n">
        <x:v>41</x:v>
      </x:c>
      <x:c r="E1829" s="17" t="n">
        <x:v>56</x:v>
      </x:c>
      <x:c r="F1829" s="18" t="n">
        <x:v>1650.26</x:v>
      </x:c>
    </x:row>
    <x:row r="1830">
      <x:c r="A1830" s="14" t="str">
        <x:v>店长</x:v>
      </x:c>
      <x:c r="B1830" s="15" t="str">
        <x:v>叶娜</x:v>
      </x:c>
      <x:c r="C1830" s="16" t="n">
        <x:v>46227</x:v>
      </x:c>
      <x:c r="D1830" s="17" t="n">
        <x:v>49</x:v>
      </x:c>
      <x:c r="E1830" s="17" t="n">
        <x:v>69</x:v>
      </x:c>
      <x:c r="F1830" s="18" t="n">
        <x:v>1751.14</x:v>
      </x:c>
    </x:row>
    <x:row r="1831">
      <x:c r="A1831" s="14" t="str">
        <x:v>店长</x:v>
      </x:c>
      <x:c r="B1831" s="15" t="str">
        <x:v>叶娜</x:v>
      </x:c>
      <x:c r="C1831" s="16" t="n">
        <x:v>46228</x:v>
      </x:c>
      <x:c r="D1831" s="17" t="n">
        <x:v>35</x:v>
      </x:c>
      <x:c r="E1831" s="17" t="n">
        <x:v>40</x:v>
      </x:c>
      <x:c r="F1831" s="18" t="n">
        <x:v>1575.94</x:v>
      </x:c>
    </x:row>
    <x:row r="1832">
      <x:c r="A1832" s="14" t="str">
        <x:v>店长</x:v>
      </x:c>
      <x:c r="B1832" s="15" t="str">
        <x:v>叶娜</x:v>
      </x:c>
      <x:c r="C1832" s="16" t="n">
        <x:v>46229</x:v>
      </x:c>
      <x:c r="D1832" s="17" t="n">
        <x:v>36</x:v>
      </x:c>
      <x:c r="E1832" s="17" t="n">
        <x:v>47</x:v>
      </x:c>
      <x:c r="F1832" s="18" t="n">
        <x:v>1514.98</x:v>
      </x:c>
    </x:row>
    <x:row r="1833">
      <x:c r="A1833" s="14" t="str">
        <x:v>店长</x:v>
      </x:c>
      <x:c r="B1833" s="15" t="str">
        <x:v>叶娜</x:v>
      </x:c>
      <x:c r="C1833" s="16" t="n">
        <x:v>46230</x:v>
      </x:c>
      <x:c r="D1833" s="17" t="n">
        <x:v>27</x:v>
      </x:c>
      <x:c r="E1833" s="17" t="n">
        <x:v>42</x:v>
      </x:c>
      <x:c r="F1833" s="18" t="n">
        <x:v>1210.41</x:v>
      </x:c>
    </x:row>
    <x:row r="1834">
      <x:c r="A1834" s="14" t="str">
        <x:v>店长</x:v>
      </x:c>
      <x:c r="B1834" s="15" t="str">
        <x:v>叶娜</x:v>
      </x:c>
      <x:c r="C1834" s="16" t="n">
        <x:v>46231</x:v>
      </x:c>
      <x:c r="D1834" s="17" t="n">
        <x:v>52</x:v>
      </x:c>
      <x:c r="E1834" s="17" t="n">
        <x:v>61</x:v>
      </x:c>
      <x:c r="F1834" s="18" t="n">
        <x:v>2471.46</x:v>
      </x:c>
    </x:row>
    <x:row r="1835">
      <x:c r="A1835" s="14" t="str">
        <x:v>店长</x:v>
      </x:c>
      <x:c r="B1835" s="15" t="str">
        <x:v>叶娜</x:v>
      </x:c>
      <x:c r="C1835" s="16" t="n">
        <x:v>46232</x:v>
      </x:c>
      <x:c r="D1835" s="17" t="n">
        <x:v>36</x:v>
      </x:c>
      <x:c r="E1835" s="17" t="n">
        <x:v>45</x:v>
      </x:c>
      <x:c r="F1835" s="18" t="n">
        <x:v>1744.02</x:v>
      </x:c>
    </x:row>
    <x:row r="1836">
      <x:c r="A1836" s="14" t="str">
        <x:v>店长</x:v>
      </x:c>
      <x:c r="B1836" s="15" t="str">
        <x:v>叶娜</x:v>
      </x:c>
      <x:c r="C1836" s="16" t="n">
        <x:v>46233</x:v>
      </x:c>
      <x:c r="D1836" s="17" t="n">
        <x:v>50</x:v>
      </x:c>
      <x:c r="E1836" s="17" t="n">
        <x:v>80</x:v>
      </x:c>
      <x:c r="F1836" s="18" t="n">
        <x:v>2336.91</x:v>
      </x:c>
    </x:row>
    <x:row r="1837">
      <x:c r="A1837" s="14" t="str">
        <x:v>店长</x:v>
      </x:c>
      <x:c r="B1837" s="15" t="str">
        <x:v>叶娜</x:v>
      </x:c>
      <x:c r="C1837" s="16" t="n">
        <x:v>46234</x:v>
      </x:c>
      <x:c r="D1837" s="17" t="n">
        <x:v>38</x:v>
      </x:c>
      <x:c r="E1837" s="17" t="n">
        <x:v>54</x:v>
      </x:c>
      <x:c r="F1837" s="18" t="n">
        <x:v>1737.8</x:v>
      </x:c>
    </x:row>
    <x:row r="1838">
      <x:c r="A1838" s="14" t="str">
        <x:v>店长</x:v>
      </x:c>
      <x:c r="B1838" s="15" t="str">
        <x:v>叶娜</x:v>
      </x:c>
      <x:c r="C1838" s="16" t="n">
        <x:v>46235</x:v>
      </x:c>
      <x:c r="D1838" s="17" t="n">
        <x:v>53</x:v>
      </x:c>
      <x:c r="E1838" s="17" t="n">
        <x:v>64</x:v>
      </x:c>
      <x:c r="F1838" s="18" t="n">
        <x:v>2324.3</x:v>
      </x:c>
    </x:row>
    <x:row r="1839">
      <x:c r="A1839" s="14" t="str">
        <x:v>店长</x:v>
      </x:c>
      <x:c r="B1839" s="15" t="str">
        <x:v>叶娜</x:v>
      </x:c>
      <x:c r="C1839" s="16" t="n">
        <x:v>46236</x:v>
      </x:c>
      <x:c r="D1839" s="17" t="n">
        <x:v>22</x:v>
      </x:c>
      <x:c r="E1839" s="17" t="n">
        <x:v>26</x:v>
      </x:c>
      <x:c r="F1839" s="18" t="n">
        <x:v>882.64</x:v>
      </x:c>
    </x:row>
    <x:row r="1840">
      <x:c r="A1840" s="14" t="str">
        <x:v>店长</x:v>
      </x:c>
      <x:c r="B1840" s="15" t="str">
        <x:v>叶娜</x:v>
      </x:c>
      <x:c r="C1840" s="16" t="n">
        <x:v>46237</x:v>
      </x:c>
      <x:c r="D1840" s="17" t="n">
        <x:v>13</x:v>
      </x:c>
      <x:c r="E1840" s="17" t="n">
        <x:v>20</x:v>
      </x:c>
      <x:c r="F1840" s="18" t="n">
        <x:v>716.37</x:v>
      </x:c>
    </x:row>
    <x:row r="1841">
      <x:c r="A1841" s="14" t="str">
        <x:v>店长</x:v>
      </x:c>
      <x:c r="B1841" s="15" t="str">
        <x:v>叶娜</x:v>
      </x:c>
      <x:c r="C1841" s="16" t="n">
        <x:v>46238</x:v>
      </x:c>
      <x:c r="D1841" s="17" t="n">
        <x:v>58</x:v>
      </x:c>
      <x:c r="E1841" s="17" t="n">
        <x:v>75</x:v>
      </x:c>
      <x:c r="F1841" s="18" t="n">
        <x:v>2712.6</x:v>
      </x:c>
    </x:row>
    <x:row r="1842">
      <x:c r="A1842" s="14" t="str">
        <x:v>店长</x:v>
      </x:c>
      <x:c r="B1842" s="15" t="str">
        <x:v>叶娜</x:v>
      </x:c>
      <x:c r="C1842" s="16" t="n">
        <x:v>46239</x:v>
      </x:c>
      <x:c r="D1842" s="17" t="n">
        <x:v>25</x:v>
      </x:c>
      <x:c r="E1842" s="17" t="n">
        <x:v>30</x:v>
      </x:c>
      <x:c r="F1842" s="18" t="n">
        <x:v>1170.78</x:v>
      </x:c>
    </x:row>
    <x:row r="1843">
      <x:c r="A1843" s="14" t="str">
        <x:v>店长</x:v>
      </x:c>
      <x:c r="B1843" s="15" t="str">
        <x:v>叶娜</x:v>
      </x:c>
      <x:c r="C1843" s="16" t="n">
        <x:v>46240</x:v>
      </x:c>
      <x:c r="D1843" s="17" t="n">
        <x:v>29</x:v>
      </x:c>
      <x:c r="E1843" s="17" t="n">
        <x:v>34</x:v>
      </x:c>
      <x:c r="F1843" s="18" t="n">
        <x:v>1650.42</x:v>
      </x:c>
    </x:row>
    <x:row r="1844">
      <x:c r="A1844" s="14" t="str">
        <x:v>店长</x:v>
      </x:c>
      <x:c r="B1844" s="15" t="str">
        <x:v>叶娜</x:v>
      </x:c>
      <x:c r="C1844" s="16" t="n">
        <x:v>46241</x:v>
      </x:c>
      <x:c r="D1844" s="17" t="n">
        <x:v>20</x:v>
      </x:c>
      <x:c r="E1844" s="17" t="n">
        <x:v>24</x:v>
      </x:c>
      <x:c r="F1844" s="18" t="n">
        <x:v>958.49</x:v>
      </x:c>
    </x:row>
    <x:row r="1845">
      <x:c r="A1845" s="14" t="str">
        <x:v>店长</x:v>
      </x:c>
      <x:c r="B1845" s="15" t="str">
        <x:v>叶娜</x:v>
      </x:c>
      <x:c r="C1845" s="16" t="n">
        <x:v>46242</x:v>
      </x:c>
      <x:c r="D1845" s="17" t="n">
        <x:v>31</x:v>
      </x:c>
      <x:c r="E1845" s="17" t="n">
        <x:v>46</x:v>
      </x:c>
      <x:c r="F1845" s="18" t="n">
        <x:v>1593.2</x:v>
      </x:c>
    </x:row>
    <x:row r="1846">
      <x:c r="A1846" s="14" t="str">
        <x:v>店长</x:v>
      </x:c>
      <x:c r="B1846" s="15" t="str">
        <x:v>叶娜</x:v>
      </x:c>
      <x:c r="C1846" s="16" t="n">
        <x:v>46243</x:v>
      </x:c>
      <x:c r="D1846" s="17" t="n">
        <x:v>24</x:v>
      </x:c>
      <x:c r="E1846" s="17" t="n">
        <x:v>28</x:v>
      </x:c>
      <x:c r="F1846" s="18" t="n">
        <x:v>1027.29</x:v>
      </x:c>
    </x:row>
    <x:row r="1847">
      <x:c r="A1847" s="14" t="str">
        <x:v>店长</x:v>
      </x:c>
      <x:c r="B1847" s="15" t="str">
        <x:v>叶娜</x:v>
      </x:c>
      <x:c r="C1847" s="16" t="n">
        <x:v>46244</x:v>
      </x:c>
      <x:c r="D1847" s="17" t="n">
        <x:v>18</x:v>
      </x:c>
      <x:c r="E1847" s="17" t="n">
        <x:v>32</x:v>
      </x:c>
      <x:c r="F1847" s="18" t="n">
        <x:v>914.45</x:v>
      </x:c>
    </x:row>
    <x:row r="1848">
      <x:c r="A1848" s="14" t="str">
        <x:v>店长</x:v>
      </x:c>
      <x:c r="B1848" s="15" t="str">
        <x:v>叶娜</x:v>
      </x:c>
      <x:c r="C1848" s="16" t="n">
        <x:v>46245</x:v>
      </x:c>
      <x:c r="D1848" s="17" t="n">
        <x:v>39</x:v>
      </x:c>
      <x:c r="E1848" s="17" t="n">
        <x:v>46</x:v>
      </x:c>
      <x:c r="F1848" s="18" t="n">
        <x:v>1633.44</x:v>
      </x:c>
    </x:row>
    <x:row r="1849">
      <x:c r="A1849" s="14" t="str">
        <x:v>店长</x:v>
      </x:c>
      <x:c r="B1849" s="15" t="str">
        <x:v>叶娜</x:v>
      </x:c>
      <x:c r="C1849" s="16" t="n">
        <x:v>46246</x:v>
      </x:c>
      <x:c r="D1849" s="17" t="n">
        <x:v>30</x:v>
      </x:c>
      <x:c r="E1849" s="17" t="n">
        <x:v>34</x:v>
      </x:c>
      <x:c r="F1849" s="18" t="n">
        <x:v>1489.28</x:v>
      </x:c>
    </x:row>
    <x:row r="1850">
      <x:c r="A1850" s="14" t="str">
        <x:v>店长</x:v>
      </x:c>
      <x:c r="B1850" s="15" t="str">
        <x:v>叶娜</x:v>
      </x:c>
      <x:c r="C1850" s="16" t="n">
        <x:v>46247</x:v>
      </x:c>
      <x:c r="D1850" s="17" t="n">
        <x:v>28</x:v>
      </x:c>
      <x:c r="E1850" s="17" t="n">
        <x:v>38</x:v>
      </x:c>
      <x:c r="F1850" s="18" t="n">
        <x:v>1595.26</x:v>
      </x:c>
    </x:row>
    <x:row r="1851">
      <x:c r="A1851" s="14" t="str">
        <x:v>店长</x:v>
      </x:c>
      <x:c r="B1851" s="15" t="str">
        <x:v>叶娜</x:v>
      </x:c>
      <x:c r="C1851" s="16" t="n">
        <x:v>46248</x:v>
      </x:c>
      <x:c r="D1851" s="17" t="n">
        <x:v>29</x:v>
      </x:c>
      <x:c r="E1851" s="17" t="n">
        <x:v>39</x:v>
      </x:c>
      <x:c r="F1851" s="18" t="n">
        <x:v>1680.56</x:v>
      </x:c>
    </x:row>
    <x:row r="1852">
      <x:c r="A1852" s="14" t="str">
        <x:v>店长</x:v>
      </x:c>
      <x:c r="B1852" s="15" t="str">
        <x:v>叶娜</x:v>
      </x:c>
      <x:c r="C1852" s="16" t="n">
        <x:v>46249</x:v>
      </x:c>
      <x:c r="D1852" s="17" t="n">
        <x:v>31</x:v>
      </x:c>
      <x:c r="E1852" s="17" t="n">
        <x:v>46</x:v>
      </x:c>
      <x:c r="F1852" s="18" t="n">
        <x:v>1990.21</x:v>
      </x:c>
    </x:row>
    <x:row r="1853">
      <x:c r="A1853" s="14" t="str">
        <x:v>店长</x:v>
      </x:c>
      <x:c r="B1853" s="15" t="str">
        <x:v>叶娜</x:v>
      </x:c>
      <x:c r="C1853" s="16" t="n">
        <x:v>46250</x:v>
      </x:c>
      <x:c r="D1853" s="17" t="n">
        <x:v>23</x:v>
      </x:c>
      <x:c r="E1853" s="17" t="n">
        <x:v>25</x:v>
      </x:c>
      <x:c r="F1853" s="18" t="n">
        <x:v>1416.38</x:v>
      </x:c>
    </x:row>
    <x:row r="1854">
      <x:c r="A1854" s="14" t="str">
        <x:v>店长</x:v>
      </x:c>
      <x:c r="B1854" s="15" t="str">
        <x:v>叶娜</x:v>
      </x:c>
      <x:c r="C1854" s="16" t="n">
        <x:v>46251</x:v>
      </x:c>
      <x:c r="D1854" s="17" t="n">
        <x:v>13</x:v>
      </x:c>
      <x:c r="E1854" s="17" t="n">
        <x:v>20</x:v>
      </x:c>
      <x:c r="F1854" s="18" t="n">
        <x:v>844.28</x:v>
      </x:c>
    </x:row>
    <x:row r="1855">
      <x:c r="A1855" s="14" t="str">
        <x:v>店长</x:v>
      </x:c>
      <x:c r="B1855" s="15" t="str">
        <x:v>叶娜</x:v>
      </x:c>
      <x:c r="C1855" s="16" t="n">
        <x:v>46252</x:v>
      </x:c>
      <x:c r="D1855" s="17" t="n">
        <x:v>60</x:v>
      </x:c>
      <x:c r="E1855" s="17" t="n">
        <x:v>78</x:v>
      </x:c>
      <x:c r="F1855" s="18" t="n">
        <x:v>3251.33</x:v>
      </x:c>
    </x:row>
    <x:row r="1856">
      <x:c r="A1856" s="14" t="str">
        <x:v>店长</x:v>
      </x:c>
      <x:c r="B1856" s="15" t="str">
        <x:v>叶娜</x:v>
      </x:c>
      <x:c r="C1856" s="16" t="n">
        <x:v>46253</x:v>
      </x:c>
      <x:c r="D1856" s="17" t="n">
        <x:v>43</x:v>
      </x:c>
      <x:c r="E1856" s="17" t="n">
        <x:v>65</x:v>
      </x:c>
      <x:c r="F1856" s="18" t="n">
        <x:v>2066.1</x:v>
      </x:c>
    </x:row>
    <x:row r="1857">
      <x:c r="A1857" s="14" t="str">
        <x:v>店长</x:v>
      </x:c>
      <x:c r="B1857" s="15" t="str">
        <x:v>叶娜</x:v>
      </x:c>
      <x:c r="C1857" s="16" t="n">
        <x:v>46254</x:v>
      </x:c>
      <x:c r="D1857" s="17" t="n">
        <x:v>30</x:v>
      </x:c>
      <x:c r="E1857" s="17" t="n">
        <x:v>43</x:v>
      </x:c>
      <x:c r="F1857" s="18" t="n">
        <x:v>1471.01</x:v>
      </x:c>
    </x:row>
    <x:row r="1858">
      <x:c r="A1858" s="14" t="str">
        <x:v>店长</x:v>
      </x:c>
      <x:c r="B1858" s="15" t="str">
        <x:v>徐跃男</x:v>
      </x:c>
      <x:c r="C1858" s="16" t="n">
        <x:v>46023</x:v>
      </x:c>
      <x:c r="D1858" s="17" t="n">
        <x:v>4</x:v>
      </x:c>
      <x:c r="E1858" s="17" t="n">
        <x:v>8</x:v>
      </x:c>
      <x:c r="F1858" s="18" t="n">
        <x:v>572.33</x:v>
      </x:c>
    </x:row>
    <x:row r="1859">
      <x:c r="A1859" s="14" t="str">
        <x:v>店长</x:v>
      </x:c>
      <x:c r="B1859" s="15" t="str">
        <x:v>徐跃男</x:v>
      </x:c>
      <x:c r="C1859" s="16" t="n">
        <x:v>46024</x:v>
      </x:c>
      <x:c r="D1859" s="17" t="n">
        <x:v>3</x:v>
      </x:c>
      <x:c r="E1859" s="17" t="n">
        <x:v>7</x:v>
      </x:c>
      <x:c r="F1859" s="18" t="n">
        <x:v>548.78</x:v>
      </x:c>
    </x:row>
    <x:row r="1860">
      <x:c r="A1860" s="14" t="str">
        <x:v>店长</x:v>
      </x:c>
      <x:c r="B1860" s="15" t="str">
        <x:v>徐跃男</x:v>
      </x:c>
      <x:c r="C1860" s="16" t="n">
        <x:v>46025</x:v>
      </x:c>
      <x:c r="D1860" s="17" t="n">
        <x:v>36</x:v>
      </x:c>
      <x:c r="E1860" s="17" t="n">
        <x:v>51</x:v>
      </x:c>
      <x:c r="F1860" s="18" t="n">
        <x:v>3669.69</x:v>
      </x:c>
    </x:row>
    <x:row r="1861">
      <x:c r="A1861" s="14" t="str">
        <x:v>店长</x:v>
      </x:c>
      <x:c r="B1861" s="15" t="str">
        <x:v>徐跃男</x:v>
      </x:c>
      <x:c r="C1861" s="16" t="n">
        <x:v>46026</x:v>
      </x:c>
      <x:c r="D1861" s="17" t="n">
        <x:v>21</x:v>
      </x:c>
      <x:c r="E1861" s="17" t="n">
        <x:v>26</x:v>
      </x:c>
      <x:c r="F1861" s="18" t="n">
        <x:v>1837.68</x:v>
      </x:c>
    </x:row>
    <x:row r="1862">
      <x:c r="A1862" s="14" t="str">
        <x:v>店长</x:v>
      </x:c>
      <x:c r="B1862" s="15" t="str">
        <x:v>徐跃男</x:v>
      </x:c>
      <x:c r="C1862" s="16" t="n">
        <x:v>46027</x:v>
      </x:c>
      <x:c r="D1862" s="17" t="n">
        <x:v>22</x:v>
      </x:c>
      <x:c r="E1862" s="17" t="n">
        <x:v>32</x:v>
      </x:c>
      <x:c r="F1862" s="18" t="n">
        <x:v>2311</x:v>
      </x:c>
    </x:row>
    <x:row r="1863">
      <x:c r="A1863" s="14" t="str">
        <x:v>店长</x:v>
      </x:c>
      <x:c r="B1863" s="15" t="str">
        <x:v>徐跃男</x:v>
      </x:c>
      <x:c r="C1863" s="16" t="n">
        <x:v>46028</x:v>
      </x:c>
      <x:c r="D1863" s="17" t="n">
        <x:v>32</x:v>
      </x:c>
      <x:c r="E1863" s="17" t="n">
        <x:v>53</x:v>
      </x:c>
      <x:c r="F1863" s="18" t="n">
        <x:v>3670.42</x:v>
      </x:c>
    </x:row>
    <x:row r="1864">
      <x:c r="A1864" s="14" t="str">
        <x:v>店长</x:v>
      </x:c>
      <x:c r="B1864" s="15" t="str">
        <x:v>徐跃男</x:v>
      </x:c>
      <x:c r="C1864" s="16" t="n">
        <x:v>46029</x:v>
      </x:c>
      <x:c r="D1864" s="17" t="n">
        <x:v>18</x:v>
      </x:c>
      <x:c r="E1864" s="17" t="n">
        <x:v>25</x:v>
      </x:c>
      <x:c r="F1864" s="18" t="n">
        <x:v>1786.83</x:v>
      </x:c>
    </x:row>
    <x:row r="1865">
      <x:c r="A1865" s="14" t="str">
        <x:v>店长</x:v>
      </x:c>
      <x:c r="B1865" s="15" t="str">
        <x:v>徐跃男</x:v>
      </x:c>
      <x:c r="C1865" s="16" t="n">
        <x:v>46030</x:v>
      </x:c>
      <x:c r="D1865" s="17" t="n">
        <x:v>37</x:v>
      </x:c>
      <x:c r="E1865" s="17" t="n">
        <x:v>40</x:v>
      </x:c>
      <x:c r="F1865" s="18" t="n">
        <x:v>1700.52</x:v>
      </x:c>
    </x:row>
    <x:row r="1866">
      <x:c r="A1866" s="14" t="str">
        <x:v>店长</x:v>
      </x:c>
      <x:c r="B1866" s="15" t="str">
        <x:v>徐跃男</x:v>
      </x:c>
      <x:c r="C1866" s="16" t="n">
        <x:v>46031</x:v>
      </x:c>
      <x:c r="D1866" s="17" t="n">
        <x:v>23</x:v>
      </x:c>
      <x:c r="E1866" s="17" t="n">
        <x:v>31</x:v>
      </x:c>
      <x:c r="F1866" s="18" t="n">
        <x:v>1974.35</x:v>
      </x:c>
    </x:row>
    <x:row r="1867">
      <x:c r="A1867" s="14" t="str">
        <x:v>店长</x:v>
      </x:c>
      <x:c r="B1867" s="15" t="str">
        <x:v>徐跃男</x:v>
      </x:c>
      <x:c r="C1867" s="16" t="n">
        <x:v>46032</x:v>
      </x:c>
      <x:c r="D1867" s="17" t="n">
        <x:v>29</x:v>
      </x:c>
      <x:c r="E1867" s="17" t="n">
        <x:v>40</x:v>
      </x:c>
      <x:c r="F1867" s="18" t="n">
        <x:v>2836.55</x:v>
      </x:c>
    </x:row>
    <x:row r="1868">
      <x:c r="A1868" s="14" t="str">
        <x:v>店长</x:v>
      </x:c>
      <x:c r="B1868" s="15" t="str">
        <x:v>徐跃男</x:v>
      </x:c>
      <x:c r="C1868" s="16" t="n">
        <x:v>46033</x:v>
      </x:c>
      <x:c r="D1868" s="17" t="n">
        <x:v>26</x:v>
      </x:c>
      <x:c r="E1868" s="17" t="n">
        <x:v>29</x:v>
      </x:c>
      <x:c r="F1868" s="18" t="n">
        <x:v>2542.73</x:v>
      </x:c>
    </x:row>
    <x:row r="1869">
      <x:c r="A1869" s="14" t="str">
        <x:v>店长</x:v>
      </x:c>
      <x:c r="B1869" s="15" t="str">
        <x:v>徐跃男</x:v>
      </x:c>
      <x:c r="C1869" s="16" t="n">
        <x:v>46034</x:v>
      </x:c>
      <x:c r="D1869" s="17" t="n">
        <x:v>19</x:v>
      </x:c>
      <x:c r="E1869" s="17" t="n">
        <x:v>21</x:v>
      </x:c>
      <x:c r="F1869" s="18" t="n">
        <x:v>1609.43</x:v>
      </x:c>
    </x:row>
    <x:row r="1870">
      <x:c r="A1870" s="14" t="str">
        <x:v>店长</x:v>
      </x:c>
      <x:c r="B1870" s="15" t="str">
        <x:v>徐跃男</x:v>
      </x:c>
      <x:c r="C1870" s="16" t="n">
        <x:v>46035</x:v>
      </x:c>
      <x:c r="D1870" s="17" t="n">
        <x:v>27</x:v>
      </x:c>
      <x:c r="E1870" s="17" t="n">
        <x:v>38</x:v>
      </x:c>
      <x:c r="F1870" s="18" t="n">
        <x:v>2569.37</x:v>
      </x:c>
    </x:row>
    <x:row r="1871">
      <x:c r="A1871" s="14" t="str">
        <x:v>店长</x:v>
      </x:c>
      <x:c r="B1871" s="15" t="str">
        <x:v>徐跃男</x:v>
      </x:c>
      <x:c r="C1871" s="16" t="n">
        <x:v>46036</x:v>
      </x:c>
      <x:c r="D1871" s="17" t="n">
        <x:v>23</x:v>
      </x:c>
      <x:c r="E1871" s="17" t="n">
        <x:v>30</x:v>
      </x:c>
      <x:c r="F1871" s="18" t="n">
        <x:v>1974.37</x:v>
      </x:c>
    </x:row>
    <x:row r="1872">
      <x:c r="A1872" s="14" t="str">
        <x:v>店长</x:v>
      </x:c>
      <x:c r="B1872" s="15" t="str">
        <x:v>徐跃男</x:v>
      </x:c>
      <x:c r="C1872" s="16" t="n">
        <x:v>46037</x:v>
      </x:c>
      <x:c r="D1872" s="17" t="n">
        <x:v>17</x:v>
      </x:c>
      <x:c r="E1872" s="17" t="n">
        <x:v>20</x:v>
      </x:c>
      <x:c r="F1872" s="18" t="n">
        <x:v>1648.88</x:v>
      </x:c>
    </x:row>
    <x:row r="1873">
      <x:c r="A1873" s="14" t="str">
        <x:v>店长</x:v>
      </x:c>
      <x:c r="B1873" s="15" t="str">
        <x:v>徐跃男</x:v>
      </x:c>
      <x:c r="C1873" s="16" t="n">
        <x:v>46038</x:v>
      </x:c>
      <x:c r="D1873" s="17" t="n">
        <x:v>2</x:v>
      </x:c>
      <x:c r="E1873" s="17" t="n">
        <x:v>2</x:v>
      </x:c>
      <x:c r="F1873" s="18" t="n">
        <x:v>49.98</x:v>
      </x:c>
    </x:row>
    <x:row r="1874">
      <x:c r="A1874" s="14" t="str">
        <x:v>店长</x:v>
      </x:c>
      <x:c r="B1874" s="15" t="str">
        <x:v>徐跃男</x:v>
      </x:c>
      <x:c r="C1874" s="16" t="n">
        <x:v>46039</x:v>
      </x:c>
      <x:c r="D1874" s="17" t="n">
        <x:v>2</x:v>
      </x:c>
      <x:c r="E1874" s="17" t="n">
        <x:v>2</x:v>
      </x:c>
      <x:c r="F1874" s="18" t="n">
        <x:v>186.09</x:v>
      </x:c>
    </x:row>
    <x:row r="1875">
      <x:c r="A1875" s="14" t="str">
        <x:v>店长</x:v>
      </x:c>
      <x:c r="B1875" s="15" t="str">
        <x:v>徐跃男</x:v>
      </x:c>
      <x:c r="C1875" s="16" t="n">
        <x:v>46040</x:v>
      </x:c>
      <x:c r="D1875" s="17" t="n">
        <x:v>0</x:v>
      </x:c>
      <x:c r="E1875" s="17" t="n">
        <x:v>0</x:v>
      </x:c>
      <x:c r="F1875" s="18" t="n">
        <x:v>0</x:v>
      </x:c>
    </x:row>
    <x:row r="1876">
      <x:c r="A1876" s="14" t="str">
        <x:v>店长</x:v>
      </x:c>
      <x:c r="B1876" s="15" t="str">
        <x:v>徐跃男</x:v>
      </x:c>
      <x:c r="C1876" s="16" t="n">
        <x:v>46041</x:v>
      </x:c>
      <x:c r="D1876" s="17" t="n">
        <x:v>163</x:v>
      </x:c>
      <x:c r="E1876" s="17" t="n">
        <x:v>264</x:v>
      </x:c>
      <x:c r="F1876" s="18" t="n">
        <x:v>16890.86</x:v>
      </x:c>
    </x:row>
    <x:row r="1877">
      <x:c r="A1877" s="14" t="str">
        <x:v>店长</x:v>
      </x:c>
      <x:c r="B1877" s="15" t="str">
        <x:v>徐跃男</x:v>
      </x:c>
      <x:c r="C1877" s="16" t="n">
        <x:v>46042</x:v>
      </x:c>
      <x:c r="D1877" s="17" t="n">
        <x:v>75</x:v>
      </x:c>
      <x:c r="E1877" s="17" t="n">
        <x:v>108</x:v>
      </x:c>
      <x:c r="F1877" s="18" t="n">
        <x:v>7828.09</x:v>
      </x:c>
    </x:row>
    <x:row r="1878">
      <x:c r="A1878" s="14" t="str">
        <x:v>店长</x:v>
      </x:c>
      <x:c r="B1878" s="15" t="str">
        <x:v>徐跃男</x:v>
      </x:c>
      <x:c r="C1878" s="16" t="n">
        <x:v>46043</x:v>
      </x:c>
      <x:c r="D1878" s="17" t="n">
        <x:v>30</x:v>
      </x:c>
      <x:c r="E1878" s="17" t="n">
        <x:v>44</x:v>
      </x:c>
      <x:c r="F1878" s="18" t="n">
        <x:v>3225.88</x:v>
      </x:c>
    </x:row>
    <x:row r="1879">
      <x:c r="A1879" s="14" t="str">
        <x:v>店长</x:v>
      </x:c>
      <x:c r="B1879" s="15" t="str">
        <x:v>徐跃男</x:v>
      </x:c>
      <x:c r="C1879" s="16" t="n">
        <x:v>46044</x:v>
      </x:c>
      <x:c r="D1879" s="17" t="n">
        <x:v>40</x:v>
      </x:c>
      <x:c r="E1879" s="17" t="n">
        <x:v>66</x:v>
      </x:c>
      <x:c r="F1879" s="18" t="n">
        <x:v>4878.57</x:v>
      </x:c>
    </x:row>
    <x:row r="1880">
      <x:c r="A1880" s="14" t="str">
        <x:v>店长</x:v>
      </x:c>
      <x:c r="B1880" s="15" t="str">
        <x:v>徐跃男</x:v>
      </x:c>
      <x:c r="C1880" s="16" t="n">
        <x:v>46045</x:v>
      </x:c>
      <x:c r="D1880" s="17" t="n">
        <x:v>38</x:v>
      </x:c>
      <x:c r="E1880" s="17" t="n">
        <x:v>49</x:v>
      </x:c>
      <x:c r="F1880" s="18" t="n">
        <x:v>3386.48</x:v>
      </x:c>
    </x:row>
    <x:row r="1881">
      <x:c r="A1881" s="14" t="str">
        <x:v>店长</x:v>
      </x:c>
      <x:c r="B1881" s="15" t="str">
        <x:v>徐跃男</x:v>
      </x:c>
      <x:c r="C1881" s="16" t="n">
        <x:v>46046</x:v>
      </x:c>
      <x:c r="D1881" s="17" t="n">
        <x:v>54</x:v>
      </x:c>
      <x:c r="E1881" s="17" t="n">
        <x:v>83</x:v>
      </x:c>
      <x:c r="F1881" s="18" t="n">
        <x:v>5266.94</x:v>
      </x:c>
    </x:row>
    <x:row r="1882">
      <x:c r="A1882" s="14" t="str">
        <x:v>店长</x:v>
      </x:c>
      <x:c r="B1882" s="15" t="str">
        <x:v>徐跃男</x:v>
      </x:c>
      <x:c r="C1882" s="16" t="n">
        <x:v>46047</x:v>
      </x:c>
      <x:c r="D1882" s="17" t="n">
        <x:v>22</x:v>
      </x:c>
      <x:c r="E1882" s="17" t="n">
        <x:v>24</x:v>
      </x:c>
      <x:c r="F1882" s="18" t="n">
        <x:v>1950.18</x:v>
      </x:c>
    </x:row>
    <x:row r="1883">
      <x:c r="A1883" s="14" t="str">
        <x:v>店长</x:v>
      </x:c>
      <x:c r="B1883" s="15" t="str">
        <x:v>徐跃男</x:v>
      </x:c>
      <x:c r="C1883" s="16" t="n">
        <x:v>46048</x:v>
      </x:c>
      <x:c r="D1883" s="17" t="n">
        <x:v>30</x:v>
      </x:c>
      <x:c r="E1883" s="17" t="n">
        <x:v>37</x:v>
      </x:c>
      <x:c r="F1883" s="18" t="n">
        <x:v>2202.84</x:v>
      </x:c>
    </x:row>
    <x:row r="1884">
      <x:c r="A1884" s="14" t="str">
        <x:v>店长</x:v>
      </x:c>
      <x:c r="B1884" s="15" t="str">
        <x:v>徐跃男</x:v>
      </x:c>
      <x:c r="C1884" s="16" t="n">
        <x:v>46049</x:v>
      </x:c>
      <x:c r="D1884" s="17" t="n">
        <x:v>25</x:v>
      </x:c>
      <x:c r="E1884" s="17" t="n">
        <x:v>38</x:v>
      </x:c>
      <x:c r="F1884" s="18" t="n">
        <x:v>2164.02</x:v>
      </x:c>
    </x:row>
    <x:row r="1885">
      <x:c r="A1885" s="14" t="str">
        <x:v>店长</x:v>
      </x:c>
      <x:c r="B1885" s="15" t="str">
        <x:v>徐跃男</x:v>
      </x:c>
      <x:c r="C1885" s="16" t="n">
        <x:v>46050</x:v>
      </x:c>
      <x:c r="D1885" s="17" t="n">
        <x:v>32</x:v>
      </x:c>
      <x:c r="E1885" s="17" t="n">
        <x:v>39</x:v>
      </x:c>
      <x:c r="F1885" s="18" t="n">
        <x:v>1623.83</x:v>
      </x:c>
    </x:row>
    <x:row r="1886">
      <x:c r="A1886" s="14" t="str">
        <x:v>店长</x:v>
      </x:c>
      <x:c r="B1886" s="15" t="str">
        <x:v>徐跃男</x:v>
      </x:c>
      <x:c r="C1886" s="16" t="n">
        <x:v>46051</x:v>
      </x:c>
      <x:c r="D1886" s="17" t="n">
        <x:v>31</x:v>
      </x:c>
      <x:c r="E1886" s="17" t="n">
        <x:v>52</x:v>
      </x:c>
      <x:c r="F1886" s="18" t="n">
        <x:v>1631.29</x:v>
      </x:c>
    </x:row>
    <x:row r="1887">
      <x:c r="A1887" s="14" t="str">
        <x:v>店长</x:v>
      </x:c>
      <x:c r="B1887" s="15" t="str">
        <x:v>徐跃男</x:v>
      </x:c>
      <x:c r="C1887" s="16" t="n">
        <x:v>46052</x:v>
      </x:c>
      <x:c r="D1887" s="17" t="n">
        <x:v>49</x:v>
      </x:c>
      <x:c r="E1887" s="17" t="n">
        <x:v>60</x:v>
      </x:c>
      <x:c r="F1887" s="18" t="n">
        <x:v>2049.7</x:v>
      </x:c>
    </x:row>
    <x:row r="1888">
      <x:c r="A1888" s="14" t="str">
        <x:v>店长</x:v>
      </x:c>
      <x:c r="B1888" s="15" t="str">
        <x:v>徐跃男</x:v>
      </x:c>
      <x:c r="C1888" s="16" t="n">
        <x:v>46053</x:v>
      </x:c>
      <x:c r="D1888" s="17" t="n">
        <x:v>33</x:v>
      </x:c>
      <x:c r="E1888" s="17" t="n">
        <x:v>47</x:v>
      </x:c>
      <x:c r="F1888" s="18" t="n">
        <x:v>2398.51</x:v>
      </x:c>
    </x:row>
    <x:row r="1889">
      <x:c r="A1889" s="14" t="str">
        <x:v>店长</x:v>
      </x:c>
      <x:c r="B1889" s="15" t="str">
        <x:v>徐跃男</x:v>
      </x:c>
      <x:c r="C1889" s="16" t="n">
        <x:v>46054</x:v>
      </x:c>
      <x:c r="D1889" s="17" t="n">
        <x:v>13</x:v>
      </x:c>
      <x:c r="E1889" s="17" t="n">
        <x:v>20</x:v>
      </x:c>
      <x:c r="F1889" s="18" t="n">
        <x:v>481.41</x:v>
      </x:c>
    </x:row>
    <x:row r="1890">
      <x:c r="A1890" s="14" t="str">
        <x:v>店长</x:v>
      </x:c>
      <x:c r="B1890" s="15" t="str">
        <x:v>徐跃男</x:v>
      </x:c>
      <x:c r="C1890" s="16" t="n">
        <x:v>46055</x:v>
      </x:c>
      <x:c r="D1890" s="17" t="n">
        <x:v>33</x:v>
      </x:c>
      <x:c r="E1890" s="17" t="n">
        <x:v>36</x:v>
      </x:c>
      <x:c r="F1890" s="18" t="n">
        <x:v>1474.35</x:v>
      </x:c>
    </x:row>
    <x:row r="1891">
      <x:c r="A1891" s="14" t="str">
        <x:v>店长</x:v>
      </x:c>
      <x:c r="B1891" s="15" t="str">
        <x:v>徐跃男</x:v>
      </x:c>
      <x:c r="C1891" s="16" t="n">
        <x:v>46056</x:v>
      </x:c>
      <x:c r="D1891" s="17" t="n">
        <x:v>11</x:v>
      </x:c>
      <x:c r="E1891" s="17" t="n">
        <x:v>13</x:v>
      </x:c>
      <x:c r="F1891" s="18" t="n">
        <x:v>590.21</x:v>
      </x:c>
    </x:row>
    <x:row r="1892">
      <x:c r="A1892" s="14" t="str">
        <x:v>店长</x:v>
      </x:c>
      <x:c r="B1892" s="15" t="str">
        <x:v>徐跃男</x:v>
      </x:c>
      <x:c r="C1892" s="16" t="n">
        <x:v>46057</x:v>
      </x:c>
      <x:c r="D1892" s="17" t="n">
        <x:v>36</x:v>
      </x:c>
      <x:c r="E1892" s="17" t="n">
        <x:v>50</x:v>
      </x:c>
      <x:c r="F1892" s="18" t="n">
        <x:v>1272.82</x:v>
      </x:c>
    </x:row>
    <x:row r="1893">
      <x:c r="A1893" s="14" t="str">
        <x:v>店长</x:v>
      </x:c>
      <x:c r="B1893" s="15" t="str">
        <x:v>徐跃男</x:v>
      </x:c>
      <x:c r="C1893" s="16" t="n">
        <x:v>46058</x:v>
      </x:c>
      <x:c r="D1893" s="17" t="n">
        <x:v>24</x:v>
      </x:c>
      <x:c r="E1893" s="17" t="n">
        <x:v>30</x:v>
      </x:c>
      <x:c r="F1893" s="18" t="n">
        <x:v>1041.86</x:v>
      </x:c>
    </x:row>
    <x:row r="1894">
      <x:c r="A1894" s="14" t="str">
        <x:v>店长</x:v>
      </x:c>
      <x:c r="B1894" s="15" t="str">
        <x:v>徐跃男</x:v>
      </x:c>
      <x:c r="C1894" s="16" t="n">
        <x:v>46059</x:v>
      </x:c>
      <x:c r="D1894" s="17" t="n">
        <x:v>12</x:v>
      </x:c>
      <x:c r="E1894" s="17" t="n">
        <x:v>17</x:v>
      </x:c>
      <x:c r="F1894" s="18" t="n">
        <x:v>499.19</x:v>
      </x:c>
    </x:row>
    <x:row r="1895">
      <x:c r="A1895" s="14" t="str">
        <x:v>店长</x:v>
      </x:c>
      <x:c r="B1895" s="15" t="str">
        <x:v>徐跃男</x:v>
      </x:c>
      <x:c r="C1895" s="16" t="n">
        <x:v>46060</x:v>
      </x:c>
      <x:c r="D1895" s="17" t="n">
        <x:v>10</x:v>
      </x:c>
      <x:c r="E1895" s="17" t="n">
        <x:v>14</x:v>
      </x:c>
      <x:c r="F1895" s="18" t="n">
        <x:v>314.81</x:v>
      </x:c>
    </x:row>
    <x:row r="1896">
      <x:c r="A1896" s="14" t="str">
        <x:v>店长</x:v>
      </x:c>
      <x:c r="B1896" s="15" t="str">
        <x:v>徐跃男</x:v>
      </x:c>
      <x:c r="C1896" s="16" t="n">
        <x:v>46061</x:v>
      </x:c>
      <x:c r="D1896" s="17" t="n">
        <x:v>13</x:v>
      </x:c>
      <x:c r="E1896" s="17" t="n">
        <x:v>19</x:v>
      </x:c>
      <x:c r="F1896" s="18" t="n">
        <x:v>504.83</x:v>
      </x:c>
    </x:row>
    <x:row r="1897">
      <x:c r="A1897" s="14" t="str">
        <x:v>店长</x:v>
      </x:c>
      <x:c r="B1897" s="15" t="str">
        <x:v>徐跃男</x:v>
      </x:c>
      <x:c r="C1897" s="16" t="n">
        <x:v>46062</x:v>
      </x:c>
      <x:c r="D1897" s="17" t="n">
        <x:v>11</x:v>
      </x:c>
      <x:c r="E1897" s="17" t="n">
        <x:v>13</x:v>
      </x:c>
      <x:c r="F1897" s="18" t="n">
        <x:v>462.16</x:v>
      </x:c>
    </x:row>
    <x:row r="1898">
      <x:c r="A1898" s="14" t="str">
        <x:v>店长</x:v>
      </x:c>
      <x:c r="B1898" s="15" t="str">
        <x:v>徐跃男</x:v>
      </x:c>
      <x:c r="C1898" s="16" t="n">
        <x:v>46063</x:v>
      </x:c>
      <x:c r="D1898" s="17" t="n">
        <x:v>24</x:v>
      </x:c>
      <x:c r="E1898" s="17" t="n">
        <x:v>31</x:v>
      </x:c>
      <x:c r="F1898" s="18" t="n">
        <x:v>1097.05</x:v>
      </x:c>
    </x:row>
    <x:row r="1899">
      <x:c r="A1899" s="14" t="str">
        <x:v>店长</x:v>
      </x:c>
      <x:c r="B1899" s="15" t="str">
        <x:v>徐跃男</x:v>
      </x:c>
      <x:c r="C1899" s="16" t="n">
        <x:v>46064</x:v>
      </x:c>
      <x:c r="D1899" s="17" t="n">
        <x:v>15</x:v>
      </x:c>
      <x:c r="E1899" s="17" t="n">
        <x:v>25</x:v>
      </x:c>
      <x:c r="F1899" s="18" t="n">
        <x:v>610.61</x:v>
      </x:c>
    </x:row>
    <x:row r="1900">
      <x:c r="A1900" s="14" t="str">
        <x:v>店长</x:v>
      </x:c>
      <x:c r="B1900" s="15" t="str">
        <x:v>徐跃男</x:v>
      </x:c>
      <x:c r="C1900" s="16" t="n">
        <x:v>46065</x:v>
      </x:c>
      <x:c r="D1900" s="17" t="n">
        <x:v>7</x:v>
      </x:c>
      <x:c r="E1900" s="17" t="n">
        <x:v>7</x:v>
      </x:c>
      <x:c r="F1900" s="18" t="n">
        <x:v>181.58</x:v>
      </x:c>
    </x:row>
    <x:row r="1901">
      <x:c r="A1901" s="14" t="str">
        <x:v>店长</x:v>
      </x:c>
      <x:c r="B1901" s="15" t="str">
        <x:v>徐跃男</x:v>
      </x:c>
      <x:c r="C1901" s="16" t="n">
        <x:v>46066</x:v>
      </x:c>
      <x:c r="D1901" s="17" t="n">
        <x:v>19</x:v>
      </x:c>
      <x:c r="E1901" s="17" t="n">
        <x:v>23</x:v>
      </x:c>
      <x:c r="F1901" s="18" t="n">
        <x:v>698.99</x:v>
      </x:c>
    </x:row>
    <x:row r="1902">
      <x:c r="A1902" s="14" t="str">
        <x:v>店长</x:v>
      </x:c>
      <x:c r="B1902" s="15" t="str">
        <x:v>徐跃男</x:v>
      </x:c>
      <x:c r="C1902" s="16" t="n">
        <x:v>46067</x:v>
      </x:c>
      <x:c r="D1902" s="17" t="n">
        <x:v>12</x:v>
      </x:c>
      <x:c r="E1902" s="17" t="n">
        <x:v>13</x:v>
      </x:c>
      <x:c r="F1902" s="18" t="n">
        <x:v>276.63</x:v>
      </x:c>
    </x:row>
    <x:row r="1903">
      <x:c r="A1903" s="14" t="str">
        <x:v>店长</x:v>
      </x:c>
      <x:c r="B1903" s="15" t="str">
        <x:v>徐跃男</x:v>
      </x:c>
      <x:c r="C1903" s="16" t="n">
        <x:v>46068</x:v>
      </x:c>
      <x:c r="D1903" s="17" t="n">
        <x:v>5</x:v>
      </x:c>
      <x:c r="E1903" s="17" t="n">
        <x:v>8</x:v>
      </x:c>
      <x:c r="F1903" s="18" t="n">
        <x:v>205.26</x:v>
      </x:c>
    </x:row>
    <x:row r="1904">
      <x:c r="A1904" s="14" t="str">
        <x:v>店长</x:v>
      </x:c>
      <x:c r="B1904" s="15" t="str">
        <x:v>徐跃男</x:v>
      </x:c>
      <x:c r="C1904" s="16" t="n">
        <x:v>46069</x:v>
      </x:c>
      <x:c r="D1904" s="17" t="n">
        <x:v>11</x:v>
      </x:c>
      <x:c r="E1904" s="17" t="n">
        <x:v>14</x:v>
      </x:c>
      <x:c r="F1904" s="18" t="n">
        <x:v>366.45</x:v>
      </x:c>
    </x:row>
    <x:row r="1905">
      <x:c r="A1905" s="14" t="str">
        <x:v>店长</x:v>
      </x:c>
      <x:c r="B1905" s="15" t="str">
        <x:v>徐跃男</x:v>
      </x:c>
      <x:c r="C1905" s="16" t="n">
        <x:v>46070</x:v>
      </x:c>
      <x:c r="D1905" s="17" t="n">
        <x:v>19</x:v>
      </x:c>
      <x:c r="E1905" s="17" t="n">
        <x:v>24</x:v>
      </x:c>
      <x:c r="F1905" s="18" t="n">
        <x:v>649.46</x:v>
      </x:c>
    </x:row>
    <x:row r="1906">
      <x:c r="A1906" s="14" t="str">
        <x:v>店长</x:v>
      </x:c>
      <x:c r="B1906" s="15" t="str">
        <x:v>徐跃男</x:v>
      </x:c>
      <x:c r="C1906" s="16" t="n">
        <x:v>46071</x:v>
      </x:c>
      <x:c r="D1906" s="17" t="n">
        <x:v>16</x:v>
      </x:c>
      <x:c r="E1906" s="17" t="n">
        <x:v>19</x:v>
      </x:c>
      <x:c r="F1906" s="18" t="n">
        <x:v>544.63</x:v>
      </x:c>
    </x:row>
    <x:row r="1907">
      <x:c r="A1907" s="14" t="str">
        <x:v>店长</x:v>
      </x:c>
      <x:c r="B1907" s="15" t="str">
        <x:v>徐跃男</x:v>
      </x:c>
      <x:c r="C1907" s="16" t="n">
        <x:v>46072</x:v>
      </x:c>
      <x:c r="D1907" s="17" t="n">
        <x:v>16</x:v>
      </x:c>
      <x:c r="E1907" s="17" t="n">
        <x:v>25</x:v>
      </x:c>
      <x:c r="F1907" s="18" t="n">
        <x:v>786.99</x:v>
      </x:c>
    </x:row>
    <x:row r="1908">
      <x:c r="A1908" s="14" t="str">
        <x:v>店长</x:v>
      </x:c>
      <x:c r="B1908" s="15" t="str">
        <x:v>徐跃男</x:v>
      </x:c>
      <x:c r="C1908" s="16" t="n">
        <x:v>46073</x:v>
      </x:c>
      <x:c r="D1908" s="17" t="n">
        <x:v>8</x:v>
      </x:c>
      <x:c r="E1908" s="17" t="n">
        <x:v>13</x:v>
      </x:c>
      <x:c r="F1908" s="18" t="n">
        <x:v>388.61</x:v>
      </x:c>
    </x:row>
    <x:row r="1909">
      <x:c r="A1909" s="14" t="str">
        <x:v>店长</x:v>
      </x:c>
      <x:c r="B1909" s="15" t="str">
        <x:v>徐跃男</x:v>
      </x:c>
      <x:c r="C1909" s="16" t="n">
        <x:v>46074</x:v>
      </x:c>
      <x:c r="D1909" s="17" t="n">
        <x:v>13</x:v>
      </x:c>
      <x:c r="E1909" s="17" t="n">
        <x:v>15</x:v>
      </x:c>
      <x:c r="F1909" s="18" t="n">
        <x:v>337.46</x:v>
      </x:c>
    </x:row>
    <x:row r="1910">
      <x:c r="A1910" s="14" t="str">
        <x:v>店长</x:v>
      </x:c>
      <x:c r="B1910" s="15" t="str">
        <x:v>徐跃男</x:v>
      </x:c>
      <x:c r="C1910" s="16" t="n">
        <x:v>46075</x:v>
      </x:c>
      <x:c r="D1910" s="17" t="n">
        <x:v>11</x:v>
      </x:c>
      <x:c r="E1910" s="17" t="n">
        <x:v>15</x:v>
      </x:c>
      <x:c r="F1910" s="18" t="n">
        <x:v>355.97</x:v>
      </x:c>
    </x:row>
    <x:row r="1911">
      <x:c r="A1911" s="14" t="str">
        <x:v>店长</x:v>
      </x:c>
      <x:c r="B1911" s="15" t="str">
        <x:v>徐跃男</x:v>
      </x:c>
      <x:c r="C1911" s="16" t="n">
        <x:v>46076</x:v>
      </x:c>
      <x:c r="D1911" s="17" t="n">
        <x:v>12</x:v>
      </x:c>
      <x:c r="E1911" s="17" t="n">
        <x:v>13</x:v>
      </x:c>
      <x:c r="F1911" s="18" t="n">
        <x:v>504.69</x:v>
      </x:c>
    </x:row>
    <x:row r="1912">
      <x:c r="A1912" s="14" t="str">
        <x:v>店长</x:v>
      </x:c>
      <x:c r="B1912" s="15" t="str">
        <x:v>徐跃男</x:v>
      </x:c>
      <x:c r="C1912" s="16" t="n">
        <x:v>46077</x:v>
      </x:c>
      <x:c r="D1912" s="17" t="n">
        <x:v>11</x:v>
      </x:c>
      <x:c r="E1912" s="17" t="n">
        <x:v>22</x:v>
      </x:c>
      <x:c r="F1912" s="18" t="n">
        <x:v>612.29</x:v>
      </x:c>
    </x:row>
    <x:row r="1913">
      <x:c r="A1913" s="14" t="str">
        <x:v>店长</x:v>
      </x:c>
      <x:c r="B1913" s="15" t="str">
        <x:v>徐跃男</x:v>
      </x:c>
      <x:c r="C1913" s="16" t="n">
        <x:v>46078</x:v>
      </x:c>
      <x:c r="D1913" s="17" t="n">
        <x:v>26</x:v>
      </x:c>
      <x:c r="E1913" s="17" t="n">
        <x:v>31</x:v>
      </x:c>
      <x:c r="F1913" s="18" t="n">
        <x:v>1384.16</x:v>
      </x:c>
    </x:row>
    <x:row r="1914">
      <x:c r="A1914" s="14" t="str">
        <x:v>店长</x:v>
      </x:c>
      <x:c r="B1914" s="15" t="str">
        <x:v>徐跃男</x:v>
      </x:c>
      <x:c r="C1914" s="16" t="n">
        <x:v>46079</x:v>
      </x:c>
      <x:c r="D1914" s="17" t="n">
        <x:v>20</x:v>
      </x:c>
      <x:c r="E1914" s="17" t="n">
        <x:v>22</x:v>
      </x:c>
      <x:c r="F1914" s="18" t="n">
        <x:v>824.44</x:v>
      </x:c>
    </x:row>
    <x:row r="1915">
      <x:c r="A1915" s="14" t="str">
        <x:v>店长</x:v>
      </x:c>
      <x:c r="B1915" s="15" t="str">
        <x:v>徐跃男</x:v>
      </x:c>
      <x:c r="C1915" s="16" t="n">
        <x:v>46080</x:v>
      </x:c>
      <x:c r="D1915" s="17" t="n">
        <x:v>12</x:v>
      </x:c>
      <x:c r="E1915" s="17" t="n">
        <x:v>14</x:v>
      </x:c>
      <x:c r="F1915" s="18" t="n">
        <x:v>469.38</x:v>
      </x:c>
    </x:row>
    <x:row r="1916">
      <x:c r="A1916" s="14" t="str">
        <x:v>店长</x:v>
      </x:c>
      <x:c r="B1916" s="15" t="str">
        <x:v>徐跃男</x:v>
      </x:c>
      <x:c r="C1916" s="16" t="n">
        <x:v>46081</x:v>
      </x:c>
      <x:c r="D1916" s="17" t="n">
        <x:v>15</x:v>
      </x:c>
      <x:c r="E1916" s="17" t="n">
        <x:v>20</x:v>
      </x:c>
      <x:c r="F1916" s="18" t="n">
        <x:v>-24915.68</x:v>
      </x:c>
    </x:row>
    <x:row r="1917">
      <x:c r="A1917" s="14" t="str">
        <x:v>店长</x:v>
      </x:c>
      <x:c r="B1917" s="15" t="str">
        <x:v>徐跃男</x:v>
      </x:c>
      <x:c r="C1917" s="16" t="n">
        <x:v>46082</x:v>
      </x:c>
      <x:c r="D1917" s="17" t="n">
        <x:v>13</x:v>
      </x:c>
      <x:c r="E1917" s="17" t="n">
        <x:v>14</x:v>
      </x:c>
      <x:c r="F1917" s="18" t="n">
        <x:v>460.34</x:v>
      </x:c>
    </x:row>
    <x:row r="1918">
      <x:c r="A1918" s="14" t="str">
        <x:v>店长</x:v>
      </x:c>
      <x:c r="B1918" s="15" t="str">
        <x:v>徐跃男</x:v>
      </x:c>
      <x:c r="C1918" s="16" t="n">
        <x:v>46083</x:v>
      </x:c>
      <x:c r="D1918" s="17" t="n">
        <x:v>21</x:v>
      </x:c>
      <x:c r="E1918" s="17" t="n">
        <x:v>32</x:v>
      </x:c>
      <x:c r="F1918" s="18" t="n">
        <x:v>1280.63</x:v>
      </x:c>
    </x:row>
    <x:row r="1919">
      <x:c r="A1919" s="14" t="str">
        <x:v>店长</x:v>
      </x:c>
      <x:c r="B1919" s="15" t="str">
        <x:v>徐跃男</x:v>
      </x:c>
      <x:c r="C1919" s="16" t="n">
        <x:v>46084</x:v>
      </x:c>
      <x:c r="D1919" s="17" t="n">
        <x:v>27</x:v>
      </x:c>
      <x:c r="E1919" s="17" t="n">
        <x:v>41</x:v>
      </x:c>
      <x:c r="F1919" s="18" t="n">
        <x:v>1577.83</x:v>
      </x:c>
    </x:row>
    <x:row r="1920">
      <x:c r="A1920" s="14" t="str">
        <x:v>店长</x:v>
      </x:c>
      <x:c r="B1920" s="15" t="str">
        <x:v>徐跃男</x:v>
      </x:c>
      <x:c r="C1920" s="16" t="n">
        <x:v>46085</x:v>
      </x:c>
      <x:c r="D1920" s="17" t="n">
        <x:v>23</x:v>
      </x:c>
      <x:c r="E1920" s="17" t="n">
        <x:v>41</x:v>
      </x:c>
      <x:c r="F1920" s="18" t="n">
        <x:v>1486.24</x:v>
      </x:c>
    </x:row>
    <x:row r="1921">
      <x:c r="A1921" s="14" t="str">
        <x:v>店长</x:v>
      </x:c>
      <x:c r="B1921" s="15" t="str">
        <x:v>徐跃男</x:v>
      </x:c>
      <x:c r="C1921" s="16" t="n">
        <x:v>46086</x:v>
      </x:c>
      <x:c r="D1921" s="17" t="n">
        <x:v>25</x:v>
      </x:c>
      <x:c r="E1921" s="17" t="n">
        <x:v>30</x:v>
      </x:c>
      <x:c r="F1921" s="18" t="n">
        <x:v>926.92</x:v>
      </x:c>
    </x:row>
    <x:row r="1922">
      <x:c r="A1922" s="14" t="str">
        <x:v>店长</x:v>
      </x:c>
      <x:c r="B1922" s="15" t="str">
        <x:v>徐跃男</x:v>
      </x:c>
      <x:c r="C1922" s="16" t="n">
        <x:v>46087</x:v>
      </x:c>
      <x:c r="D1922" s="17" t="n">
        <x:v>15</x:v>
      </x:c>
      <x:c r="E1922" s="17" t="n">
        <x:v>24</x:v>
      </x:c>
      <x:c r="F1922" s="18" t="n">
        <x:v>913.08</x:v>
      </x:c>
    </x:row>
    <x:row r="1923">
      <x:c r="A1923" s="14" t="str">
        <x:v>店长</x:v>
      </x:c>
      <x:c r="B1923" s="15" t="str">
        <x:v>徐跃男</x:v>
      </x:c>
      <x:c r="C1923" s="16" t="n">
        <x:v>46088</x:v>
      </x:c>
      <x:c r="D1923" s="17" t="n">
        <x:v>3</x:v>
      </x:c>
      <x:c r="E1923" s="17" t="n">
        <x:v>3</x:v>
      </x:c>
      <x:c r="F1923" s="18" t="n">
        <x:v>135.19</x:v>
      </x:c>
    </x:row>
    <x:row r="1924">
      <x:c r="A1924" s="14" t="str">
        <x:v>店长</x:v>
      </x:c>
      <x:c r="B1924" s="15" t="str">
        <x:v>徐跃男</x:v>
      </x:c>
      <x:c r="C1924" s="16" t="n">
        <x:v>46089</x:v>
      </x:c>
      <x:c r="D1924" s="17" t="n">
        <x:v>7</x:v>
      </x:c>
      <x:c r="E1924" s="17" t="n">
        <x:v>7</x:v>
      </x:c>
      <x:c r="F1924" s="18" t="n">
        <x:v>253.45</x:v>
      </x:c>
    </x:row>
    <x:row r="1925">
      <x:c r="A1925" s="14" t="str">
        <x:v>店长</x:v>
      </x:c>
      <x:c r="B1925" s="15" t="str">
        <x:v>徐跃男</x:v>
      </x:c>
      <x:c r="C1925" s="16" t="n">
        <x:v>46090</x:v>
      </x:c>
      <x:c r="D1925" s="17" t="n">
        <x:v>11</x:v>
      </x:c>
      <x:c r="E1925" s="17" t="n">
        <x:v>11</x:v>
      </x:c>
      <x:c r="F1925" s="18" t="n">
        <x:v>651.84</x:v>
      </x:c>
    </x:row>
    <x:row r="1926">
      <x:c r="A1926" s="14" t="str">
        <x:v>店长</x:v>
      </x:c>
      <x:c r="B1926" s="15" t="str">
        <x:v>徐跃男</x:v>
      </x:c>
      <x:c r="C1926" s="16" t="n">
        <x:v>46091</x:v>
      </x:c>
      <x:c r="D1926" s="17" t="n">
        <x:v>15</x:v>
      </x:c>
      <x:c r="E1926" s="17" t="n">
        <x:v>18</x:v>
      </x:c>
      <x:c r="F1926" s="18" t="n">
        <x:v>795.2</x:v>
      </x:c>
    </x:row>
    <x:row r="1927">
      <x:c r="A1927" s="14" t="str">
        <x:v>店长</x:v>
      </x:c>
      <x:c r="B1927" s="15" t="str">
        <x:v>徐跃男</x:v>
      </x:c>
      <x:c r="C1927" s="16" t="n">
        <x:v>46092</x:v>
      </x:c>
      <x:c r="D1927" s="17" t="n">
        <x:v>12</x:v>
      </x:c>
      <x:c r="E1927" s="17" t="n">
        <x:v>14</x:v>
      </x:c>
      <x:c r="F1927" s="18" t="n">
        <x:v>566.42</x:v>
      </x:c>
    </x:row>
    <x:row r="1928">
      <x:c r="A1928" s="14" t="str">
        <x:v>店长</x:v>
      </x:c>
      <x:c r="B1928" s="15" t="str">
        <x:v>徐跃男</x:v>
      </x:c>
      <x:c r="C1928" s="16" t="n">
        <x:v>46093</x:v>
      </x:c>
      <x:c r="D1928" s="17" t="n">
        <x:v>4</x:v>
      </x:c>
      <x:c r="E1928" s="17" t="n">
        <x:v>4</x:v>
      </x:c>
      <x:c r="F1928" s="18" t="n">
        <x:v>189.18</x:v>
      </x:c>
    </x:row>
    <x:row r="1929">
      <x:c r="A1929" s="14" t="str">
        <x:v>店长</x:v>
      </x:c>
      <x:c r="B1929" s="15" t="str">
        <x:v>徐跃男</x:v>
      </x:c>
      <x:c r="C1929" s="16" t="n">
        <x:v>46094</x:v>
      </x:c>
      <x:c r="D1929" s="17" t="n">
        <x:v>6</x:v>
      </x:c>
      <x:c r="E1929" s="17" t="n">
        <x:v>7</x:v>
      </x:c>
      <x:c r="F1929" s="18" t="n">
        <x:v>408.1</x:v>
      </x:c>
    </x:row>
    <x:row r="1930">
      <x:c r="A1930" s="14" t="str">
        <x:v>店长</x:v>
      </x:c>
      <x:c r="B1930" s="15" t="str">
        <x:v>徐跃男</x:v>
      </x:c>
      <x:c r="C1930" s="16" t="n">
        <x:v>46095</x:v>
      </x:c>
      <x:c r="D1930" s="17" t="n">
        <x:v>13</x:v>
      </x:c>
      <x:c r="E1930" s="17" t="n">
        <x:v>14</x:v>
      </x:c>
      <x:c r="F1930" s="18" t="n">
        <x:v>551.6</x:v>
      </x:c>
    </x:row>
    <x:row r="1931">
      <x:c r="A1931" s="14" t="str">
        <x:v>店长</x:v>
      </x:c>
      <x:c r="B1931" s="15" t="str">
        <x:v>徐跃男</x:v>
      </x:c>
      <x:c r="C1931" s="16" t="n">
        <x:v>46096</x:v>
      </x:c>
      <x:c r="D1931" s="17" t="n">
        <x:v>5</x:v>
      </x:c>
      <x:c r="E1931" s="17" t="n">
        <x:v>5</x:v>
      </x:c>
      <x:c r="F1931" s="18" t="n">
        <x:v>168.44</x:v>
      </x:c>
    </x:row>
    <x:row r="1932">
      <x:c r="A1932" s="14" t="str">
        <x:v>店长</x:v>
      </x:c>
      <x:c r="B1932" s="15" t="str">
        <x:v>徐跃男</x:v>
      </x:c>
      <x:c r="C1932" s="16" t="n">
        <x:v>46097</x:v>
      </x:c>
      <x:c r="D1932" s="17" t="n">
        <x:v>4</x:v>
      </x:c>
      <x:c r="E1932" s="17" t="n">
        <x:v>6</x:v>
      </x:c>
      <x:c r="F1932" s="18" t="n">
        <x:v>251.04</x:v>
      </x:c>
    </x:row>
    <x:row r="1933">
      <x:c r="A1933" s="14" t="str">
        <x:v>店长</x:v>
      </x:c>
      <x:c r="B1933" s="15" t="str">
        <x:v>徐跃男</x:v>
      </x:c>
      <x:c r="C1933" s="16" t="n">
        <x:v>46098</x:v>
      </x:c>
      <x:c r="D1933" s="17" t="n">
        <x:v>7</x:v>
      </x:c>
      <x:c r="E1933" s="17" t="n">
        <x:v>7</x:v>
      </x:c>
      <x:c r="F1933" s="18" t="n">
        <x:v>334.17</x:v>
      </x:c>
    </x:row>
    <x:row r="1934">
      <x:c r="A1934" s="14" t="str">
        <x:v>店长</x:v>
      </x:c>
      <x:c r="B1934" s="15" t="str">
        <x:v>徐跃男</x:v>
      </x:c>
      <x:c r="C1934" s="16" t="n">
        <x:v>46099</x:v>
      </x:c>
      <x:c r="D1934" s="17" t="n">
        <x:v>23</x:v>
      </x:c>
      <x:c r="E1934" s="17" t="n">
        <x:v>29</x:v>
      </x:c>
      <x:c r="F1934" s="18" t="n">
        <x:v>1352.61</x:v>
      </x:c>
    </x:row>
    <x:row r="1935">
      <x:c r="A1935" s="14" t="str">
        <x:v>店长</x:v>
      </x:c>
      <x:c r="B1935" s="15" t="str">
        <x:v>徐跃男</x:v>
      </x:c>
      <x:c r="C1935" s="16" t="n">
        <x:v>46100</x:v>
      </x:c>
      <x:c r="D1935" s="17" t="n">
        <x:v>8</x:v>
      </x:c>
      <x:c r="E1935" s="17" t="n">
        <x:v>8</x:v>
      </x:c>
      <x:c r="F1935" s="18" t="n">
        <x:v>321.79</x:v>
      </x:c>
    </x:row>
    <x:row r="1936">
      <x:c r="A1936" s="14" t="str">
        <x:v>店长</x:v>
      </x:c>
      <x:c r="B1936" s="15" t="str">
        <x:v>徐跃男</x:v>
      </x:c>
      <x:c r="C1936" s="16" t="n">
        <x:v>46101</x:v>
      </x:c>
      <x:c r="D1936" s="17" t="n">
        <x:v>9</x:v>
      </x:c>
      <x:c r="E1936" s="17" t="n">
        <x:v>10</x:v>
      </x:c>
      <x:c r="F1936" s="18" t="n">
        <x:v>413.99</x:v>
      </x:c>
    </x:row>
    <x:row r="1937">
      <x:c r="A1937" s="14" t="str">
        <x:v>店长</x:v>
      </x:c>
      <x:c r="B1937" s="15" t="str">
        <x:v>徐跃男</x:v>
      </x:c>
      <x:c r="C1937" s="16" t="n">
        <x:v>46102</x:v>
      </x:c>
      <x:c r="D1937" s="17" t="n">
        <x:v>15</x:v>
      </x:c>
      <x:c r="E1937" s="17" t="n">
        <x:v>16</x:v>
      </x:c>
      <x:c r="F1937" s="18" t="n">
        <x:v>168.6</x:v>
      </x:c>
    </x:row>
    <x:row r="1938">
      <x:c r="A1938" s="14" t="str">
        <x:v>店长</x:v>
      </x:c>
      <x:c r="B1938" s="15" t="str">
        <x:v>徐跃男</x:v>
      </x:c>
      <x:c r="C1938" s="16" t="n">
        <x:v>46103</x:v>
      </x:c>
      <x:c r="D1938" s="17" t="n">
        <x:v>1</x:v>
      </x:c>
      <x:c r="E1938" s="17" t="n">
        <x:v>1</x:v>
      </x:c>
      <x:c r="F1938" s="18" t="n">
        <x:v>48.1</x:v>
      </x:c>
    </x:row>
    <x:row r="1939">
      <x:c r="A1939" s="14" t="str">
        <x:v>店长</x:v>
      </x:c>
      <x:c r="B1939" s="15" t="str">
        <x:v>徐跃男</x:v>
      </x:c>
      <x:c r="C1939" s="16" t="n">
        <x:v>46104</x:v>
      </x:c>
      <x:c r="D1939" s="17" t="n">
        <x:v>6</x:v>
      </x:c>
      <x:c r="E1939" s="17" t="n">
        <x:v>8</x:v>
      </x:c>
      <x:c r="F1939" s="18" t="n">
        <x:v>547.42</x:v>
      </x:c>
    </x:row>
    <x:row r="1940">
      <x:c r="A1940" s="14" t="str">
        <x:v>店长</x:v>
      </x:c>
      <x:c r="B1940" s="15" t="str">
        <x:v>徐跃男</x:v>
      </x:c>
      <x:c r="C1940" s="16" t="n">
        <x:v>46105</x:v>
      </x:c>
      <x:c r="D1940" s="17" t="n">
        <x:v>24</x:v>
      </x:c>
      <x:c r="E1940" s="17" t="n">
        <x:v>26</x:v>
      </x:c>
      <x:c r="F1940" s="18" t="n">
        <x:v>651.16</x:v>
      </x:c>
    </x:row>
    <x:row r="1941">
      <x:c r="A1941" s="14" t="str">
        <x:v>店长</x:v>
      </x:c>
      <x:c r="B1941" s="15" t="str">
        <x:v>徐跃男</x:v>
      </x:c>
      <x:c r="C1941" s="16" t="n">
        <x:v>46106</x:v>
      </x:c>
      <x:c r="D1941" s="17" t="n">
        <x:v>0</x:v>
      </x:c>
      <x:c r="E1941" s="17" t="n">
        <x:v>0</x:v>
      </x:c>
      <x:c r="F1941" s="18" t="n">
        <x:v>0</x:v>
      </x:c>
    </x:row>
    <x:row r="1942">
      <x:c r="A1942" s="14" t="str">
        <x:v>店长</x:v>
      </x:c>
      <x:c r="B1942" s="15" t="str">
        <x:v>徐跃男</x:v>
      </x:c>
      <x:c r="C1942" s="16" t="n">
        <x:v>46107</x:v>
      </x:c>
      <x:c r="D1942" s="17" t="n">
        <x:v>34</x:v>
      </x:c>
      <x:c r="E1942" s="17" t="n">
        <x:v>43</x:v>
      </x:c>
      <x:c r="F1942" s="18" t="n">
        <x:v>1713.79</x:v>
      </x:c>
    </x:row>
    <x:row r="1943">
      <x:c r="A1943" s="14" t="str">
        <x:v>店长</x:v>
      </x:c>
      <x:c r="B1943" s="15" t="str">
        <x:v>徐跃男</x:v>
      </x:c>
      <x:c r="C1943" s="16" t="n">
        <x:v>46108</x:v>
      </x:c>
      <x:c r="D1943" s="17" t="n">
        <x:v>16</x:v>
      </x:c>
      <x:c r="E1943" s="17" t="n">
        <x:v>16</x:v>
      </x:c>
      <x:c r="F1943" s="18" t="n">
        <x:v>540.27</x:v>
      </x:c>
    </x:row>
    <x:row r="1944">
      <x:c r="A1944" s="14" t="str">
        <x:v>店长</x:v>
      </x:c>
      <x:c r="B1944" s="15" t="str">
        <x:v>徐跃男</x:v>
      </x:c>
      <x:c r="C1944" s="16" t="n">
        <x:v>46109</x:v>
      </x:c>
      <x:c r="D1944" s="17" t="n">
        <x:v>13</x:v>
      </x:c>
      <x:c r="E1944" s="17" t="n">
        <x:v>13</x:v>
      </x:c>
      <x:c r="F1944" s="18" t="n">
        <x:v>489.89</x:v>
      </x:c>
    </x:row>
    <x:row r="1945">
      <x:c r="A1945" s="14" t="str">
        <x:v>店长</x:v>
      </x:c>
      <x:c r="B1945" s="15" t="str">
        <x:v>徐跃男</x:v>
      </x:c>
      <x:c r="C1945" s="16" t="n">
        <x:v>46110</x:v>
      </x:c>
      <x:c r="D1945" s="17" t="n">
        <x:v>8</x:v>
      </x:c>
      <x:c r="E1945" s="17" t="n">
        <x:v>10</x:v>
      </x:c>
      <x:c r="F1945" s="18" t="n">
        <x:v>315.44</x:v>
      </x:c>
    </x:row>
    <x:row r="1946">
      <x:c r="A1946" s="14" t="str">
        <x:v>店长</x:v>
      </x:c>
      <x:c r="B1946" s="15" t="str">
        <x:v>徐跃男</x:v>
      </x:c>
      <x:c r="C1946" s="16" t="n">
        <x:v>46111</x:v>
      </x:c>
      <x:c r="D1946" s="17" t="n">
        <x:v>17</x:v>
      </x:c>
      <x:c r="E1946" s="17" t="n">
        <x:v>18</x:v>
      </x:c>
      <x:c r="F1946" s="18" t="n">
        <x:v>764.94</x:v>
      </x:c>
    </x:row>
    <x:row r="1947">
      <x:c r="A1947" s="14" t="str">
        <x:v>店长</x:v>
      </x:c>
      <x:c r="B1947" s="15" t="str">
        <x:v>徐跃男</x:v>
      </x:c>
      <x:c r="C1947" s="16" t="n">
        <x:v>46112</x:v>
      </x:c>
      <x:c r="D1947" s="17" t="n">
        <x:v>22</x:v>
      </x:c>
      <x:c r="E1947" s="17" t="n">
        <x:v>29</x:v>
      </x:c>
      <x:c r="F1947" s="18" t="n">
        <x:v>-746.01</x:v>
      </x:c>
    </x:row>
    <x:row r="1948">
      <x:c r="A1948" s="14" t="str">
        <x:v>店长</x:v>
      </x:c>
      <x:c r="B1948" s="15" t="str">
        <x:v>徐跃男</x:v>
      </x:c>
      <x:c r="C1948" s="16" t="n">
        <x:v>46113</x:v>
      </x:c>
      <x:c r="D1948" s="17" t="n">
        <x:v>16</x:v>
      </x:c>
      <x:c r="E1948" s="17" t="n">
        <x:v>18</x:v>
      </x:c>
      <x:c r="F1948" s="18" t="n">
        <x:v>488.4</x:v>
      </x:c>
    </x:row>
    <x:row r="1949">
      <x:c r="A1949" s="14" t="str">
        <x:v>店长</x:v>
      </x:c>
      <x:c r="B1949" s="15" t="str">
        <x:v>徐跃男</x:v>
      </x:c>
      <x:c r="C1949" s="16" t="n">
        <x:v>46114</x:v>
      </x:c>
      <x:c r="D1949" s="17" t="n">
        <x:v>25</x:v>
      </x:c>
      <x:c r="E1949" s="17" t="n">
        <x:v>32</x:v>
      </x:c>
      <x:c r="F1949" s="18" t="n">
        <x:v>851.72</x:v>
      </x:c>
    </x:row>
    <x:row r="1950">
      <x:c r="A1950" s="14" t="str">
        <x:v>店长</x:v>
      </x:c>
      <x:c r="B1950" s="15" t="str">
        <x:v>徐跃男</x:v>
      </x:c>
      <x:c r="C1950" s="16" t="n">
        <x:v>46115</x:v>
      </x:c>
      <x:c r="D1950" s="17" t="n">
        <x:v>28</x:v>
      </x:c>
      <x:c r="E1950" s="17" t="n">
        <x:v>32</x:v>
      </x:c>
      <x:c r="F1950" s="18" t="n">
        <x:v>932.29</x:v>
      </x:c>
    </x:row>
    <x:row r="1951">
      <x:c r="A1951" s="14" t="str">
        <x:v>店长</x:v>
      </x:c>
      <x:c r="B1951" s="15" t="str">
        <x:v>徐跃男</x:v>
      </x:c>
      <x:c r="C1951" s="16" t="n">
        <x:v>46116</x:v>
      </x:c>
      <x:c r="D1951" s="17" t="n">
        <x:v>16</x:v>
      </x:c>
      <x:c r="E1951" s="17" t="n">
        <x:v>19</x:v>
      </x:c>
      <x:c r="F1951" s="18" t="n">
        <x:v>572.31</x:v>
      </x:c>
    </x:row>
    <x:row r="1952">
      <x:c r="A1952" s="14" t="str">
        <x:v>店长</x:v>
      </x:c>
      <x:c r="B1952" s="15" t="str">
        <x:v>徐跃男</x:v>
      </x:c>
      <x:c r="C1952" s="16" t="n">
        <x:v>46117</x:v>
      </x:c>
      <x:c r="D1952" s="17" t="n">
        <x:v>2</x:v>
      </x:c>
      <x:c r="E1952" s="17" t="n">
        <x:v>2</x:v>
      </x:c>
      <x:c r="F1952" s="18" t="n">
        <x:v>236.58</x:v>
      </x:c>
    </x:row>
    <x:row r="1953">
      <x:c r="A1953" s="14" t="str">
        <x:v>店长</x:v>
      </x:c>
      <x:c r="B1953" s="15" t="str">
        <x:v>徐跃男</x:v>
      </x:c>
      <x:c r="C1953" s="16" t="n">
        <x:v>46118</x:v>
      </x:c>
      <x:c r="D1953" s="17" t="n">
        <x:v>6</x:v>
      </x:c>
      <x:c r="E1953" s="17" t="n">
        <x:v>7</x:v>
      </x:c>
      <x:c r="F1953" s="18" t="n">
        <x:v>405.05</x:v>
      </x:c>
    </x:row>
    <x:row r="1954">
      <x:c r="A1954" s="14" t="str">
        <x:v>店长</x:v>
      </x:c>
      <x:c r="B1954" s="15" t="str">
        <x:v>徐跃男</x:v>
      </x:c>
      <x:c r="C1954" s="16" t="n">
        <x:v>46119</x:v>
      </x:c>
      <x:c r="D1954" s="17" t="n">
        <x:v>43</x:v>
      </x:c>
      <x:c r="E1954" s="17" t="n">
        <x:v>54</x:v>
      </x:c>
      <x:c r="F1954" s="18" t="n">
        <x:v>2243.3</x:v>
      </x:c>
    </x:row>
    <x:row r="1955">
      <x:c r="A1955" s="14" t="str">
        <x:v>店长</x:v>
      </x:c>
      <x:c r="B1955" s="15" t="str">
        <x:v>徐跃男</x:v>
      </x:c>
      <x:c r="C1955" s="16" t="n">
        <x:v>46120</x:v>
      </x:c>
      <x:c r="D1955" s="17" t="n">
        <x:v>22</x:v>
      </x:c>
      <x:c r="E1955" s="17" t="n">
        <x:v>26</x:v>
      </x:c>
      <x:c r="F1955" s="18" t="n">
        <x:v>955.95</x:v>
      </x:c>
    </x:row>
    <x:row r="1956">
      <x:c r="A1956" s="14" t="str">
        <x:v>店长</x:v>
      </x:c>
      <x:c r="B1956" s="15" t="str">
        <x:v>徐跃男</x:v>
      </x:c>
      <x:c r="C1956" s="16" t="n">
        <x:v>46121</x:v>
      </x:c>
      <x:c r="D1956" s="17" t="n">
        <x:v>24</x:v>
      </x:c>
      <x:c r="E1956" s="17" t="n">
        <x:v>24</x:v>
      </x:c>
      <x:c r="F1956" s="18" t="n">
        <x:v>769.8</x:v>
      </x:c>
    </x:row>
    <x:row r="1957">
      <x:c r="A1957" s="14" t="str">
        <x:v>店长</x:v>
      </x:c>
      <x:c r="B1957" s="15" t="str">
        <x:v>徐跃男</x:v>
      </x:c>
      <x:c r="C1957" s="16" t="n">
        <x:v>46122</x:v>
      </x:c>
      <x:c r="D1957" s="17" t="n">
        <x:v>26</x:v>
      </x:c>
      <x:c r="E1957" s="17" t="n">
        <x:v>31</x:v>
      </x:c>
      <x:c r="F1957" s="18" t="n">
        <x:v>1039.39</x:v>
      </x:c>
    </x:row>
    <x:row r="1958">
      <x:c r="A1958" s="14" t="str">
        <x:v>店长</x:v>
      </x:c>
      <x:c r="B1958" s="15" t="str">
        <x:v>徐跃男</x:v>
      </x:c>
      <x:c r="C1958" s="16" t="n">
        <x:v>46123</x:v>
      </x:c>
      <x:c r="D1958" s="17" t="n">
        <x:v>13</x:v>
      </x:c>
      <x:c r="E1958" s="17" t="n">
        <x:v>16</x:v>
      </x:c>
      <x:c r="F1958" s="18" t="n">
        <x:v>426.77</x:v>
      </x:c>
    </x:row>
    <x:row r="1959">
      <x:c r="A1959" s="14" t="str">
        <x:v>店长</x:v>
      </x:c>
      <x:c r="B1959" s="15" t="str">
        <x:v>徐跃男</x:v>
      </x:c>
      <x:c r="C1959" s="16" t="n">
        <x:v>46124</x:v>
      </x:c>
      <x:c r="D1959" s="17" t="n">
        <x:v>7</x:v>
      </x:c>
      <x:c r="E1959" s="17" t="n">
        <x:v>7</x:v>
      </x:c>
      <x:c r="F1959" s="18" t="n">
        <x:v>347.22</x:v>
      </x:c>
    </x:row>
    <x:row r="1960">
      <x:c r="A1960" s="14" t="str">
        <x:v>店长</x:v>
      </x:c>
      <x:c r="B1960" s="15" t="str">
        <x:v>徐跃男</x:v>
      </x:c>
      <x:c r="C1960" s="16" t="n">
        <x:v>46125</x:v>
      </x:c>
      <x:c r="D1960" s="17" t="n">
        <x:v>6</x:v>
      </x:c>
      <x:c r="E1960" s="17" t="n">
        <x:v>6</x:v>
      </x:c>
      <x:c r="F1960" s="18" t="n">
        <x:v>266.46</x:v>
      </x:c>
    </x:row>
    <x:row r="1961">
      <x:c r="A1961" s="14" t="str">
        <x:v>店长</x:v>
      </x:c>
      <x:c r="B1961" s="15" t="str">
        <x:v>徐跃男</x:v>
      </x:c>
      <x:c r="C1961" s="16" t="n">
        <x:v>46126</x:v>
      </x:c>
      <x:c r="D1961" s="17" t="n">
        <x:v>24</x:v>
      </x:c>
      <x:c r="E1961" s="17" t="n">
        <x:v>24</x:v>
      </x:c>
      <x:c r="F1961" s="18" t="n">
        <x:v>993.84</x:v>
      </x:c>
    </x:row>
    <x:row r="1962">
      <x:c r="A1962" s="14" t="str">
        <x:v>店长</x:v>
      </x:c>
      <x:c r="B1962" s="15" t="str">
        <x:v>徐跃男</x:v>
      </x:c>
      <x:c r="C1962" s="16" t="n">
        <x:v>46127</x:v>
      </x:c>
      <x:c r="D1962" s="17" t="n">
        <x:v>15</x:v>
      </x:c>
      <x:c r="E1962" s="17" t="n">
        <x:v>18</x:v>
      </x:c>
      <x:c r="F1962" s="18" t="n">
        <x:v>624.63</x:v>
      </x:c>
    </x:row>
    <x:row r="1963">
      <x:c r="A1963" s="14" t="str">
        <x:v>店长</x:v>
      </x:c>
      <x:c r="B1963" s="15" t="str">
        <x:v>徐跃男</x:v>
      </x:c>
      <x:c r="C1963" s="16" t="n">
        <x:v>46128</x:v>
      </x:c>
      <x:c r="D1963" s="17" t="n">
        <x:v>11</x:v>
      </x:c>
      <x:c r="E1963" s="17" t="n">
        <x:v>12</x:v>
      </x:c>
      <x:c r="F1963" s="18" t="n">
        <x:v>397.57</x:v>
      </x:c>
    </x:row>
    <x:row r="1964">
      <x:c r="A1964" s="14" t="str">
        <x:v>店长</x:v>
      </x:c>
      <x:c r="B1964" s="15" t="str">
        <x:v>徐跃男</x:v>
      </x:c>
      <x:c r="C1964" s="16" t="n">
        <x:v>46129</x:v>
      </x:c>
      <x:c r="D1964" s="17" t="n">
        <x:v>19</x:v>
      </x:c>
      <x:c r="E1964" s="17" t="n">
        <x:v>24</x:v>
      </x:c>
      <x:c r="F1964" s="18" t="n">
        <x:v>1039.51</x:v>
      </x:c>
    </x:row>
    <x:row r="1965">
      <x:c r="A1965" s="14" t="str">
        <x:v>店长</x:v>
      </x:c>
      <x:c r="B1965" s="15" t="str">
        <x:v>徐跃男</x:v>
      </x:c>
      <x:c r="C1965" s="16" t="n">
        <x:v>46130</x:v>
      </x:c>
      <x:c r="D1965" s="17" t="n">
        <x:v>14</x:v>
      </x:c>
      <x:c r="E1965" s="17" t="n">
        <x:v>15</x:v>
      </x:c>
      <x:c r="F1965" s="18" t="n">
        <x:v>489.66</x:v>
      </x:c>
    </x:row>
    <x:row r="1966">
      <x:c r="A1966" s="14" t="str">
        <x:v>店长</x:v>
      </x:c>
      <x:c r="B1966" s="15" t="str">
        <x:v>徐跃男</x:v>
      </x:c>
      <x:c r="C1966" s="16" t="n">
        <x:v>46131</x:v>
      </x:c>
      <x:c r="D1966" s="17" t="n">
        <x:v>19</x:v>
      </x:c>
      <x:c r="E1966" s="17" t="n">
        <x:v>20</x:v>
      </x:c>
      <x:c r="F1966" s="18" t="n">
        <x:v>752.28</x:v>
      </x:c>
    </x:row>
    <x:row r="1967">
      <x:c r="A1967" s="14" t="str">
        <x:v>店长</x:v>
      </x:c>
      <x:c r="B1967" s="15" t="str">
        <x:v>徐跃男</x:v>
      </x:c>
      <x:c r="C1967" s="16" t="n">
        <x:v>46132</x:v>
      </x:c>
      <x:c r="D1967" s="17" t="n">
        <x:v>7</x:v>
      </x:c>
      <x:c r="E1967" s="17" t="n">
        <x:v>8</x:v>
      </x:c>
      <x:c r="F1967" s="18" t="n">
        <x:v>321.09</x:v>
      </x:c>
    </x:row>
    <x:row r="1968">
      <x:c r="A1968" s="14" t="str">
        <x:v>店长</x:v>
      </x:c>
      <x:c r="B1968" s="15" t="str">
        <x:v>徐跃男</x:v>
      </x:c>
      <x:c r="C1968" s="16" t="n">
        <x:v>46133</x:v>
      </x:c>
      <x:c r="D1968" s="17" t="n">
        <x:v>26</x:v>
      </x:c>
      <x:c r="E1968" s="17" t="n">
        <x:v>28</x:v>
      </x:c>
      <x:c r="F1968" s="18" t="n">
        <x:v>1128.75</x:v>
      </x:c>
    </x:row>
    <x:row r="1969">
      <x:c r="A1969" s="14" t="str">
        <x:v>店长</x:v>
      </x:c>
      <x:c r="B1969" s="15" t="str">
        <x:v>徐跃男</x:v>
      </x:c>
      <x:c r="C1969" s="16" t="n">
        <x:v>46134</x:v>
      </x:c>
      <x:c r="D1969" s="17" t="n">
        <x:v>21</x:v>
      </x:c>
      <x:c r="E1969" s="17" t="n">
        <x:v>26</x:v>
      </x:c>
      <x:c r="F1969" s="18" t="n">
        <x:v>912.64</x:v>
      </x:c>
    </x:row>
    <x:row r="1970">
      <x:c r="A1970" s="14" t="str">
        <x:v>店长</x:v>
      </x:c>
      <x:c r="B1970" s="15" t="str">
        <x:v>徐跃男</x:v>
      </x:c>
      <x:c r="C1970" s="16" t="n">
        <x:v>46135</x:v>
      </x:c>
      <x:c r="D1970" s="17" t="n">
        <x:v>33</x:v>
      </x:c>
      <x:c r="E1970" s="17" t="n">
        <x:v>42</x:v>
      </x:c>
      <x:c r="F1970" s="18" t="n">
        <x:v>1567.5</x:v>
      </x:c>
    </x:row>
    <x:row r="1971">
      <x:c r="A1971" s="14" t="str">
        <x:v>店长</x:v>
      </x:c>
      <x:c r="B1971" s="15" t="str">
        <x:v>徐跃男</x:v>
      </x:c>
      <x:c r="C1971" s="16" t="n">
        <x:v>46136</x:v>
      </x:c>
      <x:c r="D1971" s="17" t="n">
        <x:v>17</x:v>
      </x:c>
      <x:c r="E1971" s="17" t="n">
        <x:v>19</x:v>
      </x:c>
      <x:c r="F1971" s="18" t="n">
        <x:v>701.43</x:v>
      </x:c>
    </x:row>
    <x:row r="1972">
      <x:c r="A1972" s="14" t="str">
        <x:v>店长</x:v>
      </x:c>
      <x:c r="B1972" s="15" t="str">
        <x:v>徐跃男</x:v>
      </x:c>
      <x:c r="C1972" s="16" t="n">
        <x:v>46137</x:v>
      </x:c>
      <x:c r="D1972" s="17" t="n">
        <x:v>21</x:v>
      </x:c>
      <x:c r="E1972" s="17" t="n">
        <x:v>26</x:v>
      </x:c>
      <x:c r="F1972" s="18" t="n">
        <x:v>1087.27</x:v>
      </x:c>
    </x:row>
    <x:row r="1973">
      <x:c r="A1973" s="14" t="str">
        <x:v>店长</x:v>
      </x:c>
      <x:c r="B1973" s="15" t="str">
        <x:v>徐跃男</x:v>
      </x:c>
      <x:c r="C1973" s="16" t="n">
        <x:v>46138</x:v>
      </x:c>
      <x:c r="D1973" s="17" t="n">
        <x:v>12</x:v>
      </x:c>
      <x:c r="E1973" s="17" t="n">
        <x:v>14</x:v>
      </x:c>
      <x:c r="F1973" s="18" t="n">
        <x:v>697.99</x:v>
      </x:c>
    </x:row>
    <x:row r="1974">
      <x:c r="A1974" s="14" t="str">
        <x:v>店长</x:v>
      </x:c>
      <x:c r="B1974" s="15" t="str">
        <x:v>徐跃男</x:v>
      </x:c>
      <x:c r="C1974" s="16" t="n">
        <x:v>46139</x:v>
      </x:c>
      <x:c r="D1974" s="17" t="n">
        <x:v>18</x:v>
      </x:c>
      <x:c r="E1974" s="17" t="n">
        <x:v>18</x:v>
      </x:c>
      <x:c r="F1974" s="18" t="n">
        <x:v>869.09</x:v>
      </x:c>
    </x:row>
    <x:row r="1975">
      <x:c r="A1975" s="14" t="str">
        <x:v>店长</x:v>
      </x:c>
      <x:c r="B1975" s="15" t="str">
        <x:v>徐跃男</x:v>
      </x:c>
      <x:c r="C1975" s="16" t="n">
        <x:v>46140</x:v>
      </x:c>
      <x:c r="D1975" s="17" t="n">
        <x:v>27</x:v>
      </x:c>
      <x:c r="E1975" s="17" t="n">
        <x:v>28</x:v>
      </x:c>
      <x:c r="F1975" s="18" t="n">
        <x:v>815.25</x:v>
      </x:c>
    </x:row>
    <x:row r="1976">
      <x:c r="A1976" s="14" t="str">
        <x:v>店长</x:v>
      </x:c>
      <x:c r="B1976" s="15" t="str">
        <x:v>徐跃男</x:v>
      </x:c>
      <x:c r="C1976" s="16" t="n">
        <x:v>46141</x:v>
      </x:c>
      <x:c r="D1976" s="17" t="n">
        <x:v>26</x:v>
      </x:c>
      <x:c r="E1976" s="17" t="n">
        <x:v>30</x:v>
      </x:c>
      <x:c r="F1976" s="18" t="n">
        <x:v>1079.98</x:v>
      </x:c>
    </x:row>
    <x:row r="1977">
      <x:c r="A1977" s="14" t="str">
        <x:v>店长</x:v>
      </x:c>
      <x:c r="B1977" s="15" t="str">
        <x:v>徐跃男</x:v>
      </x:c>
      <x:c r="C1977" s="16" t="n">
        <x:v>46142</x:v>
      </x:c>
      <x:c r="D1977" s="17" t="n">
        <x:v>17</x:v>
      </x:c>
      <x:c r="E1977" s="17" t="n">
        <x:v>18</x:v>
      </x:c>
      <x:c r="F1977" s="18" t="n">
        <x:v>327.1</x:v>
      </x:c>
    </x:row>
    <x:row r="1978">
      <x:c r="A1978" s="14" t="str">
        <x:v>店长</x:v>
      </x:c>
      <x:c r="B1978" s="15" t="str">
        <x:v>徐跃男</x:v>
      </x:c>
      <x:c r="C1978" s="16" t="n">
        <x:v>46143</x:v>
      </x:c>
      <x:c r="D1978" s="17" t="n">
        <x:v>17</x:v>
      </x:c>
      <x:c r="E1978" s="17" t="n">
        <x:v>19</x:v>
      </x:c>
      <x:c r="F1978" s="18" t="n">
        <x:v>585.5</x:v>
      </x:c>
    </x:row>
    <x:row r="1979">
      <x:c r="A1979" s="14" t="str">
        <x:v>店长</x:v>
      </x:c>
      <x:c r="B1979" s="15" t="str">
        <x:v>徐跃男</x:v>
      </x:c>
      <x:c r="C1979" s="16" t="n">
        <x:v>46144</x:v>
      </x:c>
      <x:c r="D1979" s="17" t="n">
        <x:v>13</x:v>
      </x:c>
      <x:c r="E1979" s="17" t="n">
        <x:v>13</x:v>
      </x:c>
      <x:c r="F1979" s="18" t="n">
        <x:v>482.54</x:v>
      </x:c>
    </x:row>
    <x:row r="1980">
      <x:c r="A1980" s="14" t="str">
        <x:v>店长</x:v>
      </x:c>
      <x:c r="B1980" s="15" t="str">
        <x:v>徐跃男</x:v>
      </x:c>
      <x:c r="C1980" s="16" t="n">
        <x:v>46145</x:v>
      </x:c>
      <x:c r="D1980" s="17" t="n">
        <x:v>25</x:v>
      </x:c>
      <x:c r="E1980" s="17" t="n">
        <x:v>28</x:v>
      </x:c>
      <x:c r="F1980" s="18" t="n">
        <x:v>1077.37</x:v>
      </x:c>
    </x:row>
    <x:row r="1981">
      <x:c r="A1981" s="14" t="str">
        <x:v>店长</x:v>
      </x:c>
      <x:c r="B1981" s="15" t="str">
        <x:v>徐跃男</x:v>
      </x:c>
      <x:c r="C1981" s="16" t="n">
        <x:v>46146</x:v>
      </x:c>
      <x:c r="D1981" s="17" t="n">
        <x:v>13</x:v>
      </x:c>
      <x:c r="E1981" s="17" t="n">
        <x:v>15</x:v>
      </x:c>
      <x:c r="F1981" s="18" t="n">
        <x:v>379.15</x:v>
      </x:c>
    </x:row>
    <x:row r="1982">
      <x:c r="A1982" s="14" t="str">
        <x:v>店长</x:v>
      </x:c>
      <x:c r="B1982" s="15" t="str">
        <x:v>徐跃男</x:v>
      </x:c>
      <x:c r="C1982" s="16" t="n">
        <x:v>46147</x:v>
      </x:c>
      <x:c r="D1982" s="17" t="n">
        <x:v>41</x:v>
      </x:c>
      <x:c r="E1982" s="17" t="n">
        <x:v>45</x:v>
      </x:c>
      <x:c r="F1982" s="18" t="n">
        <x:v>1707.74</x:v>
      </x:c>
    </x:row>
    <x:row r="1983">
      <x:c r="A1983" s="14" t="str">
        <x:v>店长</x:v>
      </x:c>
      <x:c r="B1983" s="15" t="str">
        <x:v>徐跃男</x:v>
      </x:c>
      <x:c r="C1983" s="16" t="n">
        <x:v>46148</x:v>
      </x:c>
      <x:c r="D1983" s="17" t="n">
        <x:v>21</x:v>
      </x:c>
      <x:c r="E1983" s="17" t="n">
        <x:v>21</x:v>
      </x:c>
      <x:c r="F1983" s="18" t="n">
        <x:v>803.1</x:v>
      </x:c>
    </x:row>
    <x:row r="1984">
      <x:c r="A1984" s="14" t="str">
        <x:v>店长</x:v>
      </x:c>
      <x:c r="B1984" s="15" t="str">
        <x:v>徐跃男</x:v>
      </x:c>
      <x:c r="C1984" s="16" t="n">
        <x:v>46149</x:v>
      </x:c>
      <x:c r="D1984" s="17" t="n">
        <x:v>17</x:v>
      </x:c>
      <x:c r="E1984" s="17" t="n">
        <x:v>21</x:v>
      </x:c>
      <x:c r="F1984" s="18" t="n">
        <x:v>679.6</x:v>
      </x:c>
    </x:row>
    <x:row r="1985">
      <x:c r="A1985" s="14" t="str">
        <x:v>店长</x:v>
      </x:c>
      <x:c r="B1985" s="15" t="str">
        <x:v>徐跃男</x:v>
      </x:c>
      <x:c r="C1985" s="16" t="n">
        <x:v>46150</x:v>
      </x:c>
      <x:c r="D1985" s="17" t="n">
        <x:v>15</x:v>
      </x:c>
      <x:c r="E1985" s="17" t="n">
        <x:v>22</x:v>
      </x:c>
      <x:c r="F1985" s="18" t="n">
        <x:v>684.8</x:v>
      </x:c>
    </x:row>
    <x:row r="1986">
      <x:c r="A1986" s="14" t="str">
        <x:v>店长</x:v>
      </x:c>
      <x:c r="B1986" s="15" t="str">
        <x:v>徐跃男</x:v>
      </x:c>
      <x:c r="C1986" s="16" t="n">
        <x:v>46151</x:v>
      </x:c>
      <x:c r="D1986" s="17" t="n">
        <x:v>11</x:v>
      </x:c>
      <x:c r="E1986" s="17" t="n">
        <x:v>26</x:v>
      </x:c>
      <x:c r="F1986" s="18" t="n">
        <x:v>680.39</x:v>
      </x:c>
    </x:row>
    <x:row r="1987">
      <x:c r="A1987" s="14" t="str">
        <x:v>店长</x:v>
      </x:c>
      <x:c r="B1987" s="15" t="str">
        <x:v>徐跃男</x:v>
      </x:c>
      <x:c r="C1987" s="16" t="n">
        <x:v>46152</x:v>
      </x:c>
      <x:c r="D1987" s="17" t="n">
        <x:v>13</x:v>
      </x:c>
      <x:c r="E1987" s="17" t="n">
        <x:v>15</x:v>
      </x:c>
      <x:c r="F1987" s="18" t="n">
        <x:v>409.29</x:v>
      </x:c>
    </x:row>
    <x:row r="1988">
      <x:c r="A1988" s="14" t="str">
        <x:v>店长</x:v>
      </x:c>
      <x:c r="B1988" s="15" t="str">
        <x:v>徐跃男</x:v>
      </x:c>
      <x:c r="C1988" s="16" t="n">
        <x:v>46153</x:v>
      </x:c>
      <x:c r="D1988" s="17" t="n">
        <x:v>13</x:v>
      </x:c>
      <x:c r="E1988" s="17" t="n">
        <x:v>13</x:v>
      </x:c>
      <x:c r="F1988" s="18" t="n">
        <x:v>386.96</x:v>
      </x:c>
    </x:row>
    <x:row r="1989">
      <x:c r="A1989" s="14" t="str">
        <x:v>店长</x:v>
      </x:c>
      <x:c r="B1989" s="15" t="str">
        <x:v>徐跃男</x:v>
      </x:c>
      <x:c r="C1989" s="16" t="n">
        <x:v>46154</x:v>
      </x:c>
      <x:c r="D1989" s="17" t="n">
        <x:v>19</x:v>
      </x:c>
      <x:c r="E1989" s="17" t="n">
        <x:v>20</x:v>
      </x:c>
      <x:c r="F1989" s="18" t="n">
        <x:v>811.37</x:v>
      </x:c>
    </x:row>
    <x:row r="1990">
      <x:c r="A1990" s="14" t="str">
        <x:v>店长</x:v>
      </x:c>
      <x:c r="B1990" s="15" t="str">
        <x:v>徐跃男</x:v>
      </x:c>
      <x:c r="C1990" s="16" t="n">
        <x:v>46155</x:v>
      </x:c>
      <x:c r="D1990" s="17" t="n">
        <x:v>20</x:v>
      </x:c>
      <x:c r="E1990" s="17" t="n">
        <x:v>21</x:v>
      </x:c>
      <x:c r="F1990" s="18" t="n">
        <x:v>830.51</x:v>
      </x:c>
    </x:row>
    <x:row r="1991">
      <x:c r="A1991" s="14" t="str">
        <x:v>店长</x:v>
      </x:c>
      <x:c r="B1991" s="15" t="str">
        <x:v>徐跃男</x:v>
      </x:c>
      <x:c r="C1991" s="16" t="n">
        <x:v>46156</x:v>
      </x:c>
      <x:c r="D1991" s="17" t="n">
        <x:v>11</x:v>
      </x:c>
      <x:c r="E1991" s="17" t="n">
        <x:v>26</x:v>
      </x:c>
      <x:c r="F1991" s="18" t="n">
        <x:v>999.25</x:v>
      </x:c>
    </x:row>
    <x:row r="1992">
      <x:c r="A1992" s="14" t="str">
        <x:v>店长</x:v>
      </x:c>
      <x:c r="B1992" s="15" t="str">
        <x:v>徐跃男</x:v>
      </x:c>
      <x:c r="C1992" s="16" t="n">
        <x:v>46157</x:v>
      </x:c>
      <x:c r="D1992" s="17" t="n">
        <x:v>12</x:v>
      </x:c>
      <x:c r="E1992" s="17" t="n">
        <x:v>15</x:v>
      </x:c>
      <x:c r="F1992" s="18" t="n">
        <x:v>487.43</x:v>
      </x:c>
    </x:row>
    <x:row r="1993">
      <x:c r="A1993" s="14" t="str">
        <x:v>店长</x:v>
      </x:c>
      <x:c r="B1993" s="15" t="str">
        <x:v>徐跃男</x:v>
      </x:c>
      <x:c r="C1993" s="16" t="n">
        <x:v>46158</x:v>
      </x:c>
      <x:c r="D1993" s="17" t="n">
        <x:v>10</x:v>
      </x:c>
      <x:c r="E1993" s="17" t="n">
        <x:v>11</x:v>
      </x:c>
      <x:c r="F1993" s="18" t="n">
        <x:v>479.74</x:v>
      </x:c>
    </x:row>
    <x:row r="1994">
      <x:c r="A1994" s="14" t="str">
        <x:v>店长</x:v>
      </x:c>
      <x:c r="B1994" s="15" t="str">
        <x:v>徐跃男</x:v>
      </x:c>
      <x:c r="C1994" s="16" t="n">
        <x:v>46159</x:v>
      </x:c>
      <x:c r="D1994" s="17" t="n">
        <x:v>7</x:v>
      </x:c>
      <x:c r="E1994" s="17" t="n">
        <x:v>16</x:v>
      </x:c>
      <x:c r="F1994" s="18" t="n">
        <x:v>528.82</x:v>
      </x:c>
    </x:row>
    <x:row r="1995">
      <x:c r="A1995" s="14" t="str">
        <x:v>店长</x:v>
      </x:c>
      <x:c r="B1995" s="15" t="str">
        <x:v>徐跃男</x:v>
      </x:c>
      <x:c r="C1995" s="16" t="n">
        <x:v>46160</x:v>
      </x:c>
      <x:c r="D1995" s="17" t="n">
        <x:v>1</x:v>
      </x:c>
      <x:c r="E1995" s="17" t="n">
        <x:v>1</x:v>
      </x:c>
      <x:c r="F1995" s="18" t="n">
        <x:v>43.4</x:v>
      </x:c>
    </x:row>
    <x:row r="1996">
      <x:c r="A1996" s="14" t="str">
        <x:v>店长</x:v>
      </x:c>
      <x:c r="B1996" s="15" t="str">
        <x:v>徐跃男</x:v>
      </x:c>
      <x:c r="C1996" s="16" t="n">
        <x:v>46161</x:v>
      </x:c>
      <x:c r="D1996" s="17" t="n">
        <x:v>21</x:v>
      </x:c>
      <x:c r="E1996" s="17" t="n">
        <x:v>22</x:v>
      </x:c>
      <x:c r="F1996" s="18" t="n">
        <x:v>963.4</x:v>
      </x:c>
    </x:row>
    <x:row r="1997">
      <x:c r="A1997" s="14" t="str">
        <x:v>店长</x:v>
      </x:c>
      <x:c r="B1997" s="15" t="str">
        <x:v>徐跃男</x:v>
      </x:c>
      <x:c r="C1997" s="16" t="n">
        <x:v>46162</x:v>
      </x:c>
      <x:c r="D1997" s="17" t="n">
        <x:v>23</x:v>
      </x:c>
      <x:c r="E1997" s="17" t="n">
        <x:v>25</x:v>
      </x:c>
      <x:c r="F1997" s="18" t="n">
        <x:v>1131.03</x:v>
      </x:c>
    </x:row>
    <x:row r="1998">
      <x:c r="A1998" s="14" t="str">
        <x:v>店长</x:v>
      </x:c>
      <x:c r="B1998" s="15" t="str">
        <x:v>徐跃男</x:v>
      </x:c>
      <x:c r="C1998" s="16" t="n">
        <x:v>46163</x:v>
      </x:c>
      <x:c r="D1998" s="17" t="n">
        <x:v>10</x:v>
      </x:c>
      <x:c r="E1998" s="17" t="n">
        <x:v>10</x:v>
      </x:c>
      <x:c r="F1998" s="18" t="n">
        <x:v>378</x:v>
      </x:c>
    </x:row>
    <x:row r="1999">
      <x:c r="A1999" s="14" t="str">
        <x:v>店长</x:v>
      </x:c>
      <x:c r="B1999" s="15" t="str">
        <x:v>徐跃男</x:v>
      </x:c>
      <x:c r="C1999" s="16" t="n">
        <x:v>46164</x:v>
      </x:c>
      <x:c r="D1999" s="17" t="n">
        <x:v>27</x:v>
      </x:c>
      <x:c r="E1999" s="17" t="n">
        <x:v>28</x:v>
      </x:c>
      <x:c r="F1999" s="18" t="n">
        <x:v>959.57</x:v>
      </x:c>
    </x:row>
    <x:row r="2000">
      <x:c r="A2000" s="14" t="str">
        <x:v>店长</x:v>
      </x:c>
      <x:c r="B2000" s="15" t="str">
        <x:v>徐跃男</x:v>
      </x:c>
      <x:c r="C2000" s="16" t="n">
        <x:v>46165</x:v>
      </x:c>
      <x:c r="D2000" s="17" t="n">
        <x:v>11</x:v>
      </x:c>
      <x:c r="E2000" s="17" t="n">
        <x:v>11</x:v>
      </x:c>
      <x:c r="F2000" s="18" t="n">
        <x:v>454.93</x:v>
      </x:c>
    </x:row>
    <x:row r="2001">
      <x:c r="A2001" s="14" t="str">
        <x:v>店长</x:v>
      </x:c>
      <x:c r="B2001" s="15" t="str">
        <x:v>徐跃男</x:v>
      </x:c>
      <x:c r="C2001" s="16" t="n">
        <x:v>46166</x:v>
      </x:c>
      <x:c r="D2001" s="17" t="n">
        <x:v>12</x:v>
      </x:c>
      <x:c r="E2001" s="17" t="n">
        <x:v>14</x:v>
      </x:c>
      <x:c r="F2001" s="18" t="n">
        <x:v>646.42</x:v>
      </x:c>
    </x:row>
    <x:row r="2002">
      <x:c r="A2002" s="14" t="str">
        <x:v>店长</x:v>
      </x:c>
      <x:c r="B2002" s="15" t="str">
        <x:v>徐跃男</x:v>
      </x:c>
      <x:c r="C2002" s="16" t="n">
        <x:v>46167</x:v>
      </x:c>
      <x:c r="D2002" s="17" t="n">
        <x:v>4</x:v>
      </x:c>
      <x:c r="E2002" s="17" t="n">
        <x:v>4</x:v>
      </x:c>
      <x:c r="F2002" s="18" t="n">
        <x:v>200.38</x:v>
      </x:c>
    </x:row>
    <x:row r="2003">
      <x:c r="A2003" s="14" t="str">
        <x:v>店长</x:v>
      </x:c>
      <x:c r="B2003" s="15" t="str">
        <x:v>徐跃男</x:v>
      </x:c>
      <x:c r="C2003" s="16" t="n">
        <x:v>46168</x:v>
      </x:c>
      <x:c r="D2003" s="17" t="n">
        <x:v>8</x:v>
      </x:c>
      <x:c r="E2003" s="17" t="n">
        <x:v>8</x:v>
      </x:c>
      <x:c r="F2003" s="18" t="n">
        <x:v>371.69</x:v>
      </x:c>
    </x:row>
    <x:row r="2004">
      <x:c r="A2004" s="14" t="str">
        <x:v>店长</x:v>
      </x:c>
      <x:c r="B2004" s="15" t="str">
        <x:v>徐跃男</x:v>
      </x:c>
      <x:c r="C2004" s="16" t="n">
        <x:v>46169</x:v>
      </x:c>
      <x:c r="D2004" s="17" t="n">
        <x:v>16</x:v>
      </x:c>
      <x:c r="E2004" s="17" t="n">
        <x:v>21</x:v>
      </x:c>
      <x:c r="F2004" s="18" t="n">
        <x:v>1011.08</x:v>
      </x:c>
    </x:row>
    <x:row r="2005">
      <x:c r="A2005" s="14" t="str">
        <x:v>店长</x:v>
      </x:c>
      <x:c r="B2005" s="15" t="str">
        <x:v>徐跃男</x:v>
      </x:c>
      <x:c r="C2005" s="16" t="n">
        <x:v>46170</x:v>
      </x:c>
      <x:c r="D2005" s="17" t="n">
        <x:v>8</x:v>
      </x:c>
      <x:c r="E2005" s="17" t="n">
        <x:v>8</x:v>
      </x:c>
      <x:c r="F2005" s="18" t="n">
        <x:v>462.38</x:v>
      </x:c>
    </x:row>
    <x:row r="2006">
      <x:c r="A2006" s="14" t="str">
        <x:v>店长</x:v>
      </x:c>
      <x:c r="B2006" s="15" t="str">
        <x:v>徐跃男</x:v>
      </x:c>
      <x:c r="C2006" s="16" t="n">
        <x:v>46171</x:v>
      </x:c>
      <x:c r="D2006" s="17" t="n">
        <x:v>11</x:v>
      </x:c>
      <x:c r="E2006" s="17" t="n">
        <x:v>16</x:v>
      </x:c>
      <x:c r="F2006" s="18" t="n">
        <x:v>571.5</x:v>
      </x:c>
    </x:row>
    <x:row r="2007">
      <x:c r="A2007" s="14" t="str">
        <x:v>店长</x:v>
      </x:c>
      <x:c r="B2007" s="15" t="str">
        <x:v>徐跃男</x:v>
      </x:c>
      <x:c r="C2007" s="16" t="n">
        <x:v>46172</x:v>
      </x:c>
      <x:c r="D2007" s="17" t="n">
        <x:v>11</x:v>
      </x:c>
      <x:c r="E2007" s="17" t="n">
        <x:v>17</x:v>
      </x:c>
      <x:c r="F2007" s="18" t="n">
        <x:v>645.12</x:v>
      </x:c>
    </x:row>
    <x:row r="2008">
      <x:c r="A2008" s="14" t="str">
        <x:v>店长</x:v>
      </x:c>
      <x:c r="B2008" s="15" t="str">
        <x:v>徐跃男</x:v>
      </x:c>
      <x:c r="C2008" s="16" t="n">
        <x:v>46173</x:v>
      </x:c>
      <x:c r="D2008" s="17" t="n">
        <x:v>10</x:v>
      </x:c>
      <x:c r="E2008" s="17" t="n">
        <x:v>12</x:v>
      </x:c>
      <x:c r="F2008" s="18" t="n">
        <x:v>234.55</x:v>
      </x:c>
    </x:row>
    <x:row r="2009">
      <x:c r="A2009" s="14" t="str">
        <x:v>店长</x:v>
      </x:c>
      <x:c r="B2009" s="15" t="str">
        <x:v>徐跃男</x:v>
      </x:c>
      <x:c r="C2009" s="16" t="n">
        <x:v>46174</x:v>
      </x:c>
      <x:c r="D2009" s="17" t="n">
        <x:v>9</x:v>
      </x:c>
      <x:c r="E2009" s="17" t="n">
        <x:v>11</x:v>
      </x:c>
      <x:c r="F2009" s="18" t="n">
        <x:v>561.01</x:v>
      </x:c>
    </x:row>
    <x:row r="2010">
      <x:c r="A2010" s="14" t="str">
        <x:v>店长</x:v>
      </x:c>
      <x:c r="B2010" s="15" t="str">
        <x:v>徐跃男</x:v>
      </x:c>
      <x:c r="C2010" s="16" t="n">
        <x:v>46175</x:v>
      </x:c>
      <x:c r="D2010" s="17" t="n">
        <x:v>9</x:v>
      </x:c>
      <x:c r="E2010" s="17" t="n">
        <x:v>10</x:v>
      </x:c>
      <x:c r="F2010" s="18" t="n">
        <x:v>454.24</x:v>
      </x:c>
    </x:row>
    <x:row r="2011">
      <x:c r="A2011" s="14" t="str">
        <x:v>店长</x:v>
      </x:c>
      <x:c r="B2011" s="15" t="str">
        <x:v>徐跃男</x:v>
      </x:c>
      <x:c r="C2011" s="16" t="n">
        <x:v>46176</x:v>
      </x:c>
      <x:c r="D2011" s="17" t="n">
        <x:v>16</x:v>
      </x:c>
      <x:c r="E2011" s="17" t="n">
        <x:v>29</x:v>
      </x:c>
      <x:c r="F2011" s="18" t="n">
        <x:v>940.92</x:v>
      </x:c>
    </x:row>
    <x:row r="2012">
      <x:c r="A2012" s="14" t="str">
        <x:v>店长</x:v>
      </x:c>
      <x:c r="B2012" s="15" t="str">
        <x:v>徐跃男</x:v>
      </x:c>
      <x:c r="C2012" s="16" t="n">
        <x:v>46177</x:v>
      </x:c>
      <x:c r="D2012" s="17" t="n">
        <x:v>1</x:v>
      </x:c>
      <x:c r="E2012" s="17" t="n">
        <x:v>2</x:v>
      </x:c>
      <x:c r="F2012" s="18" t="n">
        <x:v>214.7</x:v>
      </x:c>
    </x:row>
    <x:row r="2013">
      <x:c r="A2013" s="14" t="str">
        <x:v>店长</x:v>
      </x:c>
      <x:c r="B2013" s="15" t="str">
        <x:v>徐跃男</x:v>
      </x:c>
      <x:c r="C2013" s="16" t="n">
        <x:v>46178</x:v>
      </x:c>
      <x:c r="D2013" s="17" t="n">
        <x:v>17</x:v>
      </x:c>
      <x:c r="E2013" s="17" t="n">
        <x:v>30</x:v>
      </x:c>
      <x:c r="F2013" s="18" t="n">
        <x:v>1244.83</x:v>
      </x:c>
    </x:row>
    <x:row r="2014">
      <x:c r="A2014" s="14" t="str">
        <x:v>店长</x:v>
      </x:c>
      <x:c r="B2014" s="15" t="str">
        <x:v>徐跃男</x:v>
      </x:c>
      <x:c r="C2014" s="16" t="n">
        <x:v>46179</x:v>
      </x:c>
      <x:c r="D2014" s="17" t="n">
        <x:v>15</x:v>
      </x:c>
      <x:c r="E2014" s="17" t="n">
        <x:v>25</x:v>
      </x:c>
      <x:c r="F2014" s="18" t="n">
        <x:v>1013.99</x:v>
      </x:c>
    </x:row>
    <x:row r="2015">
      <x:c r="A2015" s="14" t="str">
        <x:v>店长</x:v>
      </x:c>
      <x:c r="B2015" s="15" t="str">
        <x:v>徐跃男</x:v>
      </x:c>
      <x:c r="C2015" s="16" t="n">
        <x:v>46180</x:v>
      </x:c>
      <x:c r="D2015" s="17" t="n">
        <x:v>5</x:v>
      </x:c>
      <x:c r="E2015" s="17" t="n">
        <x:v>6</x:v>
      </x:c>
      <x:c r="F2015" s="18" t="n">
        <x:v>337.18</x:v>
      </x:c>
    </x:row>
    <x:row r="2016">
      <x:c r="A2016" s="14" t="str">
        <x:v>店长</x:v>
      </x:c>
      <x:c r="B2016" s="15" t="str">
        <x:v>徐跃男</x:v>
      </x:c>
      <x:c r="C2016" s="16" t="n">
        <x:v>46181</x:v>
      </x:c>
      <x:c r="D2016" s="17" t="n">
        <x:v>4</x:v>
      </x:c>
      <x:c r="E2016" s="17" t="n">
        <x:v>4</x:v>
      </x:c>
      <x:c r="F2016" s="18" t="n">
        <x:v>177.5</x:v>
      </x:c>
    </x:row>
    <x:row r="2017">
      <x:c r="A2017" s="14" t="str">
        <x:v>店长</x:v>
      </x:c>
      <x:c r="B2017" s="15" t="str">
        <x:v>徐跃男</x:v>
      </x:c>
      <x:c r="C2017" s="16" t="n">
        <x:v>46182</x:v>
      </x:c>
      <x:c r="D2017" s="17" t="n">
        <x:v>15</x:v>
      </x:c>
      <x:c r="E2017" s="17" t="n">
        <x:v>18</x:v>
      </x:c>
      <x:c r="F2017" s="18" t="n">
        <x:v>832.15</x:v>
      </x:c>
    </x:row>
    <x:row r="2018">
      <x:c r="A2018" s="14" t="str">
        <x:v>店长</x:v>
      </x:c>
      <x:c r="B2018" s="15" t="str">
        <x:v>徐跃男</x:v>
      </x:c>
      <x:c r="C2018" s="16" t="n">
        <x:v>46183</x:v>
      </x:c>
      <x:c r="D2018" s="17" t="n">
        <x:v>12</x:v>
      </x:c>
      <x:c r="E2018" s="17" t="n">
        <x:v>16</x:v>
      </x:c>
      <x:c r="F2018" s="18" t="n">
        <x:v>859.16</x:v>
      </x:c>
    </x:row>
    <x:row r="2019">
      <x:c r="A2019" s="14" t="str">
        <x:v>店长</x:v>
      </x:c>
      <x:c r="B2019" s="15" t="str">
        <x:v>徐跃男</x:v>
      </x:c>
      <x:c r="C2019" s="16" t="n">
        <x:v>46184</x:v>
      </x:c>
      <x:c r="D2019" s="17" t="n">
        <x:v>13</x:v>
      </x:c>
      <x:c r="E2019" s="17" t="n">
        <x:v>15</x:v>
      </x:c>
      <x:c r="F2019" s="18" t="n">
        <x:v>987.56</x:v>
      </x:c>
    </x:row>
    <x:row r="2020">
      <x:c r="A2020" s="14" t="str">
        <x:v>店长</x:v>
      </x:c>
      <x:c r="B2020" s="15" t="str">
        <x:v>徐跃男</x:v>
      </x:c>
      <x:c r="C2020" s="16" t="n">
        <x:v>46185</x:v>
      </x:c>
      <x:c r="D2020" s="17" t="n">
        <x:v>10</x:v>
      </x:c>
      <x:c r="E2020" s="17" t="n">
        <x:v>19</x:v>
      </x:c>
      <x:c r="F2020" s="18" t="n">
        <x:v>555.53</x:v>
      </x:c>
    </x:row>
    <x:row r="2021">
      <x:c r="A2021" s="14" t="str">
        <x:v>店长</x:v>
      </x:c>
      <x:c r="B2021" s="15" t="str">
        <x:v>徐跃男</x:v>
      </x:c>
      <x:c r="C2021" s="16" t="n">
        <x:v>46186</x:v>
      </x:c>
      <x:c r="D2021" s="17" t="n">
        <x:v>7</x:v>
      </x:c>
      <x:c r="E2021" s="17" t="n">
        <x:v>8</x:v>
      </x:c>
      <x:c r="F2021" s="18" t="n">
        <x:v>448.08</x:v>
      </x:c>
    </x:row>
    <x:row r="2022">
      <x:c r="A2022" s="14" t="str">
        <x:v>店长</x:v>
      </x:c>
      <x:c r="B2022" s="15" t="str">
        <x:v>徐跃男</x:v>
      </x:c>
      <x:c r="C2022" s="16" t="n">
        <x:v>46187</x:v>
      </x:c>
      <x:c r="D2022" s="17" t="n">
        <x:v>7</x:v>
      </x:c>
      <x:c r="E2022" s="17" t="n">
        <x:v>7</x:v>
      </x:c>
      <x:c r="F2022" s="18" t="n">
        <x:v>520.38</x:v>
      </x:c>
    </x:row>
    <x:row r="2023">
      <x:c r="A2023" s="14" t="str">
        <x:v>店长</x:v>
      </x:c>
      <x:c r="B2023" s="15" t="str">
        <x:v>徐跃男</x:v>
      </x:c>
      <x:c r="C2023" s="16" t="n">
        <x:v>46188</x:v>
      </x:c>
      <x:c r="D2023" s="17" t="n">
        <x:v>3</x:v>
      </x:c>
      <x:c r="E2023" s="17" t="n">
        <x:v>4</x:v>
      </x:c>
      <x:c r="F2023" s="18" t="n">
        <x:v>155.37</x:v>
      </x:c>
    </x:row>
    <x:row r="2024">
      <x:c r="A2024" s="14" t="str">
        <x:v>店长</x:v>
      </x:c>
      <x:c r="B2024" s="15" t="str">
        <x:v>徐跃男</x:v>
      </x:c>
      <x:c r="C2024" s="16" t="n">
        <x:v>46189</x:v>
      </x:c>
      <x:c r="D2024" s="17" t="n">
        <x:v>12</x:v>
      </x:c>
      <x:c r="E2024" s="17" t="n">
        <x:v>12</x:v>
      </x:c>
      <x:c r="F2024" s="18" t="n">
        <x:v>623.47</x:v>
      </x:c>
    </x:row>
    <x:row r="2025">
      <x:c r="A2025" s="14" t="str">
        <x:v>店长</x:v>
      </x:c>
      <x:c r="B2025" s="15" t="str">
        <x:v>徐跃男</x:v>
      </x:c>
      <x:c r="C2025" s="16" t="n">
        <x:v>46190</x:v>
      </x:c>
      <x:c r="D2025" s="17" t="n">
        <x:v>9</x:v>
      </x:c>
      <x:c r="E2025" s="17" t="n">
        <x:v>12</x:v>
      </x:c>
      <x:c r="F2025" s="18" t="n">
        <x:v>460.88</x:v>
      </x:c>
    </x:row>
    <x:row r="2026">
      <x:c r="A2026" s="14" t="str">
        <x:v>店长</x:v>
      </x:c>
      <x:c r="B2026" s="15" t="str">
        <x:v>徐跃男</x:v>
      </x:c>
      <x:c r="C2026" s="16" t="n">
        <x:v>46191</x:v>
      </x:c>
      <x:c r="D2026" s="17" t="n">
        <x:v>8</x:v>
      </x:c>
      <x:c r="E2026" s="17" t="n">
        <x:v>9</x:v>
      </x:c>
      <x:c r="F2026" s="18" t="n">
        <x:v>469.29</x:v>
      </x:c>
    </x:row>
    <x:row r="2027">
      <x:c r="A2027" s="14" t="str">
        <x:v>店长</x:v>
      </x:c>
      <x:c r="B2027" s="15" t="str">
        <x:v>徐跃男</x:v>
      </x:c>
      <x:c r="C2027" s="16" t="n">
        <x:v>46192</x:v>
      </x:c>
      <x:c r="D2027" s="17" t="n">
        <x:v>1</x:v>
      </x:c>
      <x:c r="E2027" s="17" t="n">
        <x:v>1</x:v>
      </x:c>
      <x:c r="F2027" s="18" t="n">
        <x:v>43.4</x:v>
      </x:c>
    </x:row>
    <x:row r="2028">
      <x:c r="A2028" s="14" t="str">
        <x:v>店长</x:v>
      </x:c>
      <x:c r="B2028" s="15" t="str">
        <x:v>徐跃男</x:v>
      </x:c>
      <x:c r="C2028" s="16" t="n">
        <x:v>46193</x:v>
      </x:c>
      <x:c r="D2028" s="17" t="n">
        <x:v>8</x:v>
      </x:c>
      <x:c r="E2028" s="17" t="n">
        <x:v>8</x:v>
      </x:c>
      <x:c r="F2028" s="18" t="n">
        <x:v>332.82</x:v>
      </x:c>
    </x:row>
    <x:row r="2029">
      <x:c r="A2029" s="14" t="str">
        <x:v>店长</x:v>
      </x:c>
      <x:c r="B2029" s="15" t="str">
        <x:v>徐跃男</x:v>
      </x:c>
      <x:c r="C2029" s="16" t="n">
        <x:v>46194</x:v>
      </x:c>
      <x:c r="D2029" s="17" t="n">
        <x:v>4</x:v>
      </x:c>
      <x:c r="E2029" s="17" t="n">
        <x:v>5</x:v>
      </x:c>
      <x:c r="F2029" s="18" t="n">
        <x:v>172.45</x:v>
      </x:c>
    </x:row>
    <x:row r="2030">
      <x:c r="A2030" s="14" t="str">
        <x:v>店长</x:v>
      </x:c>
      <x:c r="B2030" s="15" t="str">
        <x:v>徐跃男</x:v>
      </x:c>
      <x:c r="C2030" s="16" t="n">
        <x:v>46195</x:v>
      </x:c>
      <x:c r="D2030" s="17" t="n">
        <x:v>3</x:v>
      </x:c>
      <x:c r="E2030" s="17" t="n">
        <x:v>3</x:v>
      </x:c>
      <x:c r="F2030" s="18" t="n">
        <x:v>123.52</x:v>
      </x:c>
    </x:row>
    <x:row r="2031">
      <x:c r="A2031" s="14" t="str">
        <x:v>店长</x:v>
      </x:c>
      <x:c r="B2031" s="15" t="str">
        <x:v>徐跃男</x:v>
      </x:c>
      <x:c r="C2031" s="16" t="n">
        <x:v>46196</x:v>
      </x:c>
      <x:c r="D2031" s="17" t="n">
        <x:v>15</x:v>
      </x:c>
      <x:c r="E2031" s="17" t="n">
        <x:v>17</x:v>
      </x:c>
      <x:c r="F2031" s="18" t="n">
        <x:v>809.91</x:v>
      </x:c>
    </x:row>
    <x:row r="2032">
      <x:c r="A2032" s="14" t="str">
        <x:v>店长</x:v>
      </x:c>
      <x:c r="B2032" s="15" t="str">
        <x:v>徐跃男</x:v>
      </x:c>
      <x:c r="C2032" s="16" t="n">
        <x:v>46197</x:v>
      </x:c>
      <x:c r="D2032" s="17" t="n">
        <x:v>10</x:v>
      </x:c>
      <x:c r="E2032" s="17" t="n">
        <x:v>15</x:v>
      </x:c>
      <x:c r="F2032" s="18" t="n">
        <x:v>611.48</x:v>
      </x:c>
    </x:row>
    <x:row r="2033">
      <x:c r="A2033" s="14" t="str">
        <x:v>店长</x:v>
      </x:c>
      <x:c r="B2033" s="15" t="str">
        <x:v>徐跃男</x:v>
      </x:c>
      <x:c r="C2033" s="16" t="n">
        <x:v>46198</x:v>
      </x:c>
      <x:c r="D2033" s="17" t="n">
        <x:v>5</x:v>
      </x:c>
      <x:c r="E2033" s="17" t="n">
        <x:v>15</x:v>
      </x:c>
      <x:c r="F2033" s="18" t="n">
        <x:v>458.75</x:v>
      </x:c>
    </x:row>
    <x:row r="2034">
      <x:c r="A2034" s="14" t="str">
        <x:v>店长</x:v>
      </x:c>
      <x:c r="B2034" s="15" t="str">
        <x:v>徐跃男</x:v>
      </x:c>
      <x:c r="C2034" s="16" t="n">
        <x:v>46199</x:v>
      </x:c>
      <x:c r="D2034" s="17" t="n">
        <x:v>7</x:v>
      </x:c>
      <x:c r="E2034" s="17" t="n">
        <x:v>12</x:v>
      </x:c>
      <x:c r="F2034" s="18" t="n">
        <x:v>401.13</x:v>
      </x:c>
    </x:row>
    <x:row r="2035">
      <x:c r="A2035" s="14" t="str">
        <x:v>店长</x:v>
      </x:c>
      <x:c r="B2035" s="15" t="str">
        <x:v>徐跃男</x:v>
      </x:c>
      <x:c r="C2035" s="16" t="n">
        <x:v>46200</x:v>
      </x:c>
      <x:c r="D2035" s="17" t="n">
        <x:v>32</x:v>
      </x:c>
      <x:c r="E2035" s="17" t="n">
        <x:v>43</x:v>
      </x:c>
      <x:c r="F2035" s="18" t="n">
        <x:v>1559.22</x:v>
      </x:c>
    </x:row>
    <x:row r="2036">
      <x:c r="A2036" s="14" t="str">
        <x:v>店长</x:v>
      </x:c>
      <x:c r="B2036" s="15" t="str">
        <x:v>徐跃男</x:v>
      </x:c>
      <x:c r="C2036" s="16" t="n">
        <x:v>46201</x:v>
      </x:c>
      <x:c r="D2036" s="17" t="n">
        <x:v>22</x:v>
      </x:c>
      <x:c r="E2036" s="17" t="n">
        <x:v>24</x:v>
      </x:c>
      <x:c r="F2036" s="18" t="n">
        <x:v>943.4</x:v>
      </x:c>
    </x:row>
    <x:row r="2037">
      <x:c r="A2037" s="14" t="str">
        <x:v>店长</x:v>
      </x:c>
      <x:c r="B2037" s="15" t="str">
        <x:v>徐跃男</x:v>
      </x:c>
      <x:c r="C2037" s="16" t="n">
        <x:v>46202</x:v>
      </x:c>
      <x:c r="D2037" s="17" t="n">
        <x:v>14</x:v>
      </x:c>
      <x:c r="E2037" s="17" t="n">
        <x:v>15</x:v>
      </x:c>
      <x:c r="F2037" s="18" t="n">
        <x:v>716.23</x:v>
      </x:c>
    </x:row>
    <x:row r="2038">
      <x:c r="A2038" s="14" t="str">
        <x:v>店长</x:v>
      </x:c>
      <x:c r="B2038" s="15" t="str">
        <x:v>徐跃男</x:v>
      </x:c>
      <x:c r="C2038" s="16" t="n">
        <x:v>46203</x:v>
      </x:c>
      <x:c r="D2038" s="17" t="n">
        <x:v>44</x:v>
      </x:c>
      <x:c r="E2038" s="17" t="n">
        <x:v>64</x:v>
      </x:c>
      <x:c r="F2038" s="18" t="n">
        <x:v>2674.88</x:v>
      </x:c>
    </x:row>
    <x:row r="2039">
      <x:c r="A2039" s="14" t="str">
        <x:v>店长</x:v>
      </x:c>
      <x:c r="B2039" s="15" t="str">
        <x:v>徐跃男</x:v>
      </x:c>
      <x:c r="C2039" s="16" t="n">
        <x:v>46204</x:v>
      </x:c>
      <x:c r="D2039" s="17" t="n">
        <x:v>33</x:v>
      </x:c>
      <x:c r="E2039" s="17" t="n">
        <x:v>36</x:v>
      </x:c>
      <x:c r="F2039" s="18" t="n">
        <x:v>1242.16</x:v>
      </x:c>
    </x:row>
    <x:row r="2040">
      <x:c r="A2040" s="14" t="str">
        <x:v>店长</x:v>
      </x:c>
      <x:c r="B2040" s="15" t="str">
        <x:v>徐跃男</x:v>
      </x:c>
      <x:c r="C2040" s="16" t="n">
        <x:v>46205</x:v>
      </x:c>
      <x:c r="D2040" s="17" t="n">
        <x:v>26</x:v>
      </x:c>
      <x:c r="E2040" s="17" t="n">
        <x:v>30</x:v>
      </x:c>
      <x:c r="F2040" s="18" t="n">
        <x:v>875.8</x:v>
      </x:c>
    </x:row>
    <x:row r="2041">
      <x:c r="A2041" s="14" t="str">
        <x:v>店长</x:v>
      </x:c>
      <x:c r="B2041" s="15" t="str">
        <x:v>徐跃男</x:v>
      </x:c>
      <x:c r="C2041" s="16" t="n">
        <x:v>46206</x:v>
      </x:c>
      <x:c r="D2041" s="17" t="n">
        <x:v>35</x:v>
      </x:c>
      <x:c r="E2041" s="17" t="n">
        <x:v>62</x:v>
      </x:c>
      <x:c r="F2041" s="18" t="n">
        <x:v>2283.24</x:v>
      </x:c>
    </x:row>
    <x:row r="2042">
      <x:c r="A2042" s="14" t="str">
        <x:v>店长</x:v>
      </x:c>
      <x:c r="B2042" s="15" t="str">
        <x:v>徐跃男</x:v>
      </x:c>
      <x:c r="C2042" s="16" t="n">
        <x:v>46207</x:v>
      </x:c>
      <x:c r="D2042" s="17" t="n">
        <x:v>31</x:v>
      </x:c>
      <x:c r="E2042" s="17" t="n">
        <x:v>48</x:v>
      </x:c>
      <x:c r="F2042" s="18" t="n">
        <x:v>1125.53</x:v>
      </x:c>
    </x:row>
    <x:row r="2043">
      <x:c r="A2043" s="14" t="str">
        <x:v>店长</x:v>
      </x:c>
      <x:c r="B2043" s="15" t="str">
        <x:v>徐跃男</x:v>
      </x:c>
      <x:c r="C2043" s="16" t="n">
        <x:v>46208</x:v>
      </x:c>
      <x:c r="D2043" s="17" t="n">
        <x:v>11</x:v>
      </x:c>
      <x:c r="E2043" s="17" t="n">
        <x:v>16</x:v>
      </x:c>
      <x:c r="F2043" s="18" t="n">
        <x:v>685.95</x:v>
      </x:c>
    </x:row>
    <x:row r="2044">
      <x:c r="A2044" s="14" t="str">
        <x:v>店长</x:v>
      </x:c>
      <x:c r="B2044" s="15" t="str">
        <x:v>徐跃男</x:v>
      </x:c>
      <x:c r="C2044" s="16" t="n">
        <x:v>46209</x:v>
      </x:c>
      <x:c r="D2044" s="17" t="n">
        <x:v>17</x:v>
      </x:c>
      <x:c r="E2044" s="17" t="n">
        <x:v>24</x:v>
      </x:c>
      <x:c r="F2044" s="18" t="n">
        <x:v>977.34</x:v>
      </x:c>
    </x:row>
    <x:row r="2045">
      <x:c r="A2045" s="14" t="str">
        <x:v>店长</x:v>
      </x:c>
      <x:c r="B2045" s="15" t="str">
        <x:v>徐跃男</x:v>
      </x:c>
      <x:c r="C2045" s="16" t="n">
        <x:v>46210</x:v>
      </x:c>
      <x:c r="D2045" s="17" t="n">
        <x:v>35</x:v>
      </x:c>
      <x:c r="E2045" s="17" t="n">
        <x:v>38</x:v>
      </x:c>
      <x:c r="F2045" s="18" t="n">
        <x:v>1113.45</x:v>
      </x:c>
    </x:row>
    <x:row r="2046">
      <x:c r="A2046" s="14" t="str">
        <x:v>店长</x:v>
      </x:c>
      <x:c r="B2046" s="15" t="str">
        <x:v>徐跃男</x:v>
      </x:c>
      <x:c r="C2046" s="16" t="n">
        <x:v>46211</x:v>
      </x:c>
      <x:c r="D2046" s="17" t="n">
        <x:v>17</x:v>
      </x:c>
      <x:c r="E2046" s="17" t="n">
        <x:v>29</x:v>
      </x:c>
      <x:c r="F2046" s="18" t="n">
        <x:v>1017.01</x:v>
      </x:c>
    </x:row>
    <x:row r="2047">
      <x:c r="A2047" s="14" t="str">
        <x:v>店长</x:v>
      </x:c>
      <x:c r="B2047" s="15" t="str">
        <x:v>徐跃男</x:v>
      </x:c>
      <x:c r="C2047" s="16" t="n">
        <x:v>46212</x:v>
      </x:c>
      <x:c r="D2047" s="17" t="n">
        <x:v>16</x:v>
      </x:c>
      <x:c r="E2047" s="17" t="n">
        <x:v>22</x:v>
      </x:c>
      <x:c r="F2047" s="18" t="n">
        <x:v>818.05</x:v>
      </x:c>
    </x:row>
    <x:row r="2048">
      <x:c r="A2048" s="14" t="str">
        <x:v>店长</x:v>
      </x:c>
      <x:c r="B2048" s="15" t="str">
        <x:v>徐跃男</x:v>
      </x:c>
      <x:c r="C2048" s="16" t="n">
        <x:v>46213</x:v>
      </x:c>
      <x:c r="D2048" s="17" t="n">
        <x:v>30</x:v>
      </x:c>
      <x:c r="E2048" s="17" t="n">
        <x:v>36</x:v>
      </x:c>
      <x:c r="F2048" s="18" t="n">
        <x:v>2283.44</x:v>
      </x:c>
    </x:row>
    <x:row r="2049">
      <x:c r="A2049" s="14" t="str">
        <x:v>店长</x:v>
      </x:c>
      <x:c r="B2049" s="15" t="str">
        <x:v>徐跃男</x:v>
      </x:c>
      <x:c r="C2049" s="16" t="n">
        <x:v>46214</x:v>
      </x:c>
      <x:c r="D2049" s="17" t="n">
        <x:v>16</x:v>
      </x:c>
      <x:c r="E2049" s="17" t="n">
        <x:v>20</x:v>
      </x:c>
      <x:c r="F2049" s="18" t="n">
        <x:v>1056.48</x:v>
      </x:c>
    </x:row>
    <x:row r="2050">
      <x:c r="A2050" s="14" t="str">
        <x:v>店长</x:v>
      </x:c>
      <x:c r="B2050" s="15" t="str">
        <x:v>徐跃男</x:v>
      </x:c>
      <x:c r="C2050" s="16" t="n">
        <x:v>46215</x:v>
      </x:c>
      <x:c r="D2050" s="17" t="n">
        <x:v>10</x:v>
      </x:c>
      <x:c r="E2050" s="17" t="n">
        <x:v>13</x:v>
      </x:c>
      <x:c r="F2050" s="18" t="n">
        <x:v>574.33</x:v>
      </x:c>
    </x:row>
    <x:row r="2051">
      <x:c r="A2051" s="14" t="str">
        <x:v>店长</x:v>
      </x:c>
      <x:c r="B2051" s="15" t="str">
        <x:v>徐跃男</x:v>
      </x:c>
      <x:c r="C2051" s="16" t="n">
        <x:v>46216</x:v>
      </x:c>
      <x:c r="D2051" s="17" t="n">
        <x:v>10</x:v>
      </x:c>
      <x:c r="E2051" s="17" t="n">
        <x:v>12</x:v>
      </x:c>
      <x:c r="F2051" s="18" t="n">
        <x:v>641.86</x:v>
      </x:c>
    </x:row>
    <x:row r="2052">
      <x:c r="A2052" s="14" t="str">
        <x:v>店长</x:v>
      </x:c>
      <x:c r="B2052" s="15" t="str">
        <x:v>徐跃男</x:v>
      </x:c>
      <x:c r="C2052" s="16" t="n">
        <x:v>46217</x:v>
      </x:c>
      <x:c r="D2052" s="17" t="n">
        <x:v>20</x:v>
      </x:c>
      <x:c r="E2052" s="17" t="n">
        <x:v>23</x:v>
      </x:c>
      <x:c r="F2052" s="18" t="n">
        <x:v>986.66</x:v>
      </x:c>
    </x:row>
    <x:row r="2053">
      <x:c r="A2053" s="14" t="str">
        <x:v>店长</x:v>
      </x:c>
      <x:c r="B2053" s="15" t="str">
        <x:v>徐跃男</x:v>
      </x:c>
      <x:c r="C2053" s="16" t="n">
        <x:v>46218</x:v>
      </x:c>
      <x:c r="D2053" s="17" t="n">
        <x:v>19</x:v>
      </x:c>
      <x:c r="E2053" s="17" t="n">
        <x:v>28</x:v>
      </x:c>
      <x:c r="F2053" s="18" t="n">
        <x:v>1112.68</x:v>
      </x:c>
    </x:row>
    <x:row r="2054">
      <x:c r="A2054" s="14" t="str">
        <x:v>店长</x:v>
      </x:c>
      <x:c r="B2054" s="15" t="str">
        <x:v>徐跃男</x:v>
      </x:c>
      <x:c r="C2054" s="16" t="n">
        <x:v>46219</x:v>
      </x:c>
      <x:c r="D2054" s="17" t="n">
        <x:v>13</x:v>
      </x:c>
      <x:c r="E2054" s="17" t="n">
        <x:v>14</x:v>
      </x:c>
      <x:c r="F2054" s="18" t="n">
        <x:v>922.61</x:v>
      </x:c>
    </x:row>
    <x:row r="2055">
      <x:c r="A2055" s="14" t="str">
        <x:v>店长</x:v>
      </x:c>
      <x:c r="B2055" s="15" t="str">
        <x:v>徐跃男</x:v>
      </x:c>
      <x:c r="C2055" s="16" t="n">
        <x:v>46220</x:v>
      </x:c>
      <x:c r="D2055" s="17" t="n">
        <x:v>11</x:v>
      </x:c>
      <x:c r="E2055" s="17" t="n">
        <x:v>13</x:v>
      </x:c>
      <x:c r="F2055" s="18" t="n">
        <x:v>753.64</x:v>
      </x:c>
    </x:row>
    <x:row r="2056">
      <x:c r="A2056" s="14" t="str">
        <x:v>店长</x:v>
      </x:c>
      <x:c r="B2056" s="15" t="str">
        <x:v>徐跃男</x:v>
      </x:c>
      <x:c r="C2056" s="16" t="n">
        <x:v>46221</x:v>
      </x:c>
      <x:c r="D2056" s="17" t="n">
        <x:v>12</x:v>
      </x:c>
      <x:c r="E2056" s="17" t="n">
        <x:v>12</x:v>
      </x:c>
      <x:c r="F2056" s="18" t="n">
        <x:v>632.99</x:v>
      </x:c>
    </x:row>
    <x:row r="2057">
      <x:c r="A2057" s="14" t="str">
        <x:v>店长</x:v>
      </x:c>
      <x:c r="B2057" s="15" t="str">
        <x:v>徐跃男</x:v>
      </x:c>
      <x:c r="C2057" s="16" t="n">
        <x:v>46222</x:v>
      </x:c>
      <x:c r="D2057" s="17" t="n">
        <x:v>15</x:v>
      </x:c>
      <x:c r="E2057" s="17" t="n">
        <x:v>17</x:v>
      </x:c>
      <x:c r="F2057" s="18" t="n">
        <x:v>804.65</x:v>
      </x:c>
    </x:row>
    <x:row r="2058">
      <x:c r="A2058" s="14" t="str">
        <x:v>店长</x:v>
      </x:c>
      <x:c r="B2058" s="15" t="str">
        <x:v>徐跃男</x:v>
      </x:c>
      <x:c r="C2058" s="16" t="n">
        <x:v>46223</x:v>
      </x:c>
      <x:c r="D2058" s="17" t="n">
        <x:v>14</x:v>
      </x:c>
      <x:c r="E2058" s="17" t="n">
        <x:v>15</x:v>
      </x:c>
      <x:c r="F2058" s="18" t="n">
        <x:v>1040.6</x:v>
      </x:c>
    </x:row>
    <x:row r="2059">
      <x:c r="A2059" s="14" t="str">
        <x:v>店长</x:v>
      </x:c>
      <x:c r="B2059" s="15" t="str">
        <x:v>徐跃男</x:v>
      </x:c>
      <x:c r="C2059" s="16" t="n">
        <x:v>46224</x:v>
      </x:c>
      <x:c r="D2059" s="17" t="n">
        <x:v>13</x:v>
      </x:c>
      <x:c r="E2059" s="17" t="n">
        <x:v>14</x:v>
      </x:c>
      <x:c r="F2059" s="18" t="n">
        <x:v>872.46</x:v>
      </x:c>
    </x:row>
    <x:row r="2060">
      <x:c r="A2060" s="14" t="str">
        <x:v>店长</x:v>
      </x:c>
      <x:c r="B2060" s="15" t="str">
        <x:v>徐跃男</x:v>
      </x:c>
      <x:c r="C2060" s="16" t="n">
        <x:v>46225</x:v>
      </x:c>
      <x:c r="D2060" s="17" t="n">
        <x:v>17</x:v>
      </x:c>
      <x:c r="E2060" s="17" t="n">
        <x:v>21</x:v>
      </x:c>
      <x:c r="F2060" s="18" t="n">
        <x:v>942.63</x:v>
      </x:c>
    </x:row>
    <x:row r="2061">
      <x:c r="A2061" s="14" t="str">
        <x:v>店长</x:v>
      </x:c>
      <x:c r="B2061" s="15" t="str">
        <x:v>徐跃男</x:v>
      </x:c>
      <x:c r="C2061" s="16" t="n">
        <x:v>46226</x:v>
      </x:c>
      <x:c r="D2061" s="17" t="n">
        <x:v>17</x:v>
      </x:c>
      <x:c r="E2061" s="17" t="n">
        <x:v>18</x:v>
      </x:c>
      <x:c r="F2061" s="18" t="n">
        <x:v>1187.49</x:v>
      </x:c>
    </x:row>
    <x:row r="2062">
      <x:c r="A2062" s="14" t="str">
        <x:v>店长</x:v>
      </x:c>
      <x:c r="B2062" s="15" t="str">
        <x:v>徐跃男</x:v>
      </x:c>
      <x:c r="C2062" s="16" t="n">
        <x:v>46227</x:v>
      </x:c>
      <x:c r="D2062" s="17" t="n">
        <x:v>9</x:v>
      </x:c>
      <x:c r="E2062" s="17" t="n">
        <x:v>10</x:v>
      </x:c>
      <x:c r="F2062" s="18" t="n">
        <x:v>462.08</x:v>
      </x:c>
    </x:row>
    <x:row r="2063">
      <x:c r="A2063" s="14" t="str">
        <x:v>店长</x:v>
      </x:c>
      <x:c r="B2063" s="15" t="str">
        <x:v>徐跃男</x:v>
      </x:c>
      <x:c r="C2063" s="16" t="n">
        <x:v>46228</x:v>
      </x:c>
      <x:c r="D2063" s="17" t="n">
        <x:v>12</x:v>
      </x:c>
      <x:c r="E2063" s="17" t="n">
        <x:v>13</x:v>
      </x:c>
      <x:c r="F2063" s="18" t="n">
        <x:v>653.71</x:v>
      </x:c>
    </x:row>
    <x:row r="2064">
      <x:c r="A2064" s="14" t="str">
        <x:v>店长</x:v>
      </x:c>
      <x:c r="B2064" s="15" t="str">
        <x:v>徐跃男</x:v>
      </x:c>
      <x:c r="C2064" s="16" t="n">
        <x:v>46229</x:v>
      </x:c>
      <x:c r="D2064" s="17" t="n">
        <x:v>4</x:v>
      </x:c>
      <x:c r="E2064" s="17" t="n">
        <x:v>4</x:v>
      </x:c>
      <x:c r="F2064" s="18" t="n">
        <x:v>200.47</x:v>
      </x:c>
    </x:row>
    <x:row r="2065">
      <x:c r="A2065" s="14" t="str">
        <x:v>店长</x:v>
      </x:c>
      <x:c r="B2065" s="15" t="str">
        <x:v>徐跃男</x:v>
      </x:c>
      <x:c r="C2065" s="16" t="n">
        <x:v>46230</x:v>
      </x:c>
      <x:c r="D2065" s="17" t="n">
        <x:v>10</x:v>
      </x:c>
      <x:c r="E2065" s="17" t="n">
        <x:v>11</x:v>
      </x:c>
      <x:c r="F2065" s="18" t="n">
        <x:v>937.22</x:v>
      </x:c>
    </x:row>
    <x:row r="2066">
      <x:c r="A2066" s="14" t="str">
        <x:v>店长</x:v>
      </x:c>
      <x:c r="B2066" s="15" t="str">
        <x:v>徐跃男</x:v>
      </x:c>
      <x:c r="C2066" s="16" t="n">
        <x:v>46231</x:v>
      </x:c>
      <x:c r="D2066" s="17" t="n">
        <x:v>24</x:v>
      </x:c>
      <x:c r="E2066" s="17" t="n">
        <x:v>32</x:v>
      </x:c>
      <x:c r="F2066" s="18" t="n">
        <x:v>1445.28</x:v>
      </x:c>
    </x:row>
    <x:row r="2067">
      <x:c r="A2067" s="14" t="str">
        <x:v>店长</x:v>
      </x:c>
      <x:c r="B2067" s="15" t="str">
        <x:v>徐跃男</x:v>
      </x:c>
      <x:c r="C2067" s="16" t="n">
        <x:v>46232</x:v>
      </x:c>
      <x:c r="D2067" s="17" t="n">
        <x:v>12</x:v>
      </x:c>
      <x:c r="E2067" s="17" t="n">
        <x:v>13</x:v>
      </x:c>
      <x:c r="F2067" s="18" t="n">
        <x:v>457.45</x:v>
      </x:c>
    </x:row>
    <x:row r="2068">
      <x:c r="A2068" s="14" t="str">
        <x:v>店长</x:v>
      </x:c>
      <x:c r="B2068" s="15" t="str">
        <x:v>徐跃男</x:v>
      </x:c>
      <x:c r="C2068" s="16" t="n">
        <x:v>46233</x:v>
      </x:c>
      <x:c r="D2068" s="17" t="n">
        <x:v>21</x:v>
      </x:c>
      <x:c r="E2068" s="17" t="n">
        <x:v>24</x:v>
      </x:c>
      <x:c r="F2068" s="18" t="n">
        <x:v>1282.4</x:v>
      </x:c>
    </x:row>
    <x:row r="2069">
      <x:c r="A2069" s="14" t="str">
        <x:v>店长</x:v>
      </x:c>
      <x:c r="B2069" s="15" t="str">
        <x:v>徐跃男</x:v>
      </x:c>
      <x:c r="C2069" s="16" t="n">
        <x:v>46234</x:v>
      </x:c>
      <x:c r="D2069" s="17" t="n">
        <x:v>15</x:v>
      </x:c>
      <x:c r="E2069" s="17" t="n">
        <x:v>16</x:v>
      </x:c>
      <x:c r="F2069" s="18" t="n">
        <x:v>63.67</x:v>
      </x:c>
    </x:row>
    <x:row r="2070">
      <x:c r="A2070" s="14" t="str">
        <x:v>店长</x:v>
      </x:c>
      <x:c r="B2070" s="15" t="str">
        <x:v>徐跃男</x:v>
      </x:c>
      <x:c r="C2070" s="16" t="n">
        <x:v>46235</x:v>
      </x:c>
      <x:c r="D2070" s="17" t="n">
        <x:v>16</x:v>
      </x:c>
      <x:c r="E2070" s="17" t="n">
        <x:v>16</x:v>
      </x:c>
      <x:c r="F2070" s="18" t="n">
        <x:v>1189.02</x:v>
      </x:c>
    </x:row>
    <x:row r="2071">
      <x:c r="A2071" s="14" t="str">
        <x:v>店长</x:v>
      </x:c>
      <x:c r="B2071" s="15" t="str">
        <x:v>徐跃男</x:v>
      </x:c>
      <x:c r="C2071" s="16" t="n">
        <x:v>46236</x:v>
      </x:c>
      <x:c r="D2071" s="17" t="n">
        <x:v>10</x:v>
      </x:c>
      <x:c r="E2071" s="17" t="n">
        <x:v>10</x:v>
      </x:c>
      <x:c r="F2071" s="18" t="n">
        <x:v>878.31</x:v>
      </x:c>
    </x:row>
    <x:row r="2072">
      <x:c r="A2072" s="14" t="str">
        <x:v>店长</x:v>
      </x:c>
      <x:c r="B2072" s="15" t="str">
        <x:v>徐跃男</x:v>
      </x:c>
      <x:c r="C2072" s="16" t="n">
        <x:v>46237</x:v>
      </x:c>
      <x:c r="D2072" s="17" t="n">
        <x:v>14</x:v>
      </x:c>
      <x:c r="E2072" s="17" t="n">
        <x:v>16</x:v>
      </x:c>
      <x:c r="F2072" s="18" t="n">
        <x:v>1269.92</x:v>
      </x:c>
    </x:row>
    <x:row r="2073">
      <x:c r="A2073" s="14" t="str">
        <x:v>店长</x:v>
      </x:c>
      <x:c r="B2073" s="15" t="str">
        <x:v>徐跃男</x:v>
      </x:c>
      <x:c r="C2073" s="16" t="n">
        <x:v>46238</x:v>
      </x:c>
      <x:c r="D2073" s="17" t="n">
        <x:v>33</x:v>
      </x:c>
      <x:c r="E2073" s="17" t="n">
        <x:v>38</x:v>
      </x:c>
      <x:c r="F2073" s="18" t="n">
        <x:v>2570.96</x:v>
      </x:c>
    </x:row>
    <x:row r="2074">
      <x:c r="A2074" s="14" t="str">
        <x:v>店长</x:v>
      </x:c>
      <x:c r="B2074" s="15" t="str">
        <x:v>徐跃男</x:v>
      </x:c>
      <x:c r="C2074" s="16" t="n">
        <x:v>46239</x:v>
      </x:c>
      <x:c r="D2074" s="17" t="n">
        <x:v>19</x:v>
      </x:c>
      <x:c r="E2074" s="17" t="n">
        <x:v>24</x:v>
      </x:c>
      <x:c r="F2074" s="18" t="n">
        <x:v>1545.42</x:v>
      </x:c>
    </x:row>
    <x:row r="2075">
      <x:c r="A2075" s="14" t="str">
        <x:v>店长</x:v>
      </x:c>
      <x:c r="B2075" s="15" t="str">
        <x:v>徐跃男</x:v>
      </x:c>
      <x:c r="C2075" s="16" t="n">
        <x:v>46240</x:v>
      </x:c>
      <x:c r="D2075" s="17" t="n">
        <x:v>17</x:v>
      </x:c>
      <x:c r="E2075" s="17" t="n">
        <x:v>23</x:v>
      </x:c>
      <x:c r="F2075" s="18" t="n">
        <x:v>1589.49</x:v>
      </x:c>
    </x:row>
    <x:row r="2076">
      <x:c r="A2076" s="14" t="str">
        <x:v>店长</x:v>
      </x:c>
      <x:c r="B2076" s="15" t="str">
        <x:v>徐跃男</x:v>
      </x:c>
      <x:c r="C2076" s="16" t="n">
        <x:v>46241</x:v>
      </x:c>
      <x:c r="D2076" s="17" t="n">
        <x:v>15</x:v>
      </x:c>
      <x:c r="E2076" s="17" t="n">
        <x:v>17</x:v>
      </x:c>
      <x:c r="F2076" s="18" t="n">
        <x:v>984.08</x:v>
      </x:c>
    </x:row>
    <x:row r="2077">
      <x:c r="A2077" s="14" t="str">
        <x:v>店长</x:v>
      </x:c>
      <x:c r="B2077" s="15" t="str">
        <x:v>徐跃男</x:v>
      </x:c>
      <x:c r="C2077" s="16" t="n">
        <x:v>46242</x:v>
      </x:c>
      <x:c r="D2077" s="17" t="n">
        <x:v>23</x:v>
      </x:c>
      <x:c r="E2077" s="17" t="n">
        <x:v>25</x:v>
      </x:c>
      <x:c r="F2077" s="18" t="n">
        <x:v>1720.61</x:v>
      </x:c>
    </x:row>
    <x:row r="2078">
      <x:c r="A2078" s="14" t="str">
        <x:v>店长</x:v>
      </x:c>
      <x:c r="B2078" s="15" t="str">
        <x:v>徐跃男</x:v>
      </x:c>
      <x:c r="C2078" s="16" t="n">
        <x:v>46243</x:v>
      </x:c>
      <x:c r="D2078" s="17" t="n">
        <x:v>11</x:v>
      </x:c>
      <x:c r="E2078" s="17" t="n">
        <x:v>16</x:v>
      </x:c>
      <x:c r="F2078" s="18" t="n">
        <x:v>949.36</x:v>
      </x:c>
    </x:row>
    <x:row r="2079">
      <x:c r="A2079" s="14" t="str">
        <x:v>店长</x:v>
      </x:c>
      <x:c r="B2079" s="15" t="str">
        <x:v>徐跃男</x:v>
      </x:c>
      <x:c r="C2079" s="16" t="n">
        <x:v>46244</x:v>
      </x:c>
      <x:c r="D2079" s="17" t="n">
        <x:v>13</x:v>
      </x:c>
      <x:c r="E2079" s="17" t="n">
        <x:v>19</x:v>
      </x:c>
      <x:c r="F2079" s="18" t="n">
        <x:v>1432.28</x:v>
      </x:c>
    </x:row>
    <x:row r="2080">
      <x:c r="A2080" s="14" t="str">
        <x:v>店长</x:v>
      </x:c>
      <x:c r="B2080" s="15" t="str">
        <x:v>徐跃男</x:v>
      </x:c>
      <x:c r="C2080" s="16" t="n">
        <x:v>46245</x:v>
      </x:c>
      <x:c r="D2080" s="17" t="n">
        <x:v>22</x:v>
      </x:c>
      <x:c r="E2080" s="17" t="n">
        <x:v>28</x:v>
      </x:c>
      <x:c r="F2080" s="18" t="n">
        <x:v>1367.7</x:v>
      </x:c>
    </x:row>
    <x:row r="2081">
      <x:c r="A2081" s="14" t="str">
        <x:v>店长</x:v>
      </x:c>
      <x:c r="B2081" s="15" t="str">
        <x:v>徐跃男</x:v>
      </x:c>
      <x:c r="C2081" s="16" t="n">
        <x:v>46246</x:v>
      </x:c>
      <x:c r="D2081" s="17" t="n">
        <x:v>12</x:v>
      </x:c>
      <x:c r="E2081" s="17" t="n">
        <x:v>12</x:v>
      </x:c>
      <x:c r="F2081" s="18" t="n">
        <x:v>1032.96</x:v>
      </x:c>
    </x:row>
    <x:row r="2082">
      <x:c r="A2082" s="14" t="str">
        <x:v>店长</x:v>
      </x:c>
      <x:c r="B2082" s="15" t="str">
        <x:v>徐跃男</x:v>
      </x:c>
      <x:c r="C2082" s="16" t="n">
        <x:v>46247</x:v>
      </x:c>
      <x:c r="D2082" s="17" t="n">
        <x:v>13</x:v>
      </x:c>
      <x:c r="E2082" s="17" t="n">
        <x:v>14</x:v>
      </x:c>
      <x:c r="F2082" s="18" t="n">
        <x:v>976.92</x:v>
      </x:c>
    </x:row>
    <x:row r="2083">
      <x:c r="A2083" s="14" t="str">
        <x:v>店长</x:v>
      </x:c>
      <x:c r="B2083" s="15" t="str">
        <x:v>徐跃男</x:v>
      </x:c>
      <x:c r="C2083" s="16" t="n">
        <x:v>46248</x:v>
      </x:c>
      <x:c r="D2083" s="17" t="n">
        <x:v>11</x:v>
      </x:c>
      <x:c r="E2083" s="17" t="n">
        <x:v>12</x:v>
      </x:c>
      <x:c r="F2083" s="18" t="n">
        <x:v>1077.25</x:v>
      </x:c>
    </x:row>
    <x:row r="2084">
      <x:c r="A2084" s="14" t="str">
        <x:v>店长</x:v>
      </x:c>
      <x:c r="B2084" s="15" t="str">
        <x:v>徐跃男</x:v>
      </x:c>
      <x:c r="C2084" s="16" t="n">
        <x:v>46249</x:v>
      </x:c>
      <x:c r="D2084" s="17" t="n">
        <x:v>21</x:v>
      </x:c>
      <x:c r="E2084" s="17" t="n">
        <x:v>25</x:v>
      </x:c>
      <x:c r="F2084" s="18" t="n">
        <x:v>1442.78</x:v>
      </x:c>
    </x:row>
    <x:row r="2085">
      <x:c r="A2085" s="14" t="str">
        <x:v>店长</x:v>
      </x:c>
      <x:c r="B2085" s="15" t="str">
        <x:v>徐跃男</x:v>
      </x:c>
      <x:c r="C2085" s="16" t="n">
        <x:v>46250</x:v>
      </x:c>
      <x:c r="D2085" s="17" t="n">
        <x:v>12</x:v>
      </x:c>
      <x:c r="E2085" s="17" t="n">
        <x:v>12</x:v>
      </x:c>
      <x:c r="F2085" s="18" t="n">
        <x:v>811.87</x:v>
      </x:c>
    </x:row>
    <x:row r="2086">
      <x:c r="A2086" s="14" t="str">
        <x:v>店长</x:v>
      </x:c>
      <x:c r="B2086" s="15" t="str">
        <x:v>徐跃男</x:v>
      </x:c>
      <x:c r="C2086" s="16" t="n">
        <x:v>46251</x:v>
      </x:c>
      <x:c r="D2086" s="17" t="n">
        <x:v>12</x:v>
      </x:c>
      <x:c r="E2086" s="17" t="n">
        <x:v>14</x:v>
      </x:c>
      <x:c r="F2086" s="18" t="n">
        <x:v>1244.74</x:v>
      </x:c>
    </x:row>
    <x:row r="2087">
      <x:c r="A2087" s="14" t="str">
        <x:v>店长</x:v>
      </x:c>
      <x:c r="B2087" s="15" t="str">
        <x:v>徐跃男</x:v>
      </x:c>
      <x:c r="C2087" s="16" t="n">
        <x:v>46252</x:v>
      </x:c>
      <x:c r="D2087" s="17" t="n">
        <x:v>48</x:v>
      </x:c>
      <x:c r="E2087" s="17" t="n">
        <x:v>53</x:v>
      </x:c>
      <x:c r="F2087" s="18" t="n">
        <x:v>2985.17</x:v>
      </x:c>
    </x:row>
    <x:row r="2088">
      <x:c r="A2088" s="14" t="str">
        <x:v>店长</x:v>
      </x:c>
      <x:c r="B2088" s="15" t="str">
        <x:v>徐跃男</x:v>
      </x:c>
      <x:c r="C2088" s="16" t="n">
        <x:v>46253</x:v>
      </x:c>
      <x:c r="D2088" s="17" t="n">
        <x:v>27</x:v>
      </x:c>
      <x:c r="E2088" s="17" t="n">
        <x:v>30</x:v>
      </x:c>
      <x:c r="F2088" s="18" t="n">
        <x:v>1668.77</x:v>
      </x:c>
    </x:row>
    <x:row r="2089">
      <x:c r="A2089" s="14" t="str">
        <x:v>店长</x:v>
      </x:c>
      <x:c r="B2089" s="15" t="str">
        <x:v>徐跃男</x:v>
      </x:c>
      <x:c r="C2089" s="16" t="n">
        <x:v>46254</x:v>
      </x:c>
      <x:c r="D2089" s="17" t="n">
        <x:v>14</x:v>
      </x:c>
      <x:c r="E2089" s="17" t="n">
        <x:v>16</x:v>
      </x:c>
      <x:c r="F2089" s="18" t="n">
        <x:v>618.43</x:v>
      </x:c>
    </x:row>
    <x:row r="2090">
      <x:c r="A2090" s="14" t="str">
        <x:v>店长</x:v>
      </x:c>
      <x:c r="B2090" s="15" t="str">
        <x:v>许炎</x:v>
      </x:c>
      <x:c r="C2090" s="16" t="n">
        <x:v>46023</x:v>
      </x:c>
      <x:c r="D2090" s="17" t="n">
        <x:v>201</x:v>
      </x:c>
      <x:c r="E2090" s="17" t="n">
        <x:v>267</x:v>
      </x:c>
      <x:c r="F2090" s="18" t="n">
        <x:v>3367.26</x:v>
      </x:c>
    </x:row>
    <x:row r="2091">
      <x:c r="A2091" s="14" t="str">
        <x:v>店长</x:v>
      </x:c>
      <x:c r="B2091" s="15" t="str">
        <x:v>许炎</x:v>
      </x:c>
      <x:c r="C2091" s="16" t="n">
        <x:v>46024</x:v>
      </x:c>
      <x:c r="D2091" s="17" t="n">
        <x:v>618</x:v>
      </x:c>
      <x:c r="E2091" s="17" t="n">
        <x:v>1395</x:v>
      </x:c>
      <x:c r="F2091" s="18" t="n">
        <x:v>13960.89</x:v>
      </x:c>
    </x:row>
    <x:row r="2092">
      <x:c r="A2092" s="14" t="str">
        <x:v>店长</x:v>
      </x:c>
      <x:c r="B2092" s="15" t="str">
        <x:v>许炎</x:v>
      </x:c>
      <x:c r="C2092" s="16" t="n">
        <x:v>46025</x:v>
      </x:c>
      <x:c r="D2092" s="17" t="n">
        <x:v>434</x:v>
      </x:c>
      <x:c r="E2092" s="17" t="n">
        <x:v>840</x:v>
      </x:c>
      <x:c r="F2092" s="18" t="n">
        <x:v>9359.15</x:v>
      </x:c>
    </x:row>
    <x:row r="2093">
      <x:c r="A2093" s="14" t="str">
        <x:v>店长</x:v>
      </x:c>
      <x:c r="B2093" s="15" t="str">
        <x:v>许炎</x:v>
      </x:c>
      <x:c r="C2093" s="16" t="n">
        <x:v>46026</x:v>
      </x:c>
      <x:c r="D2093" s="17" t="n">
        <x:v>507</x:v>
      </x:c>
      <x:c r="E2093" s="17" t="n">
        <x:v>939</x:v>
      </x:c>
      <x:c r="F2093" s="18" t="n">
        <x:v>10195.24</x:v>
      </x:c>
    </x:row>
    <x:row r="2094">
      <x:c r="A2094" s="14" t="str">
        <x:v>店长</x:v>
      </x:c>
      <x:c r="B2094" s="15" t="str">
        <x:v>许炎</x:v>
      </x:c>
      <x:c r="C2094" s="16" t="n">
        <x:v>46027</x:v>
      </x:c>
      <x:c r="D2094" s="17" t="n">
        <x:v>617</x:v>
      </x:c>
      <x:c r="E2094" s="17" t="n">
        <x:v>1092</x:v>
      </x:c>
      <x:c r="F2094" s="18" t="n">
        <x:v>10457.93</x:v>
      </x:c>
    </x:row>
    <x:row r="2095">
      <x:c r="A2095" s="14" t="str">
        <x:v>店长</x:v>
      </x:c>
      <x:c r="B2095" s="15" t="str">
        <x:v>许炎</x:v>
      </x:c>
      <x:c r="C2095" s="16" t="n">
        <x:v>46028</x:v>
      </x:c>
      <x:c r="D2095" s="17" t="n">
        <x:v>352</x:v>
      </x:c>
      <x:c r="E2095" s="17" t="n">
        <x:v>856</x:v>
      </x:c>
      <x:c r="F2095" s="18" t="n">
        <x:v>8671.87</x:v>
      </x:c>
    </x:row>
    <x:row r="2096">
      <x:c r="A2096" s="14" t="str">
        <x:v>店长</x:v>
      </x:c>
      <x:c r="B2096" s="15" t="str">
        <x:v>许炎</x:v>
      </x:c>
      <x:c r="C2096" s="16" t="n">
        <x:v>46029</x:v>
      </x:c>
      <x:c r="D2096" s="17" t="n">
        <x:v>272</x:v>
      </x:c>
      <x:c r="E2096" s="17" t="n">
        <x:v>684</x:v>
      </x:c>
      <x:c r="F2096" s="18" t="n">
        <x:v>6248.55</x:v>
      </x:c>
    </x:row>
    <x:row r="2097">
      <x:c r="A2097" s="14" t="str">
        <x:v>店长</x:v>
      </x:c>
      <x:c r="B2097" s="15" t="str">
        <x:v>许炎</x:v>
      </x:c>
      <x:c r="C2097" s="16" t="n">
        <x:v>46030</x:v>
      </x:c>
      <x:c r="D2097" s="17" t="n">
        <x:v>234</x:v>
      </x:c>
      <x:c r="E2097" s="17" t="n">
        <x:v>607</x:v>
      </x:c>
      <x:c r="F2097" s="18" t="n">
        <x:v>5075.27</x:v>
      </x:c>
    </x:row>
    <x:row r="2098">
      <x:c r="A2098" s="14" t="str">
        <x:v>店长</x:v>
      </x:c>
      <x:c r="B2098" s="15" t="str">
        <x:v>许炎</x:v>
      </x:c>
      <x:c r="C2098" s="16" t="n">
        <x:v>46031</x:v>
      </x:c>
      <x:c r="D2098" s="17" t="n">
        <x:v>228</x:v>
      </x:c>
      <x:c r="E2098" s="17" t="n">
        <x:v>602</x:v>
      </x:c>
      <x:c r="F2098" s="18" t="n">
        <x:v>5328.72</x:v>
      </x:c>
    </x:row>
    <x:row r="2099">
      <x:c r="A2099" s="14" t="str">
        <x:v>店长</x:v>
      </x:c>
      <x:c r="B2099" s="15" t="str">
        <x:v>许炎</x:v>
      </x:c>
      <x:c r="C2099" s="16" t="n">
        <x:v>46032</x:v>
      </x:c>
      <x:c r="D2099" s="17" t="n">
        <x:v>226</x:v>
      </x:c>
      <x:c r="E2099" s="17" t="n">
        <x:v>610</x:v>
      </x:c>
      <x:c r="F2099" s="18" t="n">
        <x:v>5670.63</x:v>
      </x:c>
    </x:row>
    <x:row r="2100">
      <x:c r="A2100" s="14" t="str">
        <x:v>店长</x:v>
      </x:c>
      <x:c r="B2100" s="15" t="str">
        <x:v>许炎</x:v>
      </x:c>
      <x:c r="C2100" s="16" t="n">
        <x:v>46033</x:v>
      </x:c>
      <x:c r="D2100" s="17" t="n">
        <x:v>204</x:v>
      </x:c>
      <x:c r="E2100" s="17" t="n">
        <x:v>564</x:v>
      </x:c>
      <x:c r="F2100" s="18" t="n">
        <x:v>5094.87</x:v>
      </x:c>
    </x:row>
    <x:row r="2101">
      <x:c r="A2101" s="14" t="str">
        <x:v>店长</x:v>
      </x:c>
      <x:c r="B2101" s="15" t="str">
        <x:v>许炎</x:v>
      </x:c>
      <x:c r="C2101" s="16" t="n">
        <x:v>46034</x:v>
      </x:c>
      <x:c r="D2101" s="17" t="n">
        <x:v>198</x:v>
      </x:c>
      <x:c r="E2101" s="17" t="n">
        <x:v>498</x:v>
      </x:c>
      <x:c r="F2101" s="18" t="n">
        <x:v>4650</x:v>
      </x:c>
    </x:row>
    <x:row r="2102">
      <x:c r="A2102" s="14" t="str">
        <x:v>店长</x:v>
      </x:c>
      <x:c r="B2102" s="15" t="str">
        <x:v>许炎</x:v>
      </x:c>
      <x:c r="C2102" s="16" t="n">
        <x:v>46035</x:v>
      </x:c>
      <x:c r="D2102" s="17" t="n">
        <x:v>207</x:v>
      </x:c>
      <x:c r="E2102" s="17" t="n">
        <x:v>475</x:v>
      </x:c>
      <x:c r="F2102" s="18" t="n">
        <x:v>4081.51</x:v>
      </x:c>
    </x:row>
    <x:row r="2103">
      <x:c r="A2103" s="14" t="str">
        <x:v>店长</x:v>
      </x:c>
      <x:c r="B2103" s="15" t="str">
        <x:v>许炎</x:v>
      </x:c>
      <x:c r="C2103" s="16" t="n">
        <x:v>46036</x:v>
      </x:c>
      <x:c r="D2103" s="17" t="n">
        <x:v>168</x:v>
      </x:c>
      <x:c r="E2103" s="17" t="n">
        <x:v>459</x:v>
      </x:c>
      <x:c r="F2103" s="18" t="n">
        <x:v>4042.2</x:v>
      </x:c>
    </x:row>
    <x:row r="2104">
      <x:c r="A2104" s="14" t="str">
        <x:v>店长</x:v>
      </x:c>
      <x:c r="B2104" s="15" t="str">
        <x:v>许炎</x:v>
      </x:c>
      <x:c r="C2104" s="16" t="n">
        <x:v>46037</x:v>
      </x:c>
      <x:c r="D2104" s="17" t="n">
        <x:v>171</x:v>
      </x:c>
      <x:c r="E2104" s="17" t="n">
        <x:v>539</x:v>
      </x:c>
      <x:c r="F2104" s="18" t="n">
        <x:v>4404.4</x:v>
      </x:c>
    </x:row>
    <x:row r="2105">
      <x:c r="A2105" s="14" t="str">
        <x:v>店长</x:v>
      </x:c>
      <x:c r="B2105" s="15" t="str">
        <x:v>许炎</x:v>
      </x:c>
      <x:c r="C2105" s="16" t="n">
        <x:v>46038</x:v>
      </x:c>
      <x:c r="D2105" s="17" t="n">
        <x:v>192</x:v>
      </x:c>
      <x:c r="E2105" s="17" t="n">
        <x:v>482</x:v>
      </x:c>
      <x:c r="F2105" s="18" t="n">
        <x:v>4033.65</x:v>
      </x:c>
    </x:row>
    <x:row r="2106">
      <x:c r="A2106" s="14" t="str">
        <x:v>店长</x:v>
      </x:c>
      <x:c r="B2106" s="15" t="str">
        <x:v>许炎</x:v>
      </x:c>
      <x:c r="C2106" s="16" t="n">
        <x:v>46039</x:v>
      </x:c>
      <x:c r="D2106" s="17" t="n">
        <x:v>203</x:v>
      </x:c>
      <x:c r="E2106" s="17" t="n">
        <x:v>517</x:v>
      </x:c>
      <x:c r="F2106" s="18" t="n">
        <x:v>4368.17</x:v>
      </x:c>
    </x:row>
    <x:row r="2107">
      <x:c r="A2107" s="14" t="str">
        <x:v>店长</x:v>
      </x:c>
      <x:c r="B2107" s="15" t="str">
        <x:v>许炎</x:v>
      </x:c>
      <x:c r="C2107" s="16" t="n">
        <x:v>46040</x:v>
      </x:c>
      <x:c r="D2107" s="17" t="n">
        <x:v>184</x:v>
      </x:c>
      <x:c r="E2107" s="17" t="n">
        <x:v>480</x:v>
      </x:c>
      <x:c r="F2107" s="18" t="n">
        <x:v>4274.81</x:v>
      </x:c>
    </x:row>
    <x:row r="2108">
      <x:c r="A2108" s="14" t="str">
        <x:v>店长</x:v>
      </x:c>
      <x:c r="B2108" s="15" t="str">
        <x:v>许炎</x:v>
      </x:c>
      <x:c r="C2108" s="16" t="n">
        <x:v>46041</x:v>
      </x:c>
      <x:c r="D2108" s="17" t="n">
        <x:v>203</x:v>
      </x:c>
      <x:c r="E2108" s="17" t="n">
        <x:v>557</x:v>
      </x:c>
      <x:c r="F2108" s="18" t="n">
        <x:v>4956.65</x:v>
      </x:c>
    </x:row>
    <x:row r="2109">
      <x:c r="A2109" s="14" t="str">
        <x:v>店长</x:v>
      </x:c>
      <x:c r="B2109" s="15" t="str">
        <x:v>许炎</x:v>
      </x:c>
      <x:c r="C2109" s="16" t="n">
        <x:v>46042</x:v>
      </x:c>
      <x:c r="D2109" s="17" t="n">
        <x:v>201</x:v>
      </x:c>
      <x:c r="E2109" s="17" t="n">
        <x:v>544</x:v>
      </x:c>
      <x:c r="F2109" s="18" t="n">
        <x:v>4449.29</x:v>
      </x:c>
    </x:row>
    <x:row r="2110">
      <x:c r="A2110" s="14" t="str">
        <x:v>店长</x:v>
      </x:c>
      <x:c r="B2110" s="15" t="str">
        <x:v>许炎</x:v>
      </x:c>
      <x:c r="C2110" s="16" t="n">
        <x:v>46043</x:v>
      </x:c>
      <x:c r="D2110" s="17" t="n">
        <x:v>217</x:v>
      </x:c>
      <x:c r="E2110" s="17" t="n">
        <x:v>567</x:v>
      </x:c>
      <x:c r="F2110" s="18" t="n">
        <x:v>4503.08</x:v>
      </x:c>
    </x:row>
    <x:row r="2111">
      <x:c r="A2111" s="14" t="str">
        <x:v>店长</x:v>
      </x:c>
      <x:c r="B2111" s="15" t="str">
        <x:v>许炎</x:v>
      </x:c>
      <x:c r="C2111" s="16" t="n">
        <x:v>46044</x:v>
      </x:c>
      <x:c r="D2111" s="17" t="n">
        <x:v>218</x:v>
      </x:c>
      <x:c r="E2111" s="17" t="n">
        <x:v>575</x:v>
      </x:c>
      <x:c r="F2111" s="18" t="n">
        <x:v>4737.35</x:v>
      </x:c>
    </x:row>
    <x:row r="2112">
      <x:c r="A2112" s="14" t="str">
        <x:v>店长</x:v>
      </x:c>
      <x:c r="B2112" s="15" t="str">
        <x:v>许炎</x:v>
      </x:c>
      <x:c r="C2112" s="16" t="n">
        <x:v>46045</x:v>
      </x:c>
      <x:c r="D2112" s="17" t="n">
        <x:v>209</x:v>
      </x:c>
      <x:c r="E2112" s="17" t="n">
        <x:v>506</x:v>
      </x:c>
      <x:c r="F2112" s="18" t="n">
        <x:v>3814.94</x:v>
      </x:c>
    </x:row>
    <x:row r="2113">
      <x:c r="A2113" s="14" t="str">
        <x:v>店长</x:v>
      </x:c>
      <x:c r="B2113" s="15" t="str">
        <x:v>许炎</x:v>
      </x:c>
      <x:c r="C2113" s="16" t="n">
        <x:v>46046</x:v>
      </x:c>
      <x:c r="D2113" s="17" t="n">
        <x:v>199</x:v>
      </x:c>
      <x:c r="E2113" s="17" t="n">
        <x:v>500</x:v>
      </x:c>
      <x:c r="F2113" s="18" t="n">
        <x:v>4188.12</x:v>
      </x:c>
    </x:row>
    <x:row r="2114">
      <x:c r="A2114" s="14" t="str">
        <x:v>店长</x:v>
      </x:c>
      <x:c r="B2114" s="15" t="str">
        <x:v>许炎</x:v>
      </x:c>
      <x:c r="C2114" s="16" t="n">
        <x:v>46047</x:v>
      </x:c>
      <x:c r="D2114" s="17" t="n">
        <x:v>171</x:v>
      </x:c>
      <x:c r="E2114" s="17" t="n">
        <x:v>467</x:v>
      </x:c>
      <x:c r="F2114" s="18" t="n">
        <x:v>3991.38</x:v>
      </x:c>
    </x:row>
    <x:row r="2115">
      <x:c r="A2115" s="14" t="str">
        <x:v>店长</x:v>
      </x:c>
      <x:c r="B2115" s="15" t="str">
        <x:v>许炎</x:v>
      </x:c>
      <x:c r="C2115" s="16" t="n">
        <x:v>46048</x:v>
      </x:c>
      <x:c r="D2115" s="17" t="n">
        <x:v>169</x:v>
      </x:c>
      <x:c r="E2115" s="17" t="n">
        <x:v>488</x:v>
      </x:c>
      <x:c r="F2115" s="18" t="n">
        <x:v>4283.87</x:v>
      </x:c>
    </x:row>
    <x:row r="2116">
      <x:c r="A2116" s="14" t="str">
        <x:v>店长</x:v>
      </x:c>
      <x:c r="B2116" s="15" t="str">
        <x:v>许炎</x:v>
      </x:c>
      <x:c r="C2116" s="16" t="n">
        <x:v>46049</x:v>
      </x:c>
      <x:c r="D2116" s="17" t="n">
        <x:v>139</x:v>
      </x:c>
      <x:c r="E2116" s="17" t="n">
        <x:v>401</x:v>
      </x:c>
      <x:c r="F2116" s="18" t="n">
        <x:v>3300.68</x:v>
      </x:c>
    </x:row>
    <x:row r="2117">
      <x:c r="A2117" s="14" t="str">
        <x:v>店长</x:v>
      </x:c>
      <x:c r="B2117" s="15" t="str">
        <x:v>许炎</x:v>
      </x:c>
      <x:c r="C2117" s="16" t="n">
        <x:v>46050</x:v>
      </x:c>
      <x:c r="D2117" s="17" t="n">
        <x:v>175</x:v>
      </x:c>
      <x:c r="E2117" s="17" t="n">
        <x:v>515</x:v>
      </x:c>
      <x:c r="F2117" s="18" t="n">
        <x:v>4221.6</x:v>
      </x:c>
    </x:row>
    <x:row r="2118">
      <x:c r="A2118" s="14" t="str">
        <x:v>店长</x:v>
      </x:c>
      <x:c r="B2118" s="15" t="str">
        <x:v>许炎</x:v>
      </x:c>
      <x:c r="C2118" s="16" t="n">
        <x:v>46051</x:v>
      </x:c>
      <x:c r="D2118" s="17" t="n">
        <x:v>191</x:v>
      </x:c>
      <x:c r="E2118" s="17" t="n">
        <x:v>521</x:v>
      </x:c>
      <x:c r="F2118" s="18" t="n">
        <x:v>4577.24</x:v>
      </x:c>
    </x:row>
    <x:row r="2119">
      <x:c r="A2119" s="14" t="str">
        <x:v>店长</x:v>
      </x:c>
      <x:c r="B2119" s="15" t="str">
        <x:v>许炎</x:v>
      </x:c>
      <x:c r="C2119" s="16" t="n">
        <x:v>46052</x:v>
      </x:c>
      <x:c r="D2119" s="17" t="n">
        <x:v>197</x:v>
      </x:c>
      <x:c r="E2119" s="17" t="n">
        <x:v>510</x:v>
      </x:c>
      <x:c r="F2119" s="18" t="n">
        <x:v>4359.15</x:v>
      </x:c>
    </x:row>
    <x:row r="2120">
      <x:c r="A2120" s="14" t="str">
        <x:v>店长</x:v>
      </x:c>
      <x:c r="B2120" s="15" t="str">
        <x:v>许炎</x:v>
      </x:c>
      <x:c r="C2120" s="16" t="n">
        <x:v>46053</x:v>
      </x:c>
      <x:c r="D2120" s="17" t="n">
        <x:v>200</x:v>
      </x:c>
      <x:c r="E2120" s="17" t="n">
        <x:v>520</x:v>
      </x:c>
      <x:c r="F2120" s="18" t="n">
        <x:v>4930.86</x:v>
      </x:c>
    </x:row>
    <x:row r="2121">
      <x:c r="A2121" s="14" t="str">
        <x:v>店长</x:v>
      </x:c>
      <x:c r="B2121" s="15" t="str">
        <x:v>许炎</x:v>
      </x:c>
      <x:c r="C2121" s="16" t="n">
        <x:v>46054</x:v>
      </x:c>
      <x:c r="D2121" s="17" t="n">
        <x:v>196</x:v>
      </x:c>
      <x:c r="E2121" s="17" t="n">
        <x:v>434</x:v>
      </x:c>
      <x:c r="F2121" s="18" t="n">
        <x:v>4480.15</x:v>
      </x:c>
    </x:row>
    <x:row r="2122">
      <x:c r="A2122" s="14" t="str">
        <x:v>店长</x:v>
      </x:c>
      <x:c r="B2122" s="15" t="str">
        <x:v>许炎</x:v>
      </x:c>
      <x:c r="C2122" s="16" t="n">
        <x:v>46055</x:v>
      </x:c>
      <x:c r="D2122" s="17" t="n">
        <x:v>207</x:v>
      </x:c>
      <x:c r="E2122" s="17" t="n">
        <x:v>445</x:v>
      </x:c>
      <x:c r="F2122" s="18" t="n">
        <x:v>5001.31</x:v>
      </x:c>
    </x:row>
    <x:row r="2123">
      <x:c r="A2123" s="14" t="str">
        <x:v>店长</x:v>
      </x:c>
      <x:c r="B2123" s="15" t="str">
        <x:v>许炎</x:v>
      </x:c>
      <x:c r="C2123" s="16" t="n">
        <x:v>46056</x:v>
      </x:c>
      <x:c r="D2123" s="17" t="n">
        <x:v>200</x:v>
      </x:c>
      <x:c r="E2123" s="17" t="n">
        <x:v>419</x:v>
      </x:c>
      <x:c r="F2123" s="18" t="n">
        <x:v>4496.55</x:v>
      </x:c>
    </x:row>
    <x:row r="2124">
      <x:c r="A2124" s="14" t="str">
        <x:v>店长</x:v>
      </x:c>
      <x:c r="B2124" s="15" t="str">
        <x:v>许炎</x:v>
      </x:c>
      <x:c r="C2124" s="16" t="n">
        <x:v>46057</x:v>
      </x:c>
      <x:c r="D2124" s="17" t="n">
        <x:v>184</x:v>
      </x:c>
      <x:c r="E2124" s="17" t="n">
        <x:v>354</x:v>
      </x:c>
      <x:c r="F2124" s="18" t="n">
        <x:v>3779.1</x:v>
      </x:c>
    </x:row>
    <x:row r="2125">
      <x:c r="A2125" s="14" t="str">
        <x:v>店长</x:v>
      </x:c>
      <x:c r="B2125" s="15" t="str">
        <x:v>许炎</x:v>
      </x:c>
      <x:c r="C2125" s="16" t="n">
        <x:v>46058</x:v>
      </x:c>
      <x:c r="D2125" s="17" t="n">
        <x:v>163</x:v>
      </x:c>
      <x:c r="E2125" s="17" t="n">
        <x:v>298</x:v>
      </x:c>
      <x:c r="F2125" s="18" t="n">
        <x:v>3483.12</x:v>
      </x:c>
    </x:row>
    <x:row r="2126">
      <x:c r="A2126" s="14" t="str">
        <x:v>店长</x:v>
      </x:c>
      <x:c r="B2126" s="15" t="str">
        <x:v>许炎</x:v>
      </x:c>
      <x:c r="C2126" s="16" t="n">
        <x:v>46059</x:v>
      </x:c>
      <x:c r="D2126" s="17" t="n">
        <x:v>227</x:v>
      </x:c>
      <x:c r="E2126" s="17" t="n">
        <x:v>453</x:v>
      </x:c>
      <x:c r="F2126" s="18" t="n">
        <x:v>4669.6</x:v>
      </x:c>
    </x:row>
    <x:row r="2127">
      <x:c r="A2127" s="14" t="str">
        <x:v>店长</x:v>
      </x:c>
      <x:c r="B2127" s="15" t="str">
        <x:v>许炎</x:v>
      </x:c>
      <x:c r="C2127" s="16" t="n">
        <x:v>46060</x:v>
      </x:c>
      <x:c r="D2127" s="17" t="n">
        <x:v>201</x:v>
      </x:c>
      <x:c r="E2127" s="17" t="n">
        <x:v>410</x:v>
      </x:c>
      <x:c r="F2127" s="18" t="n">
        <x:v>4227.89</x:v>
      </x:c>
    </x:row>
    <x:row r="2128">
      <x:c r="A2128" s="14" t="str">
        <x:v>店长</x:v>
      </x:c>
      <x:c r="B2128" s="15" t="str">
        <x:v>许炎</x:v>
      </x:c>
      <x:c r="C2128" s="16" t="n">
        <x:v>46061</x:v>
      </x:c>
      <x:c r="D2128" s="17" t="n">
        <x:v>251</x:v>
      </x:c>
      <x:c r="E2128" s="17" t="n">
        <x:v>500</x:v>
      </x:c>
      <x:c r="F2128" s="18" t="n">
        <x:v>5485.4</x:v>
      </x:c>
    </x:row>
    <x:row r="2129">
      <x:c r="A2129" s="14" t="str">
        <x:v>店长</x:v>
      </x:c>
      <x:c r="B2129" s="15" t="str">
        <x:v>许炎</x:v>
      </x:c>
      <x:c r="C2129" s="16" t="n">
        <x:v>46062</x:v>
      </x:c>
      <x:c r="D2129" s="17" t="n">
        <x:v>185</x:v>
      </x:c>
      <x:c r="E2129" s="17" t="n">
        <x:v>338</x:v>
      </x:c>
      <x:c r="F2129" s="18" t="n">
        <x:v>3789.91</x:v>
      </x:c>
    </x:row>
    <x:row r="2130">
      <x:c r="A2130" s="14" t="str">
        <x:v>店长</x:v>
      </x:c>
      <x:c r="B2130" s="15" t="str">
        <x:v>许炎</x:v>
      </x:c>
      <x:c r="C2130" s="16" t="n">
        <x:v>46063</x:v>
      </x:c>
      <x:c r="D2130" s="17" t="n">
        <x:v>163</x:v>
      </x:c>
      <x:c r="E2130" s="17" t="n">
        <x:v>345</x:v>
      </x:c>
      <x:c r="F2130" s="18" t="n">
        <x:v>3565.69</x:v>
      </x:c>
    </x:row>
    <x:row r="2131">
      <x:c r="A2131" s="14" t="str">
        <x:v>店长</x:v>
      </x:c>
      <x:c r="B2131" s="15" t="str">
        <x:v>许炎</x:v>
      </x:c>
      <x:c r="C2131" s="16" t="n">
        <x:v>46064</x:v>
      </x:c>
      <x:c r="D2131" s="17" t="n">
        <x:v>178</x:v>
      </x:c>
      <x:c r="E2131" s="17" t="n">
        <x:v>338</x:v>
      </x:c>
      <x:c r="F2131" s="18" t="n">
        <x:v>3753.66</x:v>
      </x:c>
    </x:row>
    <x:row r="2132">
      <x:c r="A2132" s="14" t="str">
        <x:v>店长</x:v>
      </x:c>
      <x:c r="B2132" s="15" t="str">
        <x:v>许炎</x:v>
      </x:c>
      <x:c r="C2132" s="16" t="n">
        <x:v>46065</x:v>
      </x:c>
      <x:c r="D2132" s="17" t="n">
        <x:v>180</x:v>
      </x:c>
      <x:c r="E2132" s="17" t="n">
        <x:v>350</x:v>
      </x:c>
      <x:c r="F2132" s="18" t="n">
        <x:v>4298.56</x:v>
      </x:c>
    </x:row>
    <x:row r="2133">
      <x:c r="A2133" s="14" t="str">
        <x:v>店长</x:v>
      </x:c>
      <x:c r="B2133" s="15" t="str">
        <x:v>许炎</x:v>
      </x:c>
      <x:c r="C2133" s="16" t="n">
        <x:v>46066</x:v>
      </x:c>
      <x:c r="D2133" s="17" t="n">
        <x:v>218</x:v>
      </x:c>
      <x:c r="E2133" s="17" t="n">
        <x:v>425</x:v>
      </x:c>
      <x:c r="F2133" s="18" t="n">
        <x:v>4776.07</x:v>
      </x:c>
    </x:row>
    <x:row r="2134">
      <x:c r="A2134" s="14" t="str">
        <x:v>店长</x:v>
      </x:c>
      <x:c r="B2134" s="15" t="str">
        <x:v>许炎</x:v>
      </x:c>
      <x:c r="C2134" s="16" t="n">
        <x:v>46067</x:v>
      </x:c>
      <x:c r="D2134" s="17" t="n">
        <x:v>216</x:v>
      </x:c>
      <x:c r="E2134" s="17" t="n">
        <x:v>417</x:v>
      </x:c>
      <x:c r="F2134" s="18" t="n">
        <x:v>5068.28</x:v>
      </x:c>
    </x:row>
    <x:row r="2135">
      <x:c r="A2135" s="14" t="str">
        <x:v>店长</x:v>
      </x:c>
      <x:c r="B2135" s="15" t="str">
        <x:v>许炎</x:v>
      </x:c>
      <x:c r="C2135" s="16" t="n">
        <x:v>46068</x:v>
      </x:c>
      <x:c r="D2135" s="17" t="n">
        <x:v>110</x:v>
      </x:c>
      <x:c r="E2135" s="17" t="n">
        <x:v>209</x:v>
      </x:c>
      <x:c r="F2135" s="18" t="n">
        <x:v>2447.87</x:v>
      </x:c>
    </x:row>
    <x:row r="2136">
      <x:c r="A2136" s="14" t="str">
        <x:v>店长</x:v>
      </x:c>
      <x:c r="B2136" s="15" t="str">
        <x:v>许炎</x:v>
      </x:c>
      <x:c r="C2136" s="16" t="n">
        <x:v>46069</x:v>
      </x:c>
      <x:c r="D2136" s="17" t="n">
        <x:v>141</x:v>
      </x:c>
      <x:c r="E2136" s="17" t="n">
        <x:v>275</x:v>
      </x:c>
      <x:c r="F2136" s="18" t="n">
        <x:v>3435.62</x:v>
      </x:c>
    </x:row>
    <x:row r="2137">
      <x:c r="A2137" s="14" t="str">
        <x:v>店长</x:v>
      </x:c>
      <x:c r="B2137" s="15" t="str">
        <x:v>许炎</x:v>
      </x:c>
      <x:c r="C2137" s="16" t="n">
        <x:v>46070</x:v>
      </x:c>
      <x:c r="D2137" s="17" t="n">
        <x:v>114</x:v>
      </x:c>
      <x:c r="E2137" s="17" t="n">
        <x:v>215</x:v>
      </x:c>
      <x:c r="F2137" s="18" t="n">
        <x:v>2589.18</x:v>
      </x:c>
    </x:row>
    <x:row r="2138">
      <x:c r="A2138" s="14" t="str">
        <x:v>店长</x:v>
      </x:c>
      <x:c r="B2138" s="15" t="str">
        <x:v>许炎</x:v>
      </x:c>
      <x:c r="C2138" s="16" t="n">
        <x:v>46071</x:v>
      </x:c>
      <x:c r="D2138" s="17" t="n">
        <x:v>230</x:v>
      </x:c>
      <x:c r="E2138" s="17" t="n">
        <x:v>494</x:v>
      </x:c>
      <x:c r="F2138" s="18" t="n">
        <x:v>5734.72</x:v>
      </x:c>
    </x:row>
    <x:row r="2139">
      <x:c r="A2139" s="14" t="str">
        <x:v>店长</x:v>
      </x:c>
      <x:c r="B2139" s="15" t="str">
        <x:v>许炎</x:v>
      </x:c>
      <x:c r="C2139" s="16" t="n">
        <x:v>46072</x:v>
      </x:c>
      <x:c r="D2139" s="17" t="n">
        <x:v>153</x:v>
      </x:c>
      <x:c r="E2139" s="17" t="n">
        <x:v>271</x:v>
      </x:c>
      <x:c r="F2139" s="18" t="n">
        <x:v>3420.86</x:v>
      </x:c>
    </x:row>
    <x:row r="2140">
      <x:c r="A2140" s="14" t="str">
        <x:v>店长</x:v>
      </x:c>
      <x:c r="B2140" s="15" t="str">
        <x:v>许炎</x:v>
      </x:c>
      <x:c r="C2140" s="16" t="n">
        <x:v>46073</x:v>
      </x:c>
      <x:c r="D2140" s="17" t="n">
        <x:v>194</x:v>
      </x:c>
      <x:c r="E2140" s="17" t="n">
        <x:v>349</x:v>
      </x:c>
      <x:c r="F2140" s="18" t="n">
        <x:v>4621.76</x:v>
      </x:c>
    </x:row>
    <x:row r="2141">
      <x:c r="A2141" s="14" t="str">
        <x:v>店长</x:v>
      </x:c>
      <x:c r="B2141" s="15" t="str">
        <x:v>许炎</x:v>
      </x:c>
      <x:c r="C2141" s="16" t="n">
        <x:v>46074</x:v>
      </x:c>
      <x:c r="D2141" s="17" t="n">
        <x:v>115</x:v>
      </x:c>
      <x:c r="E2141" s="17" t="n">
        <x:v>218</x:v>
      </x:c>
      <x:c r="F2141" s="18" t="n">
        <x:v>2724.67</x:v>
      </x:c>
    </x:row>
    <x:row r="2142">
      <x:c r="A2142" s="14" t="str">
        <x:v>店长</x:v>
      </x:c>
      <x:c r="B2142" s="15" t="str">
        <x:v>许炎</x:v>
      </x:c>
      <x:c r="C2142" s="16" t="n">
        <x:v>46075</x:v>
      </x:c>
      <x:c r="D2142" s="17" t="n">
        <x:v>165</x:v>
      </x:c>
      <x:c r="E2142" s="17" t="n">
        <x:v>301</x:v>
      </x:c>
      <x:c r="F2142" s="18" t="n">
        <x:v>3926.63</x:v>
      </x:c>
    </x:row>
    <x:row r="2143">
      <x:c r="A2143" s="14" t="str">
        <x:v>店长</x:v>
      </x:c>
      <x:c r="B2143" s="15" t="str">
        <x:v>许炎</x:v>
      </x:c>
      <x:c r="C2143" s="16" t="n">
        <x:v>46076</x:v>
      </x:c>
      <x:c r="D2143" s="17" t="n">
        <x:v>178</x:v>
      </x:c>
      <x:c r="E2143" s="17" t="n">
        <x:v>323</x:v>
      </x:c>
      <x:c r="F2143" s="18" t="n">
        <x:v>3520.11</x:v>
      </x:c>
    </x:row>
    <x:row r="2144">
      <x:c r="A2144" s="14" t="str">
        <x:v>店长</x:v>
      </x:c>
      <x:c r="B2144" s="15" t="str">
        <x:v>许炎</x:v>
      </x:c>
      <x:c r="C2144" s="16" t="n">
        <x:v>46077</x:v>
      </x:c>
      <x:c r="D2144" s="17" t="n">
        <x:v>168</x:v>
      </x:c>
      <x:c r="E2144" s="17" t="n">
        <x:v>283</x:v>
      </x:c>
      <x:c r="F2144" s="18" t="n">
        <x:v>3278.93</x:v>
      </x:c>
    </x:row>
    <x:row r="2145">
      <x:c r="A2145" s="14" t="str">
        <x:v>店长</x:v>
      </x:c>
      <x:c r="B2145" s="15" t="str">
        <x:v>许炎</x:v>
      </x:c>
      <x:c r="C2145" s="16" t="n">
        <x:v>46078</x:v>
      </x:c>
      <x:c r="D2145" s="17" t="n">
        <x:v>206</x:v>
      </x:c>
      <x:c r="E2145" s="17" t="n">
        <x:v>319</x:v>
      </x:c>
      <x:c r="F2145" s="18" t="n">
        <x:v>3164.79</x:v>
      </x:c>
    </x:row>
    <x:row r="2146">
      <x:c r="A2146" s="14" t="str">
        <x:v>店长</x:v>
      </x:c>
      <x:c r="B2146" s="15" t="str">
        <x:v>许炎</x:v>
      </x:c>
      <x:c r="C2146" s="16" t="n">
        <x:v>46079</x:v>
      </x:c>
      <x:c r="D2146" s="17" t="n">
        <x:v>196</x:v>
      </x:c>
      <x:c r="E2146" s="17" t="n">
        <x:v>305</x:v>
      </x:c>
      <x:c r="F2146" s="18" t="n">
        <x:v>3371.3</x:v>
      </x:c>
    </x:row>
    <x:row r="2147">
      <x:c r="A2147" s="14" t="str">
        <x:v>店长</x:v>
      </x:c>
      <x:c r="B2147" s="15" t="str">
        <x:v>许炎</x:v>
      </x:c>
      <x:c r="C2147" s="16" t="n">
        <x:v>46080</x:v>
      </x:c>
      <x:c r="D2147" s="17" t="n">
        <x:v>176</x:v>
      </x:c>
      <x:c r="E2147" s="17" t="n">
        <x:v>312</x:v>
      </x:c>
      <x:c r="F2147" s="18" t="n">
        <x:v>3438.28</x:v>
      </x:c>
    </x:row>
    <x:row r="2148">
      <x:c r="A2148" s="14" t="str">
        <x:v>店长</x:v>
      </x:c>
      <x:c r="B2148" s="15" t="str">
        <x:v>许炎</x:v>
      </x:c>
      <x:c r="C2148" s="16" t="n">
        <x:v>46081</x:v>
      </x:c>
      <x:c r="D2148" s="17" t="n">
        <x:v>177</x:v>
      </x:c>
      <x:c r="E2148" s="17" t="n">
        <x:v>279</x:v>
      </x:c>
      <x:c r="F2148" s="18" t="n">
        <x:v>3530.4</x:v>
      </x:c>
    </x:row>
    <x:row r="2149">
      <x:c r="A2149" s="14" t="str">
        <x:v>店长</x:v>
      </x:c>
      <x:c r="B2149" s="15" t="str">
        <x:v>许炎</x:v>
      </x:c>
      <x:c r="C2149" s="16" t="n">
        <x:v>46082</x:v>
      </x:c>
      <x:c r="D2149" s="17" t="n">
        <x:v>186</x:v>
      </x:c>
      <x:c r="E2149" s="17" t="n">
        <x:v>316</x:v>
      </x:c>
      <x:c r="F2149" s="18" t="n">
        <x:v>3624.98</x:v>
      </x:c>
    </x:row>
    <x:row r="2150">
      <x:c r="A2150" s="14" t="str">
        <x:v>店长</x:v>
      </x:c>
      <x:c r="B2150" s="15" t="str">
        <x:v>许炎</x:v>
      </x:c>
      <x:c r="C2150" s="16" t="n">
        <x:v>46083</x:v>
      </x:c>
      <x:c r="D2150" s="17" t="n">
        <x:v>165</x:v>
      </x:c>
      <x:c r="E2150" s="17" t="n">
        <x:v>314</x:v>
      </x:c>
      <x:c r="F2150" s="18" t="n">
        <x:v>3527.72</x:v>
      </x:c>
    </x:row>
    <x:row r="2151">
      <x:c r="A2151" s="14" t="str">
        <x:v>店长</x:v>
      </x:c>
      <x:c r="B2151" s="15" t="str">
        <x:v>许炎</x:v>
      </x:c>
      <x:c r="C2151" s="16" t="n">
        <x:v>46084</x:v>
      </x:c>
      <x:c r="D2151" s="17" t="n">
        <x:v>173</x:v>
      </x:c>
      <x:c r="E2151" s="17" t="n">
        <x:v>312</x:v>
      </x:c>
      <x:c r="F2151" s="18" t="n">
        <x:v>3404.7</x:v>
      </x:c>
    </x:row>
    <x:row r="2152">
      <x:c r="A2152" s="14" t="str">
        <x:v>店长</x:v>
      </x:c>
      <x:c r="B2152" s="15" t="str">
        <x:v>许炎</x:v>
      </x:c>
      <x:c r="C2152" s="16" t="n">
        <x:v>46085</x:v>
      </x:c>
      <x:c r="D2152" s="17" t="n">
        <x:v>197</x:v>
      </x:c>
      <x:c r="E2152" s="17" t="n">
        <x:v>344</x:v>
      </x:c>
      <x:c r="F2152" s="18" t="n">
        <x:v>3938.09</x:v>
      </x:c>
    </x:row>
    <x:row r="2153">
      <x:c r="A2153" s="14" t="str">
        <x:v>店长</x:v>
      </x:c>
      <x:c r="B2153" s="15" t="str">
        <x:v>许炎</x:v>
      </x:c>
      <x:c r="C2153" s="16" t="n">
        <x:v>46086</x:v>
      </x:c>
      <x:c r="D2153" s="17" t="n">
        <x:v>174</x:v>
      </x:c>
      <x:c r="E2153" s="17" t="n">
        <x:v>306</x:v>
      </x:c>
      <x:c r="F2153" s="18" t="n">
        <x:v>3507.61</x:v>
      </x:c>
    </x:row>
    <x:row r="2154">
      <x:c r="A2154" s="14" t="str">
        <x:v>店长</x:v>
      </x:c>
      <x:c r="B2154" s="15" t="str">
        <x:v>许炎</x:v>
      </x:c>
      <x:c r="C2154" s="16" t="n">
        <x:v>46087</x:v>
      </x:c>
      <x:c r="D2154" s="17" t="n">
        <x:v>189</x:v>
      </x:c>
      <x:c r="E2154" s="17" t="n">
        <x:v>350</x:v>
      </x:c>
      <x:c r="F2154" s="18" t="n">
        <x:v>4104.2</x:v>
      </x:c>
    </x:row>
    <x:row r="2155">
      <x:c r="A2155" s="14" t="str">
        <x:v>店长</x:v>
      </x:c>
      <x:c r="B2155" s="15" t="str">
        <x:v>许炎</x:v>
      </x:c>
      <x:c r="C2155" s="16" t="n">
        <x:v>46088</x:v>
      </x:c>
      <x:c r="D2155" s="17" t="n">
        <x:v>180</x:v>
      </x:c>
      <x:c r="E2155" s="17" t="n">
        <x:v>301</x:v>
      </x:c>
      <x:c r="F2155" s="18" t="n">
        <x:v>3643.19</x:v>
      </x:c>
    </x:row>
    <x:row r="2156">
      <x:c r="A2156" s="14" t="str">
        <x:v>店长</x:v>
      </x:c>
      <x:c r="B2156" s="15" t="str">
        <x:v>许炎</x:v>
      </x:c>
      <x:c r="C2156" s="16" t="n">
        <x:v>46089</x:v>
      </x:c>
      <x:c r="D2156" s="17" t="n">
        <x:v>149</x:v>
      </x:c>
      <x:c r="E2156" s="17" t="n">
        <x:v>249</x:v>
      </x:c>
      <x:c r="F2156" s="18" t="n">
        <x:v>3109.72</x:v>
      </x:c>
    </x:row>
    <x:row r="2157">
      <x:c r="A2157" s="14" t="str">
        <x:v>店长</x:v>
      </x:c>
      <x:c r="B2157" s="15" t="str">
        <x:v>许炎</x:v>
      </x:c>
      <x:c r="C2157" s="16" t="n">
        <x:v>46090</x:v>
      </x:c>
      <x:c r="D2157" s="17" t="n">
        <x:v>195</x:v>
      </x:c>
      <x:c r="E2157" s="17" t="n">
        <x:v>332</x:v>
      </x:c>
      <x:c r="F2157" s="18" t="n">
        <x:v>4193.15</x:v>
      </x:c>
    </x:row>
    <x:row r="2158">
      <x:c r="A2158" s="14" t="str">
        <x:v>店长</x:v>
      </x:c>
      <x:c r="B2158" s="15" t="str">
        <x:v>许炎</x:v>
      </x:c>
      <x:c r="C2158" s="16" t="n">
        <x:v>46091</x:v>
      </x:c>
      <x:c r="D2158" s="17" t="n">
        <x:v>137</x:v>
      </x:c>
      <x:c r="E2158" s="17" t="n">
        <x:v>262</x:v>
      </x:c>
      <x:c r="F2158" s="18" t="n">
        <x:v>2910.86</x:v>
      </x:c>
    </x:row>
    <x:row r="2159">
      <x:c r="A2159" s="14" t="str">
        <x:v>店长</x:v>
      </x:c>
      <x:c r="B2159" s="15" t="str">
        <x:v>许炎</x:v>
      </x:c>
      <x:c r="C2159" s="16" t="n">
        <x:v>46092</x:v>
      </x:c>
      <x:c r="D2159" s="17" t="n">
        <x:v>169</x:v>
      </x:c>
      <x:c r="E2159" s="17" t="n">
        <x:v>350</x:v>
      </x:c>
      <x:c r="F2159" s="18" t="n">
        <x:v>3479.84</x:v>
      </x:c>
    </x:row>
    <x:row r="2160">
      <x:c r="A2160" s="14" t="str">
        <x:v>店长</x:v>
      </x:c>
      <x:c r="B2160" s="15" t="str">
        <x:v>许炎</x:v>
      </x:c>
      <x:c r="C2160" s="16" t="n">
        <x:v>46093</x:v>
      </x:c>
      <x:c r="D2160" s="17" t="n">
        <x:v>154</x:v>
      </x:c>
      <x:c r="E2160" s="17" t="n">
        <x:v>282</x:v>
      </x:c>
      <x:c r="F2160" s="18" t="n">
        <x:v>2903.64</x:v>
      </x:c>
    </x:row>
    <x:row r="2161">
      <x:c r="A2161" s="14" t="str">
        <x:v>店长</x:v>
      </x:c>
      <x:c r="B2161" s="15" t="str">
        <x:v>许炎</x:v>
      </x:c>
      <x:c r="C2161" s="16" t="n">
        <x:v>46094</x:v>
      </x:c>
      <x:c r="D2161" s="17" t="n">
        <x:v>140</x:v>
      </x:c>
      <x:c r="E2161" s="17" t="n">
        <x:v>222</x:v>
      </x:c>
      <x:c r="F2161" s="18" t="n">
        <x:v>2566.19</x:v>
      </x:c>
    </x:row>
    <x:row r="2162">
      <x:c r="A2162" s="14" t="str">
        <x:v>店长</x:v>
      </x:c>
      <x:c r="B2162" s="15" t="str">
        <x:v>许炎</x:v>
      </x:c>
      <x:c r="C2162" s="16" t="n">
        <x:v>46095</x:v>
      </x:c>
      <x:c r="D2162" s="17" t="n">
        <x:v>177</x:v>
      </x:c>
      <x:c r="E2162" s="17" t="n">
        <x:v>293</x:v>
      </x:c>
      <x:c r="F2162" s="18" t="n">
        <x:v>3800.16</x:v>
      </x:c>
    </x:row>
    <x:row r="2163">
      <x:c r="A2163" s="14" t="str">
        <x:v>店长</x:v>
      </x:c>
      <x:c r="B2163" s="15" t="str">
        <x:v>许炎</x:v>
      </x:c>
      <x:c r="C2163" s="16" t="n">
        <x:v>46096</x:v>
      </x:c>
      <x:c r="D2163" s="17" t="n">
        <x:v>146</x:v>
      </x:c>
      <x:c r="E2163" s="17" t="n">
        <x:v>266</x:v>
      </x:c>
      <x:c r="F2163" s="18" t="n">
        <x:v>3486.05</x:v>
      </x:c>
    </x:row>
    <x:row r="2164">
      <x:c r="A2164" s="14" t="str">
        <x:v>店长</x:v>
      </x:c>
      <x:c r="B2164" s="15" t="str">
        <x:v>许炎</x:v>
      </x:c>
      <x:c r="C2164" s="16" t="n">
        <x:v>46097</x:v>
      </x:c>
      <x:c r="D2164" s="17" t="n">
        <x:v>131</x:v>
      </x:c>
      <x:c r="E2164" s="17" t="n">
        <x:v>263</x:v>
      </x:c>
      <x:c r="F2164" s="18" t="n">
        <x:v>2995.66</x:v>
      </x:c>
    </x:row>
    <x:row r="2165">
      <x:c r="A2165" s="14" t="str">
        <x:v>店长</x:v>
      </x:c>
      <x:c r="B2165" s="15" t="str">
        <x:v>许炎</x:v>
      </x:c>
      <x:c r="C2165" s="16" t="n">
        <x:v>46098</x:v>
      </x:c>
      <x:c r="D2165" s="17" t="n">
        <x:v>146</x:v>
      </x:c>
      <x:c r="E2165" s="17" t="n">
        <x:v>262</x:v>
      </x:c>
      <x:c r="F2165" s="18" t="n">
        <x:v>3207.34</x:v>
      </x:c>
    </x:row>
    <x:row r="2166">
      <x:c r="A2166" s="14" t="str">
        <x:v>店长</x:v>
      </x:c>
      <x:c r="B2166" s="15" t="str">
        <x:v>许炎</x:v>
      </x:c>
      <x:c r="C2166" s="16" t="n">
        <x:v>46099</x:v>
      </x:c>
      <x:c r="D2166" s="17" t="n">
        <x:v>148</x:v>
      </x:c>
      <x:c r="E2166" s="17" t="n">
        <x:v>290</x:v>
      </x:c>
      <x:c r="F2166" s="18" t="n">
        <x:v>3499.39</x:v>
      </x:c>
    </x:row>
    <x:row r="2167">
      <x:c r="A2167" s="14" t="str">
        <x:v>店长</x:v>
      </x:c>
      <x:c r="B2167" s="15" t="str">
        <x:v>许炎</x:v>
      </x:c>
      <x:c r="C2167" s="16" t="n">
        <x:v>46100</x:v>
      </x:c>
      <x:c r="D2167" s="17" t="n">
        <x:v>126</x:v>
      </x:c>
      <x:c r="E2167" s="17" t="n">
        <x:v>232</x:v>
      </x:c>
      <x:c r="F2167" s="18" t="n">
        <x:v>2650.99</x:v>
      </x:c>
    </x:row>
    <x:row r="2168">
      <x:c r="A2168" s="14" t="str">
        <x:v>店长</x:v>
      </x:c>
      <x:c r="B2168" s="15" t="str">
        <x:v>许炎</x:v>
      </x:c>
      <x:c r="C2168" s="16" t="n">
        <x:v>46101</x:v>
      </x:c>
      <x:c r="D2168" s="17" t="n">
        <x:v>139</x:v>
      </x:c>
      <x:c r="E2168" s="17" t="n">
        <x:v>292</x:v>
      </x:c>
      <x:c r="F2168" s="18" t="n">
        <x:v>3405.31</x:v>
      </x:c>
    </x:row>
    <x:row r="2169">
      <x:c r="A2169" s="14" t="str">
        <x:v>店长</x:v>
      </x:c>
      <x:c r="B2169" s="15" t="str">
        <x:v>许炎</x:v>
      </x:c>
      <x:c r="C2169" s="16" t="n">
        <x:v>46102</x:v>
      </x:c>
      <x:c r="D2169" s="17" t="n">
        <x:v>125</x:v>
      </x:c>
      <x:c r="E2169" s="17" t="n">
        <x:v>239</x:v>
      </x:c>
      <x:c r="F2169" s="18" t="n">
        <x:v>2863.66</x:v>
      </x:c>
    </x:row>
    <x:row r="2170">
      <x:c r="A2170" s="14" t="str">
        <x:v>店长</x:v>
      </x:c>
      <x:c r="B2170" s="15" t="str">
        <x:v>许炎</x:v>
      </x:c>
      <x:c r="C2170" s="16" t="n">
        <x:v>46103</x:v>
      </x:c>
      <x:c r="D2170" s="17" t="n">
        <x:v>150</x:v>
      </x:c>
      <x:c r="E2170" s="17" t="n">
        <x:v>272</x:v>
      </x:c>
      <x:c r="F2170" s="18" t="n">
        <x:v>3109.21</x:v>
      </x:c>
    </x:row>
    <x:row r="2171">
      <x:c r="A2171" s="14" t="str">
        <x:v>店长</x:v>
      </x:c>
      <x:c r="B2171" s="15" t="str">
        <x:v>许炎</x:v>
      </x:c>
      <x:c r="C2171" s="16" t="n">
        <x:v>46104</x:v>
      </x:c>
      <x:c r="D2171" s="17" t="n">
        <x:v>207</x:v>
      </x:c>
      <x:c r="E2171" s="17" t="n">
        <x:v>320</x:v>
      </x:c>
      <x:c r="F2171" s="18" t="n">
        <x:v>3539.35</x:v>
      </x:c>
    </x:row>
    <x:row r="2172">
      <x:c r="A2172" s="14" t="str">
        <x:v>店长</x:v>
      </x:c>
      <x:c r="B2172" s="15" t="str">
        <x:v>许炎</x:v>
      </x:c>
      <x:c r="C2172" s="16" t="n">
        <x:v>46105</x:v>
      </x:c>
      <x:c r="D2172" s="17" t="n">
        <x:v>135</x:v>
      </x:c>
      <x:c r="E2172" s="17" t="n">
        <x:v>264</x:v>
      </x:c>
      <x:c r="F2172" s="18" t="n">
        <x:v>2889.3</x:v>
      </x:c>
    </x:row>
    <x:row r="2173">
      <x:c r="A2173" s="14" t="str">
        <x:v>店长</x:v>
      </x:c>
      <x:c r="B2173" s="15" t="str">
        <x:v>许炎</x:v>
      </x:c>
      <x:c r="C2173" s="16" t="n">
        <x:v>46106</x:v>
      </x:c>
      <x:c r="D2173" s="17" t="n">
        <x:v>119</x:v>
      </x:c>
      <x:c r="E2173" s="17" t="n">
        <x:v>163</x:v>
      </x:c>
      <x:c r="F2173" s="18" t="n">
        <x:v>1829.46</x:v>
      </x:c>
    </x:row>
    <x:row r="2174">
      <x:c r="A2174" s="14" t="str">
        <x:v>店长</x:v>
      </x:c>
      <x:c r="B2174" s="15" t="str">
        <x:v>许炎</x:v>
      </x:c>
      <x:c r="C2174" s="16" t="n">
        <x:v>46107</x:v>
      </x:c>
      <x:c r="D2174" s="17" t="n">
        <x:v>108</x:v>
      </x:c>
      <x:c r="E2174" s="17" t="n">
        <x:v>180</x:v>
      </x:c>
      <x:c r="F2174" s="18" t="n">
        <x:v>1736.79</x:v>
      </x:c>
    </x:row>
    <x:row r="2175">
      <x:c r="A2175" s="14" t="str">
        <x:v>店长</x:v>
      </x:c>
      <x:c r="B2175" s="15" t="str">
        <x:v>许炎</x:v>
      </x:c>
      <x:c r="C2175" s="16" t="n">
        <x:v>46108</x:v>
      </x:c>
      <x:c r="D2175" s="17" t="n">
        <x:v>107</x:v>
      </x:c>
      <x:c r="E2175" s="17" t="n">
        <x:v>154</x:v>
      </x:c>
      <x:c r="F2175" s="18" t="n">
        <x:v>1631.56</x:v>
      </x:c>
    </x:row>
    <x:row r="2176">
      <x:c r="A2176" s="14" t="str">
        <x:v>店长</x:v>
      </x:c>
      <x:c r="B2176" s="15" t="str">
        <x:v>许炎</x:v>
      </x:c>
      <x:c r="C2176" s="16" t="n">
        <x:v>46109</x:v>
      </x:c>
      <x:c r="D2176" s="17" t="n">
        <x:v>64</x:v>
      </x:c>
      <x:c r="E2176" s="17" t="n">
        <x:v>128</x:v>
      </x:c>
      <x:c r="F2176" s="18" t="n">
        <x:v>1359.61</x:v>
      </x:c>
    </x:row>
    <x:row r="2177">
      <x:c r="A2177" s="14" t="str">
        <x:v>店长</x:v>
      </x:c>
      <x:c r="B2177" s="15" t="str">
        <x:v>许炎</x:v>
      </x:c>
      <x:c r="C2177" s="16" t="n">
        <x:v>46110</x:v>
      </x:c>
      <x:c r="D2177" s="17" t="n">
        <x:v>117</x:v>
      </x:c>
      <x:c r="E2177" s="17" t="n">
        <x:v>157</x:v>
      </x:c>
      <x:c r="F2177" s="18" t="n">
        <x:v>1455.03</x:v>
      </x:c>
    </x:row>
    <x:row r="2178">
      <x:c r="A2178" s="14" t="str">
        <x:v>店长</x:v>
      </x:c>
      <x:c r="B2178" s="15" t="str">
        <x:v>许炎</x:v>
      </x:c>
      <x:c r="C2178" s="16" t="n">
        <x:v>46111</x:v>
      </x:c>
      <x:c r="D2178" s="17" t="n">
        <x:v>89</x:v>
      </x:c>
      <x:c r="E2178" s="17" t="n">
        <x:v>127</x:v>
      </x:c>
      <x:c r="F2178" s="18" t="n">
        <x:v>1407</x:v>
      </x:c>
    </x:row>
    <x:row r="2179">
      <x:c r="A2179" s="14" t="str">
        <x:v>店长</x:v>
      </x:c>
      <x:c r="B2179" s="15" t="str">
        <x:v>许炎</x:v>
      </x:c>
      <x:c r="C2179" s="16" t="n">
        <x:v>46112</x:v>
      </x:c>
      <x:c r="D2179" s="17" t="n">
        <x:v>76</x:v>
      </x:c>
      <x:c r="E2179" s="17" t="n">
        <x:v>133</x:v>
      </x:c>
      <x:c r="F2179" s="18" t="n">
        <x:v>1462.6</x:v>
      </x:c>
    </x:row>
    <x:row r="2180">
      <x:c r="A2180" s="14" t="str">
        <x:v>店长</x:v>
      </x:c>
      <x:c r="B2180" s="15" t="str">
        <x:v>许炎</x:v>
      </x:c>
      <x:c r="C2180" s="16" t="n">
        <x:v>46113</x:v>
      </x:c>
      <x:c r="D2180" s="17" t="n">
        <x:v>67</x:v>
      </x:c>
      <x:c r="E2180" s="17" t="n">
        <x:v>100</x:v>
      </x:c>
      <x:c r="F2180" s="18" t="n">
        <x:v>1310.28</x:v>
      </x:c>
    </x:row>
    <x:row r="2181">
      <x:c r="A2181" s="14" t="str">
        <x:v>店长</x:v>
      </x:c>
      <x:c r="B2181" s="15" t="str">
        <x:v>许炎</x:v>
      </x:c>
      <x:c r="C2181" s="16" t="n">
        <x:v>46114</x:v>
      </x:c>
      <x:c r="D2181" s="17" t="n">
        <x:v>45</x:v>
      </x:c>
      <x:c r="E2181" s="17" t="n">
        <x:v>48</x:v>
      </x:c>
      <x:c r="F2181" s="18" t="n">
        <x:v>485.35</x:v>
      </x:c>
    </x:row>
    <x:row r="2182">
      <x:c r="A2182" s="14" t="str">
        <x:v>店长</x:v>
      </x:c>
      <x:c r="B2182" s="15" t="str">
        <x:v>许炎</x:v>
      </x:c>
      <x:c r="C2182" s="16" t="n">
        <x:v>46115</x:v>
      </x:c>
      <x:c r="D2182" s="17" t="n">
        <x:v>13</x:v>
      </x:c>
      <x:c r="E2182" s="17" t="n">
        <x:v>18</x:v>
      </x:c>
      <x:c r="F2182" s="18" t="n">
        <x:v>183.78</x:v>
      </x:c>
    </x:row>
    <x:row r="2183">
      <x:c r="A2183" s="14" t="str">
        <x:v>店长</x:v>
      </x:c>
      <x:c r="B2183" s="15" t="str">
        <x:v>许炎</x:v>
      </x:c>
      <x:c r="C2183" s="16" t="n">
        <x:v>46116</x:v>
      </x:c>
      <x:c r="D2183" s="17" t="n">
        <x:v>157</x:v>
      </x:c>
      <x:c r="E2183" s="17" t="n">
        <x:v>282</x:v>
      </x:c>
      <x:c r="F2183" s="18" t="n">
        <x:v>2240.48</x:v>
      </x:c>
    </x:row>
    <x:row r="2184">
      <x:c r="A2184" s="14" t="str">
        <x:v>店长</x:v>
      </x:c>
      <x:c r="B2184" s="15" t="str">
        <x:v>许炎</x:v>
      </x:c>
      <x:c r="C2184" s="16" t="n">
        <x:v>46117</x:v>
      </x:c>
      <x:c r="D2184" s="17" t="n">
        <x:v>67</x:v>
      </x:c>
      <x:c r="E2184" s="17" t="n">
        <x:v>100</x:v>
      </x:c>
      <x:c r="F2184" s="18" t="n">
        <x:v>1188.28</x:v>
      </x:c>
    </x:row>
    <x:row r="2185">
      <x:c r="A2185" s="14" t="str">
        <x:v>店长</x:v>
      </x:c>
      <x:c r="B2185" s="15" t="str">
        <x:v>许炎</x:v>
      </x:c>
      <x:c r="C2185" s="16" t="n">
        <x:v>46118</x:v>
      </x:c>
      <x:c r="D2185" s="17" t="n">
        <x:v>33</x:v>
      </x:c>
      <x:c r="E2185" s="17" t="n">
        <x:v>58</x:v>
      </x:c>
      <x:c r="F2185" s="18" t="n">
        <x:v>815.56</x:v>
      </x:c>
    </x:row>
    <x:row r="2186">
      <x:c r="A2186" s="14" t="str">
        <x:v>店长</x:v>
      </x:c>
      <x:c r="B2186" s="15" t="str">
        <x:v>许炎</x:v>
      </x:c>
      <x:c r="C2186" s="16" t="n">
        <x:v>46119</x:v>
      </x:c>
      <x:c r="D2186" s="17" t="n">
        <x:v>115</x:v>
      </x:c>
      <x:c r="E2186" s="17" t="n">
        <x:v>144</x:v>
      </x:c>
      <x:c r="F2186" s="18" t="n">
        <x:v>1550.64</x:v>
      </x:c>
    </x:row>
    <x:row r="2187">
      <x:c r="A2187" s="14" t="str">
        <x:v>店长</x:v>
      </x:c>
      <x:c r="B2187" s="15" t="str">
        <x:v>许炎</x:v>
      </x:c>
      <x:c r="C2187" s="16" t="n">
        <x:v>46120</x:v>
      </x:c>
      <x:c r="D2187" s="17" t="n">
        <x:v>64</x:v>
      </x:c>
      <x:c r="E2187" s="17" t="n">
        <x:v>94</x:v>
      </x:c>
      <x:c r="F2187" s="18" t="n">
        <x:v>1046.04</x:v>
      </x:c>
    </x:row>
    <x:row r="2188">
      <x:c r="A2188" s="14" t="str">
        <x:v>店长</x:v>
      </x:c>
      <x:c r="B2188" s="15" t="str">
        <x:v>许炎</x:v>
      </x:c>
      <x:c r="C2188" s="16" t="n">
        <x:v>46121</x:v>
      </x:c>
      <x:c r="D2188" s="17" t="n">
        <x:v>59</x:v>
      </x:c>
      <x:c r="E2188" s="17" t="n">
        <x:v>91</x:v>
      </x:c>
      <x:c r="F2188" s="18" t="n">
        <x:v>1159.8</x:v>
      </x:c>
    </x:row>
    <x:row r="2189">
      <x:c r="A2189" s="14" t="str">
        <x:v>店长</x:v>
      </x:c>
      <x:c r="B2189" s="15" t="str">
        <x:v>许炎</x:v>
      </x:c>
      <x:c r="C2189" s="16" t="n">
        <x:v>46122</x:v>
      </x:c>
      <x:c r="D2189" s="17" t="n">
        <x:v>165</x:v>
      </x:c>
      <x:c r="E2189" s="17" t="n">
        <x:v>216</x:v>
      </x:c>
      <x:c r="F2189" s="18" t="n">
        <x:v>2299.86</x:v>
      </x:c>
    </x:row>
    <x:row r="2190">
      <x:c r="A2190" s="14" t="str">
        <x:v>店长</x:v>
      </x:c>
      <x:c r="B2190" s="15" t="str">
        <x:v>许炎</x:v>
      </x:c>
      <x:c r="C2190" s="16" t="n">
        <x:v>46123</x:v>
      </x:c>
      <x:c r="D2190" s="17" t="n">
        <x:v>139</x:v>
      </x:c>
      <x:c r="E2190" s="17" t="n">
        <x:v>173</x:v>
      </x:c>
      <x:c r="F2190" s="18" t="n">
        <x:v>2126.99</x:v>
      </x:c>
    </x:row>
    <x:row r="2191">
      <x:c r="A2191" s="14" t="str">
        <x:v>店长</x:v>
      </x:c>
      <x:c r="B2191" s="15" t="str">
        <x:v>许炎</x:v>
      </x:c>
      <x:c r="C2191" s="16" t="n">
        <x:v>46124</x:v>
      </x:c>
      <x:c r="D2191" s="17" t="n">
        <x:v>164</x:v>
      </x:c>
      <x:c r="E2191" s="17" t="n">
        <x:v>194</x:v>
      </x:c>
      <x:c r="F2191" s="18" t="n">
        <x:v>2149.99</x:v>
      </x:c>
    </x:row>
    <x:row r="2192">
      <x:c r="A2192" s="14" t="str">
        <x:v>店长</x:v>
      </x:c>
      <x:c r="B2192" s="15" t="str">
        <x:v>许炎</x:v>
      </x:c>
      <x:c r="C2192" s="16" t="n">
        <x:v>46125</x:v>
      </x:c>
      <x:c r="D2192" s="17" t="n">
        <x:v>367</x:v>
      </x:c>
      <x:c r="E2192" s="17" t="n">
        <x:v>413</x:v>
      </x:c>
      <x:c r="F2192" s="18" t="n">
        <x:v>3805.64</x:v>
      </x:c>
    </x:row>
    <x:row r="2193">
      <x:c r="A2193" s="14" t="str">
        <x:v>店长</x:v>
      </x:c>
      <x:c r="B2193" s="15" t="str">
        <x:v>许炎</x:v>
      </x:c>
      <x:c r="C2193" s="16" t="n">
        <x:v>46126</x:v>
      </x:c>
      <x:c r="D2193" s="17" t="n">
        <x:v>372</x:v>
      </x:c>
      <x:c r="E2193" s="17" t="n">
        <x:v>514</x:v>
      </x:c>
      <x:c r="F2193" s="18" t="n">
        <x:v>2744.16</x:v>
      </x:c>
    </x:row>
    <x:row r="2194">
      <x:c r="A2194" s="14" t="str">
        <x:v>店长</x:v>
      </x:c>
      <x:c r="B2194" s="15" t="str">
        <x:v>许炎</x:v>
      </x:c>
      <x:c r="C2194" s="16" t="n">
        <x:v>46127</x:v>
      </x:c>
      <x:c r="D2194" s="17" t="n">
        <x:v>169</x:v>
      </x:c>
      <x:c r="E2194" s="17" t="n">
        <x:v>226</x:v>
      </x:c>
      <x:c r="F2194" s="18" t="n">
        <x:v>2198.41</x:v>
      </x:c>
    </x:row>
    <x:row r="2195">
      <x:c r="A2195" s="14" t="str">
        <x:v>店长</x:v>
      </x:c>
      <x:c r="B2195" s="15" t="str">
        <x:v>许炎</x:v>
      </x:c>
      <x:c r="C2195" s="16" t="n">
        <x:v>46128</x:v>
      </x:c>
      <x:c r="D2195" s="17" t="n">
        <x:v>166</x:v>
      </x:c>
      <x:c r="E2195" s="17" t="n">
        <x:v>199</x:v>
      </x:c>
      <x:c r="F2195" s="18" t="n">
        <x:v>2171.26</x:v>
      </x:c>
    </x:row>
    <x:row r="2196">
      <x:c r="A2196" s="14" t="str">
        <x:v>店长</x:v>
      </x:c>
      <x:c r="B2196" s="15" t="str">
        <x:v>许炎</x:v>
      </x:c>
      <x:c r="C2196" s="16" t="n">
        <x:v>46129</x:v>
      </x:c>
      <x:c r="D2196" s="17" t="n">
        <x:v>235</x:v>
      </x:c>
      <x:c r="E2196" s="17" t="n">
        <x:v>290</x:v>
      </x:c>
      <x:c r="F2196" s="18" t="n">
        <x:v>3085.54</x:v>
      </x:c>
    </x:row>
    <x:row r="2197">
      <x:c r="A2197" s="14" t="str">
        <x:v>店长</x:v>
      </x:c>
      <x:c r="B2197" s="15" t="str">
        <x:v>许炎</x:v>
      </x:c>
      <x:c r="C2197" s="16" t="n">
        <x:v>46130</x:v>
      </x:c>
      <x:c r="D2197" s="17" t="n">
        <x:v>162</x:v>
      </x:c>
      <x:c r="E2197" s="17" t="n">
        <x:v>232</x:v>
      </x:c>
      <x:c r="F2197" s="18" t="n">
        <x:v>2621.14</x:v>
      </x:c>
    </x:row>
    <x:row r="2198">
      <x:c r="A2198" s="14" t="str">
        <x:v>店长</x:v>
      </x:c>
      <x:c r="B2198" s="15" t="str">
        <x:v>许炎</x:v>
      </x:c>
      <x:c r="C2198" s="16" t="n">
        <x:v>46131</x:v>
      </x:c>
      <x:c r="D2198" s="17" t="n">
        <x:v>108</x:v>
      </x:c>
      <x:c r="E2198" s="17" t="n">
        <x:v>138</x:v>
      </x:c>
      <x:c r="F2198" s="18" t="n">
        <x:v>1610.25</x:v>
      </x:c>
    </x:row>
    <x:row r="2199">
      <x:c r="A2199" s="14" t="str">
        <x:v>店长</x:v>
      </x:c>
      <x:c r="B2199" s="15" t="str">
        <x:v>许炎</x:v>
      </x:c>
      <x:c r="C2199" s="16" t="n">
        <x:v>46132</x:v>
      </x:c>
      <x:c r="D2199" s="17" t="n">
        <x:v>104</x:v>
      </x:c>
      <x:c r="E2199" s="17" t="n">
        <x:v>137</x:v>
      </x:c>
      <x:c r="F2199" s="18" t="n">
        <x:v>1477.71</x:v>
      </x:c>
    </x:row>
    <x:row r="2200">
      <x:c r="A2200" s="14" t="str">
        <x:v>店长</x:v>
      </x:c>
      <x:c r="B2200" s="15" t="str">
        <x:v>许炎</x:v>
      </x:c>
      <x:c r="C2200" s="16" t="n">
        <x:v>46133</x:v>
      </x:c>
      <x:c r="D2200" s="17" t="n">
        <x:v>83</x:v>
      </x:c>
      <x:c r="E2200" s="17" t="n">
        <x:v>132</x:v>
      </x:c>
      <x:c r="F2200" s="18" t="n">
        <x:v>1461.32</x:v>
      </x:c>
    </x:row>
    <x:row r="2201">
      <x:c r="A2201" s="14" t="str">
        <x:v>店长</x:v>
      </x:c>
      <x:c r="B2201" s="15" t="str">
        <x:v>许炎</x:v>
      </x:c>
      <x:c r="C2201" s="16" t="n">
        <x:v>46134</x:v>
      </x:c>
      <x:c r="D2201" s="17" t="n">
        <x:v>74</x:v>
      </x:c>
      <x:c r="E2201" s="17" t="n">
        <x:v>100</x:v>
      </x:c>
      <x:c r="F2201" s="18" t="n">
        <x:v>1330.5</x:v>
      </x:c>
    </x:row>
    <x:row r="2202">
      <x:c r="A2202" s="14" t="str">
        <x:v>店长</x:v>
      </x:c>
      <x:c r="B2202" s="15" t="str">
        <x:v>许炎</x:v>
      </x:c>
      <x:c r="C2202" s="16" t="n">
        <x:v>46135</x:v>
      </x:c>
      <x:c r="D2202" s="17" t="n">
        <x:v>109</x:v>
      </x:c>
      <x:c r="E2202" s="17" t="n">
        <x:v>160</x:v>
      </x:c>
      <x:c r="F2202" s="18" t="n">
        <x:v>1173.11</x:v>
      </x:c>
    </x:row>
    <x:row r="2203">
      <x:c r="A2203" s="14" t="str">
        <x:v>店长</x:v>
      </x:c>
      <x:c r="B2203" s="15" t="str">
        <x:v>许炎</x:v>
      </x:c>
      <x:c r="C2203" s="16" t="n">
        <x:v>46136</x:v>
      </x:c>
      <x:c r="D2203" s="17" t="n">
        <x:v>82</x:v>
      </x:c>
      <x:c r="E2203" s="17" t="n">
        <x:v>121</x:v>
      </x:c>
      <x:c r="F2203" s="18" t="n">
        <x:v>913.77</x:v>
      </x:c>
    </x:row>
    <x:row r="2204">
      <x:c r="A2204" s="14" t="str">
        <x:v>店长</x:v>
      </x:c>
      <x:c r="B2204" s="15" t="str">
        <x:v>许炎</x:v>
      </x:c>
      <x:c r="C2204" s="16" t="n">
        <x:v>46137</x:v>
      </x:c>
      <x:c r="D2204" s="17" t="n">
        <x:v>67</x:v>
      </x:c>
      <x:c r="E2204" s="17" t="n">
        <x:v>93</x:v>
      </x:c>
      <x:c r="F2204" s="18" t="n">
        <x:v>1131.57</x:v>
      </x:c>
    </x:row>
    <x:row r="2205">
      <x:c r="A2205" s="14" t="str">
        <x:v>店长</x:v>
      </x:c>
      <x:c r="B2205" s="15" t="str">
        <x:v>许炎</x:v>
      </x:c>
      <x:c r="C2205" s="16" t="n">
        <x:v>46138</x:v>
      </x:c>
      <x:c r="D2205" s="17" t="n">
        <x:v>60</x:v>
      </x:c>
      <x:c r="E2205" s="17" t="n">
        <x:v>83</x:v>
      </x:c>
      <x:c r="F2205" s="18" t="n">
        <x:v>1223.71</x:v>
      </x:c>
    </x:row>
    <x:row r="2206">
      <x:c r="A2206" s="14" t="str">
        <x:v>店长</x:v>
      </x:c>
      <x:c r="B2206" s="15" t="str">
        <x:v>许炎</x:v>
      </x:c>
      <x:c r="C2206" s="16" t="n">
        <x:v>46139</x:v>
      </x:c>
      <x:c r="D2206" s="17" t="n">
        <x:v>99</x:v>
      </x:c>
      <x:c r="E2206" s="17" t="n">
        <x:v>156</x:v>
      </x:c>
      <x:c r="F2206" s="18" t="n">
        <x:v>1667.86</x:v>
      </x:c>
    </x:row>
    <x:row r="2207">
      <x:c r="A2207" s="14" t="str">
        <x:v>店长</x:v>
      </x:c>
      <x:c r="B2207" s="15" t="str">
        <x:v>许炎</x:v>
      </x:c>
      <x:c r="C2207" s="16" t="n">
        <x:v>46140</x:v>
      </x:c>
      <x:c r="D2207" s="17" t="n">
        <x:v>87</x:v>
      </x:c>
      <x:c r="E2207" s="17" t="n">
        <x:v>132</x:v>
      </x:c>
      <x:c r="F2207" s="18" t="n">
        <x:v>1201.01</x:v>
      </x:c>
    </x:row>
    <x:row r="2208">
      <x:c r="A2208" s="14" t="str">
        <x:v>店长</x:v>
      </x:c>
      <x:c r="B2208" s="15" t="str">
        <x:v>许炎</x:v>
      </x:c>
      <x:c r="C2208" s="16" t="n">
        <x:v>46141</x:v>
      </x:c>
      <x:c r="D2208" s="17" t="n">
        <x:v>115</x:v>
      </x:c>
      <x:c r="E2208" s="17" t="n">
        <x:v>180</x:v>
      </x:c>
      <x:c r="F2208" s="18" t="n">
        <x:v>1413.69</x:v>
      </x:c>
    </x:row>
    <x:row r="2209">
      <x:c r="A2209" s="14" t="str">
        <x:v>店长</x:v>
      </x:c>
      <x:c r="B2209" s="15" t="str">
        <x:v>许炎</x:v>
      </x:c>
      <x:c r="C2209" s="16" t="n">
        <x:v>46142</x:v>
      </x:c>
      <x:c r="D2209" s="17" t="n">
        <x:v>107</x:v>
      </x:c>
      <x:c r="E2209" s="17" t="n">
        <x:v>178</x:v>
      </x:c>
      <x:c r="F2209" s="18" t="n">
        <x:v>1539.15</x:v>
      </x:c>
    </x:row>
    <x:row r="2210">
      <x:c r="A2210" s="14" t="str">
        <x:v>店长</x:v>
      </x:c>
      <x:c r="B2210" s="15" t="str">
        <x:v>许炎</x:v>
      </x:c>
      <x:c r="C2210" s="16" t="n">
        <x:v>46143</x:v>
      </x:c>
      <x:c r="D2210" s="17" t="n">
        <x:v>103</x:v>
      </x:c>
      <x:c r="E2210" s="17" t="n">
        <x:v>132</x:v>
      </x:c>
      <x:c r="F2210" s="18" t="n">
        <x:v>1501.02</x:v>
      </x:c>
    </x:row>
    <x:row r="2211">
      <x:c r="A2211" s="14" t="str">
        <x:v>店长</x:v>
      </x:c>
      <x:c r="B2211" s="15" t="str">
        <x:v>许炎</x:v>
      </x:c>
      <x:c r="C2211" s="16" t="n">
        <x:v>46144</x:v>
      </x:c>
      <x:c r="D2211" s="17" t="n">
        <x:v>140</x:v>
      </x:c>
      <x:c r="E2211" s="17" t="n">
        <x:v>236</x:v>
      </x:c>
      <x:c r="F2211" s="18" t="n">
        <x:v>1942.78</x:v>
      </x:c>
    </x:row>
    <x:row r="2212">
      <x:c r="A2212" s="14" t="str">
        <x:v>店长</x:v>
      </x:c>
      <x:c r="B2212" s="15" t="str">
        <x:v>许炎</x:v>
      </x:c>
      <x:c r="C2212" s="16" t="n">
        <x:v>46145</x:v>
      </x:c>
      <x:c r="D2212" s="17" t="n">
        <x:v>60</x:v>
      </x:c>
      <x:c r="E2212" s="17" t="n">
        <x:v>87</x:v>
      </x:c>
      <x:c r="F2212" s="18" t="n">
        <x:v>998.4</x:v>
      </x:c>
    </x:row>
    <x:row r="2213">
      <x:c r="A2213" s="14" t="str">
        <x:v>店长</x:v>
      </x:c>
      <x:c r="B2213" s="15" t="str">
        <x:v>许炎</x:v>
      </x:c>
      <x:c r="C2213" s="16" t="n">
        <x:v>46146</x:v>
      </x:c>
      <x:c r="D2213" s="17" t="n">
        <x:v>177</x:v>
      </x:c>
      <x:c r="E2213" s="17" t="n">
        <x:v>314</x:v>
      </x:c>
      <x:c r="F2213" s="18" t="n">
        <x:v>2315.59</x:v>
      </x:c>
    </x:row>
    <x:row r="2214">
      <x:c r="A2214" s="14" t="str">
        <x:v>店长</x:v>
      </x:c>
      <x:c r="B2214" s="15" t="str">
        <x:v>许炎</x:v>
      </x:c>
      <x:c r="C2214" s="16" t="n">
        <x:v>46147</x:v>
      </x:c>
      <x:c r="D2214" s="17" t="n">
        <x:v>74</x:v>
      </x:c>
      <x:c r="E2214" s="17" t="n">
        <x:v>102</x:v>
      </x:c>
      <x:c r="F2214" s="18" t="n">
        <x:v>1280.33</x:v>
      </x:c>
    </x:row>
    <x:row r="2215">
      <x:c r="A2215" s="14" t="str">
        <x:v>店长</x:v>
      </x:c>
      <x:c r="B2215" s="15" t="str">
        <x:v>许炎</x:v>
      </x:c>
      <x:c r="C2215" s="16" t="n">
        <x:v>46148</x:v>
      </x:c>
      <x:c r="D2215" s="17" t="n">
        <x:v>259</x:v>
      </x:c>
      <x:c r="E2215" s="17" t="n">
        <x:v>454</x:v>
      </x:c>
      <x:c r="F2215" s="18" t="n">
        <x:v>3211.36</x:v>
      </x:c>
    </x:row>
    <x:row r="2216">
      <x:c r="A2216" s="14" t="str">
        <x:v>店长</x:v>
      </x:c>
      <x:c r="B2216" s="15" t="str">
        <x:v>许炎</x:v>
      </x:c>
      <x:c r="C2216" s="16" t="n">
        <x:v>46149</x:v>
      </x:c>
      <x:c r="D2216" s="17" t="n">
        <x:v>165</x:v>
      </x:c>
      <x:c r="E2216" s="17" t="n">
        <x:v>268</x:v>
      </x:c>
      <x:c r="F2216" s="18" t="n">
        <x:v>2390.66</x:v>
      </x:c>
    </x:row>
    <x:row r="2217">
      <x:c r="A2217" s="14" t="str">
        <x:v>店长</x:v>
      </x:c>
      <x:c r="B2217" s="15" t="str">
        <x:v>许炎</x:v>
      </x:c>
      <x:c r="C2217" s="16" t="n">
        <x:v>46150</x:v>
      </x:c>
      <x:c r="D2217" s="17" t="n">
        <x:v>83</x:v>
      </x:c>
      <x:c r="E2217" s="17" t="n">
        <x:v>114</x:v>
      </x:c>
      <x:c r="F2217" s="18" t="n">
        <x:v>1012.98</x:v>
      </x:c>
    </x:row>
    <x:row r="2218">
      <x:c r="A2218" s="14" t="str">
        <x:v>店长</x:v>
      </x:c>
      <x:c r="B2218" s="15" t="str">
        <x:v>许炎</x:v>
      </x:c>
      <x:c r="C2218" s="16" t="n">
        <x:v>46151</x:v>
      </x:c>
      <x:c r="D2218" s="17" t="n">
        <x:v>107</x:v>
      </x:c>
      <x:c r="E2218" s="17" t="n">
        <x:v>166</x:v>
      </x:c>
      <x:c r="F2218" s="18" t="n">
        <x:v>1592.45</x:v>
      </x:c>
    </x:row>
    <x:row r="2219">
      <x:c r="A2219" s="14" t="str">
        <x:v>店长</x:v>
      </x:c>
      <x:c r="B2219" s="15" t="str">
        <x:v>许炎</x:v>
      </x:c>
      <x:c r="C2219" s="16" t="n">
        <x:v>46152</x:v>
      </x:c>
      <x:c r="D2219" s="17" t="n">
        <x:v>65</x:v>
      </x:c>
      <x:c r="E2219" s="17" t="n">
        <x:v>92</x:v>
      </x:c>
      <x:c r="F2219" s="18" t="n">
        <x:v>923.93</x:v>
      </x:c>
    </x:row>
    <x:row r="2220">
      <x:c r="A2220" s="14" t="str">
        <x:v>店长</x:v>
      </x:c>
      <x:c r="B2220" s="15" t="str">
        <x:v>许炎</x:v>
      </x:c>
      <x:c r="C2220" s="16" t="n">
        <x:v>46153</x:v>
      </x:c>
      <x:c r="D2220" s="17" t="n">
        <x:v>71</x:v>
      </x:c>
      <x:c r="E2220" s="17" t="n">
        <x:v>109</x:v>
      </x:c>
      <x:c r="F2220" s="18" t="n">
        <x:v>1295.21</x:v>
      </x:c>
    </x:row>
    <x:row r="2221">
      <x:c r="A2221" s="14" t="str">
        <x:v>店长</x:v>
      </x:c>
      <x:c r="B2221" s="15" t="str">
        <x:v>许炎</x:v>
      </x:c>
      <x:c r="C2221" s="16" t="n">
        <x:v>46154</x:v>
      </x:c>
      <x:c r="D2221" s="17" t="n">
        <x:v>67</x:v>
      </x:c>
      <x:c r="E2221" s="17" t="n">
        <x:v>108</x:v>
      </x:c>
      <x:c r="F2221" s="18" t="n">
        <x:v>1180.75</x:v>
      </x:c>
    </x:row>
    <x:row r="2222">
      <x:c r="A2222" s="14" t="str">
        <x:v>店长</x:v>
      </x:c>
      <x:c r="B2222" s="15" t="str">
        <x:v>许炎</x:v>
      </x:c>
      <x:c r="C2222" s="16" t="n">
        <x:v>46155</x:v>
      </x:c>
      <x:c r="D2222" s="17" t="n">
        <x:v>52</x:v>
      </x:c>
      <x:c r="E2222" s="17" t="n">
        <x:v>85</x:v>
      </x:c>
      <x:c r="F2222" s="18" t="n">
        <x:v>885.25</x:v>
      </x:c>
    </x:row>
    <x:row r="2223">
      <x:c r="A2223" s="14" t="str">
        <x:v>店长</x:v>
      </x:c>
      <x:c r="B2223" s="15" t="str">
        <x:v>许炎</x:v>
      </x:c>
      <x:c r="C2223" s="16" t="n">
        <x:v>46156</x:v>
      </x:c>
      <x:c r="D2223" s="17" t="n">
        <x:v>86</x:v>
      </x:c>
      <x:c r="E2223" s="17" t="n">
        <x:v>119</x:v>
      </x:c>
      <x:c r="F2223" s="18" t="n">
        <x:v>779.18</x:v>
      </x:c>
    </x:row>
    <x:row r="2224">
      <x:c r="A2224" s="14" t="str">
        <x:v>店长</x:v>
      </x:c>
      <x:c r="B2224" s="15" t="str">
        <x:v>许炎</x:v>
      </x:c>
      <x:c r="C2224" s="16" t="n">
        <x:v>46157</x:v>
      </x:c>
      <x:c r="D2224" s="17" t="n">
        <x:v>174</x:v>
      </x:c>
      <x:c r="E2224" s="17" t="n">
        <x:v>259</x:v>
      </x:c>
      <x:c r="F2224" s="18" t="n">
        <x:v>1079.45</x:v>
      </x:c>
    </x:row>
    <x:row r="2225">
      <x:c r="A2225" s="14" t="str">
        <x:v>店长</x:v>
      </x:c>
      <x:c r="B2225" s="15" t="str">
        <x:v>许炎</x:v>
      </x:c>
      <x:c r="C2225" s="16" t="n">
        <x:v>46158</x:v>
      </x:c>
      <x:c r="D2225" s="17" t="n">
        <x:v>45</x:v>
      </x:c>
      <x:c r="E2225" s="17" t="n">
        <x:v>75</x:v>
      </x:c>
      <x:c r="F2225" s="18" t="n">
        <x:v>1102.68</x:v>
      </x:c>
    </x:row>
    <x:row r="2226">
      <x:c r="A2226" s="14" t="str">
        <x:v>店长</x:v>
      </x:c>
      <x:c r="B2226" s="15" t="str">
        <x:v>许炎</x:v>
      </x:c>
      <x:c r="C2226" s="16" t="n">
        <x:v>46159</x:v>
      </x:c>
      <x:c r="D2226" s="17" t="n">
        <x:v>40</x:v>
      </x:c>
      <x:c r="E2226" s="17" t="n">
        <x:v>57</x:v>
      </x:c>
      <x:c r="F2226" s="18" t="n">
        <x:v>826.41</x:v>
      </x:c>
    </x:row>
    <x:row r="2227">
      <x:c r="A2227" s="14" t="str">
        <x:v>店长</x:v>
      </x:c>
      <x:c r="B2227" s="15" t="str">
        <x:v>许炎</x:v>
      </x:c>
      <x:c r="C2227" s="16" t="n">
        <x:v>46160</x:v>
      </x:c>
      <x:c r="D2227" s="17" t="n">
        <x:v>44</x:v>
      </x:c>
      <x:c r="E2227" s="17" t="n">
        <x:v>88</x:v>
      </x:c>
      <x:c r="F2227" s="18" t="n">
        <x:v>1048.45</x:v>
      </x:c>
    </x:row>
    <x:row r="2228">
      <x:c r="A2228" s="14" t="str">
        <x:v>店长</x:v>
      </x:c>
      <x:c r="B2228" s="15" t="str">
        <x:v>许炎</x:v>
      </x:c>
      <x:c r="C2228" s="16" t="n">
        <x:v>46161</x:v>
      </x:c>
      <x:c r="D2228" s="17" t="n">
        <x:v>68</x:v>
      </x:c>
      <x:c r="E2228" s="17" t="n">
        <x:v>161</x:v>
      </x:c>
      <x:c r="F2228" s="18" t="n">
        <x:v>857.06</x:v>
      </x:c>
    </x:row>
    <x:row r="2229">
      <x:c r="A2229" s="14" t="str">
        <x:v>店长</x:v>
      </x:c>
      <x:c r="B2229" s="15" t="str">
        <x:v>许炎</x:v>
      </x:c>
      <x:c r="C2229" s="16" t="n">
        <x:v>46162</x:v>
      </x:c>
      <x:c r="D2229" s="17" t="n">
        <x:v>61</x:v>
      </x:c>
      <x:c r="E2229" s="17" t="n">
        <x:v>98</x:v>
      </x:c>
      <x:c r="F2229" s="18" t="n">
        <x:v>1184.52</x:v>
      </x:c>
    </x:row>
    <x:row r="2230">
      <x:c r="A2230" s="14" t="str">
        <x:v>店长</x:v>
      </x:c>
      <x:c r="B2230" s="15" t="str">
        <x:v>许炎</x:v>
      </x:c>
      <x:c r="C2230" s="16" t="n">
        <x:v>46163</x:v>
      </x:c>
      <x:c r="D2230" s="17" t="n">
        <x:v>34</x:v>
      </x:c>
      <x:c r="E2230" s="17" t="n">
        <x:v>51</x:v>
      </x:c>
      <x:c r="F2230" s="18" t="n">
        <x:v>708.81</x:v>
      </x:c>
    </x:row>
    <x:row r="2231">
      <x:c r="A2231" s="14" t="str">
        <x:v>店长</x:v>
      </x:c>
      <x:c r="B2231" s="15" t="str">
        <x:v>许炎</x:v>
      </x:c>
      <x:c r="C2231" s="16" t="n">
        <x:v>46164</x:v>
      </x:c>
      <x:c r="D2231" s="17" t="n">
        <x:v>26</x:v>
      </x:c>
      <x:c r="E2231" s="17" t="n">
        <x:v>39</x:v>
      </x:c>
      <x:c r="F2231" s="18" t="n">
        <x:v>608.81</x:v>
      </x:c>
    </x:row>
    <x:row r="2232">
      <x:c r="A2232" s="14" t="str">
        <x:v>店长</x:v>
      </x:c>
      <x:c r="B2232" s="15" t="str">
        <x:v>许炎</x:v>
      </x:c>
      <x:c r="C2232" s="16" t="n">
        <x:v>46165</x:v>
      </x:c>
      <x:c r="D2232" s="17" t="n">
        <x:v>17</x:v>
      </x:c>
      <x:c r="E2232" s="17" t="n">
        <x:v>31</x:v>
      </x:c>
      <x:c r="F2232" s="18" t="n">
        <x:v>480.28</x:v>
      </x:c>
    </x:row>
    <x:row r="2233">
      <x:c r="A2233" s="14" t="str">
        <x:v>店长</x:v>
      </x:c>
      <x:c r="B2233" s="15" t="str">
        <x:v>许炎</x:v>
      </x:c>
      <x:c r="C2233" s="16" t="n">
        <x:v>46166</x:v>
      </x:c>
      <x:c r="D2233" s="17" t="n">
        <x:v>22</x:v>
      </x:c>
      <x:c r="E2233" s="17" t="n">
        <x:v>44</x:v>
      </x:c>
      <x:c r="F2233" s="18" t="n">
        <x:v>623.37</x:v>
      </x:c>
    </x:row>
    <x:row r="2234">
      <x:c r="A2234" s="14" t="str">
        <x:v>店长</x:v>
      </x:c>
      <x:c r="B2234" s="15" t="str">
        <x:v>许炎</x:v>
      </x:c>
      <x:c r="C2234" s="16" t="n">
        <x:v>46167</x:v>
      </x:c>
      <x:c r="D2234" s="17" t="n">
        <x:v>14</x:v>
      </x:c>
      <x:c r="E2234" s="17" t="n">
        <x:v>23</x:v>
      </x:c>
      <x:c r="F2234" s="18" t="n">
        <x:v>372.26</x:v>
      </x:c>
    </x:row>
    <x:row r="2235">
      <x:c r="A2235" s="14" t="str">
        <x:v>店长</x:v>
      </x:c>
      <x:c r="B2235" s="15" t="str">
        <x:v>许炎</x:v>
      </x:c>
      <x:c r="C2235" s="16" t="n">
        <x:v>46168</x:v>
      </x:c>
      <x:c r="D2235" s="17" t="n">
        <x:v>27</x:v>
      </x:c>
      <x:c r="E2235" s="17" t="n">
        <x:v>49</x:v>
      </x:c>
      <x:c r="F2235" s="18" t="n">
        <x:v>748.88</x:v>
      </x:c>
    </x:row>
    <x:row r="2236">
      <x:c r="A2236" s="14" t="str">
        <x:v>店长</x:v>
      </x:c>
      <x:c r="B2236" s="15" t="str">
        <x:v>许炎</x:v>
      </x:c>
      <x:c r="C2236" s="16" t="n">
        <x:v>46169</x:v>
      </x:c>
      <x:c r="D2236" s="17" t="n">
        <x:v>14</x:v>
      </x:c>
      <x:c r="E2236" s="17" t="n">
        <x:v>36</x:v>
      </x:c>
      <x:c r="F2236" s="18" t="n">
        <x:v>634.48</x:v>
      </x:c>
    </x:row>
    <x:row r="2237">
      <x:c r="A2237" s="14" t="str">
        <x:v>店长</x:v>
      </x:c>
      <x:c r="B2237" s="15" t="str">
        <x:v>许炎</x:v>
      </x:c>
      <x:c r="C2237" s="16" t="n">
        <x:v>46170</x:v>
      </x:c>
      <x:c r="D2237" s="17" t="n">
        <x:v>32</x:v>
      </x:c>
      <x:c r="E2237" s="17" t="n">
        <x:v>48</x:v>
      </x:c>
      <x:c r="F2237" s="18" t="n">
        <x:v>755.08</x:v>
      </x:c>
    </x:row>
    <x:row r="2238">
      <x:c r="A2238" s="14" t="str">
        <x:v>店长</x:v>
      </x:c>
      <x:c r="B2238" s="15" t="str">
        <x:v>许炎</x:v>
      </x:c>
      <x:c r="C2238" s="16" t="n">
        <x:v>46171</x:v>
      </x:c>
      <x:c r="D2238" s="17" t="n">
        <x:v>33</x:v>
      </x:c>
      <x:c r="E2238" s="17" t="n">
        <x:v>41</x:v>
      </x:c>
      <x:c r="F2238" s="18" t="n">
        <x:v>658.77</x:v>
      </x:c>
    </x:row>
    <x:row r="2239">
      <x:c r="A2239" s="14" t="str">
        <x:v>店长</x:v>
      </x:c>
      <x:c r="B2239" s="15" t="str">
        <x:v>许炎</x:v>
      </x:c>
      <x:c r="C2239" s="16" t="n">
        <x:v>46172</x:v>
      </x:c>
      <x:c r="D2239" s="17" t="n">
        <x:v>26</x:v>
      </x:c>
      <x:c r="E2239" s="17" t="n">
        <x:v>47</x:v>
      </x:c>
      <x:c r="F2239" s="18" t="n">
        <x:v>732.39</x:v>
      </x:c>
    </x:row>
    <x:row r="2240">
      <x:c r="A2240" s="14" t="str">
        <x:v>店长</x:v>
      </x:c>
      <x:c r="B2240" s="15" t="str">
        <x:v>许炎</x:v>
      </x:c>
      <x:c r="C2240" s="16" t="n">
        <x:v>46173</x:v>
      </x:c>
      <x:c r="D2240" s="17" t="n">
        <x:v>24</x:v>
      </x:c>
      <x:c r="E2240" s="17" t="n">
        <x:v>33</x:v>
      </x:c>
      <x:c r="F2240" s="18" t="n">
        <x:v>360.76</x:v>
      </x:c>
    </x:row>
    <x:row r="2241">
      <x:c r="A2241" s="14" t="str">
        <x:v>店长</x:v>
      </x:c>
      <x:c r="B2241" s="15" t="str">
        <x:v>许炎</x:v>
      </x:c>
      <x:c r="C2241" s="16" t="n">
        <x:v>46174</x:v>
      </x:c>
      <x:c r="D2241" s="17" t="n">
        <x:v>22</x:v>
      </x:c>
      <x:c r="E2241" s="17" t="n">
        <x:v>34</x:v>
      </x:c>
      <x:c r="F2241" s="18" t="n">
        <x:v>438.79</x:v>
      </x:c>
    </x:row>
    <x:row r="2242">
      <x:c r="A2242" s="14" t="str">
        <x:v>店长</x:v>
      </x:c>
      <x:c r="B2242" s="15" t="str">
        <x:v>许炎</x:v>
      </x:c>
      <x:c r="C2242" s="16" t="n">
        <x:v>46175</x:v>
      </x:c>
      <x:c r="D2242" s="17" t="n">
        <x:v>28</x:v>
      </x:c>
      <x:c r="E2242" s="17" t="n">
        <x:v>42</x:v>
      </x:c>
      <x:c r="F2242" s="18" t="n">
        <x:v>562.97</x:v>
      </x:c>
    </x:row>
    <x:row r="2243">
      <x:c r="A2243" s="14" t="str">
        <x:v>店长</x:v>
      </x:c>
      <x:c r="B2243" s="15" t="str">
        <x:v>许炎</x:v>
      </x:c>
      <x:c r="C2243" s="16" t="n">
        <x:v>46176</x:v>
      </x:c>
      <x:c r="D2243" s="17" t="n">
        <x:v>21</x:v>
      </x:c>
      <x:c r="E2243" s="17" t="n">
        <x:v>35</x:v>
      </x:c>
      <x:c r="F2243" s="18" t="n">
        <x:v>505.97</x:v>
      </x:c>
    </x:row>
    <x:row r="2244">
      <x:c r="A2244" s="14" t="str">
        <x:v>店长</x:v>
      </x:c>
      <x:c r="B2244" s="15" t="str">
        <x:v>许炎</x:v>
      </x:c>
      <x:c r="C2244" s="16" t="n">
        <x:v>46177</x:v>
      </x:c>
      <x:c r="D2244" s="17" t="n">
        <x:v>28</x:v>
      </x:c>
      <x:c r="E2244" s="17" t="n">
        <x:v>51</x:v>
      </x:c>
      <x:c r="F2244" s="18" t="n">
        <x:v>754.29</x:v>
      </x:c>
    </x:row>
    <x:row r="2245">
      <x:c r="A2245" s="14" t="str">
        <x:v>店长</x:v>
      </x:c>
      <x:c r="B2245" s="15" t="str">
        <x:v>许炎</x:v>
      </x:c>
      <x:c r="C2245" s="16" t="n">
        <x:v>46178</x:v>
      </x:c>
      <x:c r="D2245" s="17" t="n">
        <x:v>20</x:v>
      </x:c>
      <x:c r="E2245" s="17" t="n">
        <x:v>28</x:v>
      </x:c>
      <x:c r="F2245" s="18" t="n">
        <x:v>492.23</x:v>
      </x:c>
    </x:row>
    <x:row r="2246">
      <x:c r="A2246" s="14" t="str">
        <x:v>店长</x:v>
      </x:c>
      <x:c r="B2246" s="15" t="str">
        <x:v>许炎</x:v>
      </x:c>
      <x:c r="C2246" s="16" t="n">
        <x:v>46179</x:v>
      </x:c>
      <x:c r="D2246" s="17" t="n">
        <x:v>29</x:v>
      </x:c>
      <x:c r="E2246" s="17" t="n">
        <x:v>50</x:v>
      </x:c>
      <x:c r="F2246" s="18" t="n">
        <x:v>761.3</x:v>
      </x:c>
    </x:row>
    <x:row r="2247">
      <x:c r="A2247" s="14" t="str">
        <x:v>店长</x:v>
      </x:c>
      <x:c r="B2247" s="15" t="str">
        <x:v>许炎</x:v>
      </x:c>
      <x:c r="C2247" s="16" t="n">
        <x:v>46180</x:v>
      </x:c>
      <x:c r="D2247" s="17" t="n">
        <x:v>18</x:v>
      </x:c>
      <x:c r="E2247" s="17" t="n">
        <x:v>39</x:v>
      </x:c>
      <x:c r="F2247" s="18" t="n">
        <x:v>496.42</x:v>
      </x:c>
    </x:row>
    <x:row r="2248">
      <x:c r="A2248" s="14" t="str">
        <x:v>店长</x:v>
      </x:c>
      <x:c r="B2248" s="15" t="str">
        <x:v>许炎</x:v>
      </x:c>
      <x:c r="C2248" s="16" t="n">
        <x:v>46181</x:v>
      </x:c>
      <x:c r="D2248" s="17" t="n">
        <x:v>23</x:v>
      </x:c>
      <x:c r="E2248" s="17" t="n">
        <x:v>37</x:v>
      </x:c>
      <x:c r="F2248" s="18" t="n">
        <x:v>650.04</x:v>
      </x:c>
    </x:row>
    <x:row r="2249">
      <x:c r="A2249" s="14" t="str">
        <x:v>店长</x:v>
      </x:c>
      <x:c r="B2249" s="15" t="str">
        <x:v>许炎</x:v>
      </x:c>
      <x:c r="C2249" s="16" t="n">
        <x:v>46182</x:v>
      </x:c>
      <x:c r="D2249" s="17" t="n">
        <x:v>18</x:v>
      </x:c>
      <x:c r="E2249" s="17" t="n">
        <x:v>33</x:v>
      </x:c>
      <x:c r="F2249" s="18" t="n">
        <x:v>435.57</x:v>
      </x:c>
    </x:row>
    <x:row r="2250">
      <x:c r="A2250" s="14" t="str">
        <x:v>店长</x:v>
      </x:c>
      <x:c r="B2250" s="15" t="str">
        <x:v>许炎</x:v>
      </x:c>
      <x:c r="C2250" s="16" t="n">
        <x:v>46183</x:v>
      </x:c>
      <x:c r="D2250" s="17" t="n">
        <x:v>22</x:v>
      </x:c>
      <x:c r="E2250" s="17" t="n">
        <x:v>38</x:v>
      </x:c>
      <x:c r="F2250" s="18" t="n">
        <x:v>422.47</x:v>
      </x:c>
    </x:row>
    <x:row r="2251">
      <x:c r="A2251" s="14" t="str">
        <x:v>店长</x:v>
      </x:c>
      <x:c r="B2251" s="15" t="str">
        <x:v>许炎</x:v>
      </x:c>
      <x:c r="C2251" s="16" t="n">
        <x:v>46184</x:v>
      </x:c>
      <x:c r="D2251" s="17" t="n">
        <x:v>19</x:v>
      </x:c>
      <x:c r="E2251" s="17" t="n">
        <x:v>36</x:v>
      </x:c>
      <x:c r="F2251" s="18" t="n">
        <x:v>542.58</x:v>
      </x:c>
    </x:row>
    <x:row r="2252">
      <x:c r="A2252" s="14" t="str">
        <x:v>店长</x:v>
      </x:c>
      <x:c r="B2252" s="15" t="str">
        <x:v>许炎</x:v>
      </x:c>
      <x:c r="C2252" s="16" t="n">
        <x:v>46185</x:v>
      </x:c>
      <x:c r="D2252" s="17" t="n">
        <x:v>19</x:v>
      </x:c>
      <x:c r="E2252" s="17" t="n">
        <x:v>26</x:v>
      </x:c>
      <x:c r="F2252" s="18" t="n">
        <x:v>346.96</x:v>
      </x:c>
    </x:row>
    <x:row r="2253">
      <x:c r="A2253" s="14" t="str">
        <x:v>店长</x:v>
      </x:c>
      <x:c r="B2253" s="15" t="str">
        <x:v>许炎</x:v>
      </x:c>
      <x:c r="C2253" s="16" t="n">
        <x:v>46186</x:v>
      </x:c>
      <x:c r="D2253" s="17" t="n">
        <x:v>19</x:v>
      </x:c>
      <x:c r="E2253" s="17" t="n">
        <x:v>32</x:v>
      </x:c>
      <x:c r="F2253" s="18" t="n">
        <x:v>390.64</x:v>
      </x:c>
    </x:row>
    <x:row r="2254">
      <x:c r="A2254" s="14" t="str">
        <x:v>店长</x:v>
      </x:c>
      <x:c r="B2254" s="15" t="str">
        <x:v>许炎</x:v>
      </x:c>
      <x:c r="C2254" s="16" t="n">
        <x:v>46187</x:v>
      </x:c>
      <x:c r="D2254" s="17" t="n">
        <x:v>18</x:v>
      </x:c>
      <x:c r="E2254" s="17" t="n">
        <x:v>38</x:v>
      </x:c>
      <x:c r="F2254" s="18" t="n">
        <x:v>546.14</x:v>
      </x:c>
    </x:row>
    <x:row r="2255">
      <x:c r="A2255" s="14" t="str">
        <x:v>店长</x:v>
      </x:c>
      <x:c r="B2255" s="15" t="str">
        <x:v>许炎</x:v>
      </x:c>
      <x:c r="C2255" s="16" t="n">
        <x:v>46188</x:v>
      </x:c>
      <x:c r="D2255" s="17" t="n">
        <x:v>20</x:v>
      </x:c>
      <x:c r="E2255" s="17" t="n">
        <x:v>37</x:v>
      </x:c>
      <x:c r="F2255" s="18" t="n">
        <x:v>424.62</x:v>
      </x:c>
    </x:row>
    <x:row r="2256">
      <x:c r="A2256" s="14" t="str">
        <x:v>店长</x:v>
      </x:c>
      <x:c r="B2256" s="15" t="str">
        <x:v>许炎</x:v>
      </x:c>
      <x:c r="C2256" s="16" t="n">
        <x:v>46189</x:v>
      </x:c>
      <x:c r="D2256" s="17" t="n">
        <x:v>15</x:v>
      </x:c>
      <x:c r="E2256" s="17" t="n">
        <x:v>24</x:v>
      </x:c>
      <x:c r="F2256" s="18" t="n">
        <x:v>355.91</x:v>
      </x:c>
    </x:row>
    <x:row r="2257">
      <x:c r="A2257" s="14" t="str">
        <x:v>店长</x:v>
      </x:c>
      <x:c r="B2257" s="15" t="str">
        <x:v>许炎</x:v>
      </x:c>
      <x:c r="C2257" s="16" t="n">
        <x:v>46190</x:v>
      </x:c>
      <x:c r="D2257" s="17" t="n">
        <x:v>22</x:v>
      </x:c>
      <x:c r="E2257" s="17" t="n">
        <x:v>36</x:v>
      </x:c>
      <x:c r="F2257" s="18" t="n">
        <x:v>485.58</x:v>
      </x:c>
    </x:row>
    <x:row r="2258">
      <x:c r="A2258" s="14" t="str">
        <x:v>店长</x:v>
      </x:c>
      <x:c r="B2258" s="15" t="str">
        <x:v>许炎</x:v>
      </x:c>
      <x:c r="C2258" s="16" t="n">
        <x:v>46191</x:v>
      </x:c>
      <x:c r="D2258" s="17" t="n">
        <x:v>14</x:v>
      </x:c>
      <x:c r="E2258" s="17" t="n">
        <x:v>24</x:v>
      </x:c>
      <x:c r="F2258" s="18" t="n">
        <x:v>303.13</x:v>
      </x:c>
    </x:row>
    <x:row r="2259">
      <x:c r="A2259" s="14" t="str">
        <x:v>店长</x:v>
      </x:c>
      <x:c r="B2259" s="15" t="str">
        <x:v>许炎</x:v>
      </x:c>
      <x:c r="C2259" s="16" t="n">
        <x:v>46192</x:v>
      </x:c>
      <x:c r="D2259" s="17" t="n">
        <x:v>18</x:v>
      </x:c>
      <x:c r="E2259" s="17" t="n">
        <x:v>30</x:v>
      </x:c>
      <x:c r="F2259" s="18" t="n">
        <x:v>443.16</x:v>
      </x:c>
    </x:row>
    <x:row r="2260">
      <x:c r="A2260" s="14" t="str">
        <x:v>店长</x:v>
      </x:c>
      <x:c r="B2260" s="15" t="str">
        <x:v>许炎</x:v>
      </x:c>
      <x:c r="C2260" s="16" t="n">
        <x:v>46193</x:v>
      </x:c>
      <x:c r="D2260" s="17" t="n">
        <x:v>22</x:v>
      </x:c>
      <x:c r="E2260" s="17" t="n">
        <x:v>33</x:v>
      </x:c>
      <x:c r="F2260" s="18" t="n">
        <x:v>510.23</x:v>
      </x:c>
    </x:row>
    <x:row r="2261">
      <x:c r="A2261" s="14" t="str">
        <x:v>店长</x:v>
      </x:c>
      <x:c r="B2261" s="15" t="str">
        <x:v>许炎</x:v>
      </x:c>
      <x:c r="C2261" s="16" t="n">
        <x:v>46194</x:v>
      </x:c>
      <x:c r="D2261" s="17" t="n">
        <x:v>16</x:v>
      </x:c>
      <x:c r="E2261" s="17" t="n">
        <x:v>29</x:v>
      </x:c>
      <x:c r="F2261" s="18" t="n">
        <x:v>415.57</x:v>
      </x:c>
    </x:row>
    <x:row r="2262">
      <x:c r="A2262" s="14" t="str">
        <x:v>店长</x:v>
      </x:c>
      <x:c r="B2262" s="15" t="str">
        <x:v>许炎</x:v>
      </x:c>
      <x:c r="C2262" s="16" t="n">
        <x:v>46195</x:v>
      </x:c>
      <x:c r="D2262" s="17" t="n">
        <x:v>18</x:v>
      </x:c>
      <x:c r="E2262" s="17" t="n">
        <x:v>34</x:v>
      </x:c>
      <x:c r="F2262" s="18" t="n">
        <x:v>496.17</x:v>
      </x:c>
    </x:row>
    <x:row r="2263">
      <x:c r="A2263" s="14" t="str">
        <x:v>店长</x:v>
      </x:c>
      <x:c r="B2263" s="15" t="str">
        <x:v>许炎</x:v>
      </x:c>
      <x:c r="C2263" s="16" t="n">
        <x:v>46196</x:v>
      </x:c>
      <x:c r="D2263" s="17" t="n">
        <x:v>19</x:v>
      </x:c>
      <x:c r="E2263" s="17" t="n">
        <x:v>31</x:v>
      </x:c>
      <x:c r="F2263" s="18" t="n">
        <x:v>422.24</x:v>
      </x:c>
    </x:row>
    <x:row r="2264">
      <x:c r="A2264" s="14" t="str">
        <x:v>店长</x:v>
      </x:c>
      <x:c r="B2264" s="15" t="str">
        <x:v>许炎</x:v>
      </x:c>
      <x:c r="C2264" s="16" t="n">
        <x:v>46197</x:v>
      </x:c>
      <x:c r="D2264" s="17" t="n">
        <x:v>22</x:v>
      </x:c>
      <x:c r="E2264" s="17" t="n">
        <x:v>36</x:v>
      </x:c>
      <x:c r="F2264" s="18" t="n">
        <x:v>525.51</x:v>
      </x:c>
    </x:row>
    <x:row r="2265">
      <x:c r="A2265" s="14" t="str">
        <x:v>店长</x:v>
      </x:c>
      <x:c r="B2265" s="15" t="str">
        <x:v>许炎</x:v>
      </x:c>
      <x:c r="C2265" s="16" t="n">
        <x:v>46198</x:v>
      </x:c>
      <x:c r="D2265" s="17" t="n">
        <x:v>19</x:v>
      </x:c>
      <x:c r="E2265" s="17" t="n">
        <x:v>38</x:v>
      </x:c>
      <x:c r="F2265" s="18" t="n">
        <x:v>493.71</x:v>
      </x:c>
    </x:row>
    <x:row r="2266">
      <x:c r="A2266" s="14" t="str">
        <x:v>店长</x:v>
      </x:c>
      <x:c r="B2266" s="15" t="str">
        <x:v>许炎</x:v>
      </x:c>
      <x:c r="C2266" s="16" t="n">
        <x:v>46199</x:v>
      </x:c>
      <x:c r="D2266" s="17" t="n">
        <x:v>21</x:v>
      </x:c>
      <x:c r="E2266" s="17" t="n">
        <x:v>44</x:v>
      </x:c>
      <x:c r="F2266" s="18" t="n">
        <x:v>683.9</x:v>
      </x:c>
    </x:row>
    <x:row r="2267">
      <x:c r="A2267" s="14" t="str">
        <x:v>店长</x:v>
      </x:c>
      <x:c r="B2267" s="15" t="str">
        <x:v>许炎</x:v>
      </x:c>
      <x:c r="C2267" s="16" t="n">
        <x:v>46200</x:v>
      </x:c>
      <x:c r="D2267" s="17" t="n">
        <x:v>25</x:v>
      </x:c>
      <x:c r="E2267" s="17" t="n">
        <x:v>45</x:v>
      </x:c>
      <x:c r="F2267" s="18" t="n">
        <x:v>588.21</x:v>
      </x:c>
    </x:row>
    <x:row r="2268">
      <x:c r="A2268" s="14" t="str">
        <x:v>店长</x:v>
      </x:c>
      <x:c r="B2268" s="15" t="str">
        <x:v>许炎</x:v>
      </x:c>
      <x:c r="C2268" s="16" t="n">
        <x:v>46201</x:v>
      </x:c>
      <x:c r="D2268" s="17" t="n">
        <x:v>24</x:v>
      </x:c>
      <x:c r="E2268" s="17" t="n">
        <x:v>46</x:v>
      </x:c>
      <x:c r="F2268" s="18" t="n">
        <x:v>656.29</x:v>
      </x:c>
    </x:row>
    <x:row r="2269">
      <x:c r="A2269" s="14" t="str">
        <x:v>店长</x:v>
      </x:c>
      <x:c r="B2269" s="15" t="str">
        <x:v>许炎</x:v>
      </x:c>
      <x:c r="C2269" s="16" t="n">
        <x:v>46202</x:v>
      </x:c>
      <x:c r="D2269" s="17" t="n">
        <x:v>11</x:v>
      </x:c>
      <x:c r="E2269" s="17" t="n">
        <x:v>25</x:v>
      </x:c>
      <x:c r="F2269" s="18" t="n">
        <x:v>336.15</x:v>
      </x:c>
    </x:row>
    <x:row r="2270">
      <x:c r="A2270" s="14" t="str">
        <x:v>店长</x:v>
      </x:c>
      <x:c r="B2270" s="15" t="str">
        <x:v>许炎</x:v>
      </x:c>
      <x:c r="C2270" s="16" t="n">
        <x:v>46203</x:v>
      </x:c>
      <x:c r="D2270" s="17" t="n">
        <x:v>14</x:v>
      </x:c>
      <x:c r="E2270" s="17" t="n">
        <x:v>24</x:v>
      </x:c>
      <x:c r="F2270" s="18" t="n">
        <x:v>-985.27</x:v>
      </x:c>
    </x:row>
    <x:row r="2271">
      <x:c r="A2271" s="14" t="str">
        <x:v>店长</x:v>
      </x:c>
      <x:c r="B2271" s="15" t="str">
        <x:v>许炎</x:v>
      </x:c>
      <x:c r="C2271" s="16" t="n">
        <x:v>46204</x:v>
      </x:c>
      <x:c r="D2271" s="17" t="n">
        <x:v>19</x:v>
      </x:c>
      <x:c r="E2271" s="17" t="n">
        <x:v>38</x:v>
      </x:c>
      <x:c r="F2271" s="18" t="n">
        <x:v>515.27</x:v>
      </x:c>
    </x:row>
    <x:row r="2272">
      <x:c r="A2272" s="14" t="str">
        <x:v>店长</x:v>
      </x:c>
      <x:c r="B2272" s="15" t="str">
        <x:v>许炎</x:v>
      </x:c>
      <x:c r="C2272" s="16" t="n">
        <x:v>46205</x:v>
      </x:c>
      <x:c r="D2272" s="17" t="n">
        <x:v>16</x:v>
      </x:c>
      <x:c r="E2272" s="17" t="n">
        <x:v>19</x:v>
      </x:c>
      <x:c r="F2272" s="18" t="n">
        <x:v>301.03</x:v>
      </x:c>
    </x:row>
    <x:row r="2273">
      <x:c r="A2273" s="14" t="str">
        <x:v>店长</x:v>
      </x:c>
      <x:c r="B2273" s="15" t="str">
        <x:v>许炎</x:v>
      </x:c>
      <x:c r="C2273" s="16" t="n">
        <x:v>46206</x:v>
      </x:c>
      <x:c r="D2273" s="17" t="n">
        <x:v>16</x:v>
      </x:c>
      <x:c r="E2273" s="17" t="n">
        <x:v>29</x:v>
      </x:c>
      <x:c r="F2273" s="18" t="n">
        <x:v>367.85</x:v>
      </x:c>
    </x:row>
    <x:row r="2274">
      <x:c r="A2274" s="14" t="str">
        <x:v>店长</x:v>
      </x:c>
      <x:c r="B2274" s="15" t="str">
        <x:v>许炎</x:v>
      </x:c>
      <x:c r="C2274" s="16" t="n">
        <x:v>46207</x:v>
      </x:c>
      <x:c r="D2274" s="17" t="n">
        <x:v>12</x:v>
      </x:c>
      <x:c r="E2274" s="17" t="n">
        <x:v>30</x:v>
      </x:c>
      <x:c r="F2274" s="18" t="n">
        <x:v>347.2</x:v>
      </x:c>
    </x:row>
    <x:row r="2275">
      <x:c r="A2275" s="14" t="str">
        <x:v>店长</x:v>
      </x:c>
      <x:c r="B2275" s="15" t="str">
        <x:v>许炎</x:v>
      </x:c>
      <x:c r="C2275" s="16" t="n">
        <x:v>46208</x:v>
      </x:c>
      <x:c r="D2275" s="17" t="n">
        <x:v>23</x:v>
      </x:c>
      <x:c r="E2275" s="17" t="n">
        <x:v>64</x:v>
      </x:c>
      <x:c r="F2275" s="18" t="n">
        <x:v>799.42</x:v>
      </x:c>
    </x:row>
    <x:row r="2276">
      <x:c r="A2276" s="14" t="str">
        <x:v>店长</x:v>
      </x:c>
      <x:c r="B2276" s="15" t="str">
        <x:v>许炎</x:v>
      </x:c>
      <x:c r="C2276" s="16" t="n">
        <x:v>46209</x:v>
      </x:c>
      <x:c r="D2276" s="17" t="n">
        <x:v>17</x:v>
      </x:c>
      <x:c r="E2276" s="17" t="n">
        <x:v>31</x:v>
      </x:c>
      <x:c r="F2276" s="18" t="n">
        <x:v>417.1</x:v>
      </x:c>
    </x:row>
    <x:row r="2277">
      <x:c r="A2277" s="14" t="str">
        <x:v>店长</x:v>
      </x:c>
      <x:c r="B2277" s="15" t="str">
        <x:v>许炎</x:v>
      </x:c>
      <x:c r="C2277" s="16" t="n">
        <x:v>46210</x:v>
      </x:c>
      <x:c r="D2277" s="17" t="n">
        <x:v>18</x:v>
      </x:c>
      <x:c r="E2277" s="17" t="n">
        <x:v>39</x:v>
      </x:c>
      <x:c r="F2277" s="18" t="n">
        <x:v>519.46</x:v>
      </x:c>
    </x:row>
    <x:row r="2278">
      <x:c r="A2278" s="14" t="str">
        <x:v>店长</x:v>
      </x:c>
      <x:c r="B2278" s="15" t="str">
        <x:v>许炎</x:v>
      </x:c>
      <x:c r="C2278" s="16" t="n">
        <x:v>46211</x:v>
      </x:c>
      <x:c r="D2278" s="17" t="n">
        <x:v>22</x:v>
      </x:c>
      <x:c r="E2278" s="17" t="n">
        <x:v>42</x:v>
      </x:c>
      <x:c r="F2278" s="18" t="n">
        <x:v>503.98</x:v>
      </x:c>
    </x:row>
    <x:row r="2279">
      <x:c r="A2279" s="14" t="str">
        <x:v>店长</x:v>
      </x:c>
      <x:c r="B2279" s="15" t="str">
        <x:v>许炎</x:v>
      </x:c>
      <x:c r="C2279" s="16" t="n">
        <x:v>46212</x:v>
      </x:c>
      <x:c r="D2279" s="17" t="n">
        <x:v>17</x:v>
      </x:c>
      <x:c r="E2279" s="17" t="n">
        <x:v>27</x:v>
      </x:c>
      <x:c r="F2279" s="18" t="n">
        <x:v>344.17</x:v>
      </x:c>
    </x:row>
    <x:row r="2280">
      <x:c r="A2280" s="14" t="str">
        <x:v>店长</x:v>
      </x:c>
      <x:c r="B2280" s="15" t="str">
        <x:v>许炎</x:v>
      </x:c>
      <x:c r="C2280" s="16" t="n">
        <x:v>46213</x:v>
      </x:c>
      <x:c r="D2280" s="17" t="n">
        <x:v>16</x:v>
      </x:c>
      <x:c r="E2280" s="17" t="n">
        <x:v>31</x:v>
      </x:c>
      <x:c r="F2280" s="18" t="n">
        <x:v>381.67</x:v>
      </x:c>
    </x:row>
    <x:row r="2281">
      <x:c r="A2281" s="14" t="str">
        <x:v>店长</x:v>
      </x:c>
      <x:c r="B2281" s="15" t="str">
        <x:v>许炎</x:v>
      </x:c>
      <x:c r="C2281" s="16" t="n">
        <x:v>46214</x:v>
      </x:c>
      <x:c r="D2281" s="17" t="n">
        <x:v>18</x:v>
      </x:c>
      <x:c r="E2281" s="17" t="n">
        <x:v>29</x:v>
      </x:c>
      <x:c r="F2281" s="18" t="n">
        <x:v>345.38</x:v>
      </x:c>
    </x:row>
    <x:row r="2282">
      <x:c r="A2282" s="14" t="str">
        <x:v>店长</x:v>
      </x:c>
      <x:c r="B2282" s="15" t="str">
        <x:v>许炎</x:v>
      </x:c>
      <x:c r="C2282" s="16" t="n">
        <x:v>46215</x:v>
      </x:c>
      <x:c r="D2282" s="17" t="n">
        <x:v>14</x:v>
      </x:c>
      <x:c r="E2282" s="17" t="n">
        <x:v>24</x:v>
      </x:c>
      <x:c r="F2282" s="18" t="n">
        <x:v>352.69</x:v>
      </x:c>
    </x:row>
    <x:row r="2283">
      <x:c r="A2283" s="14" t="str">
        <x:v>店长</x:v>
      </x:c>
      <x:c r="B2283" s="15" t="str">
        <x:v>许炎</x:v>
      </x:c>
      <x:c r="C2283" s="16" t="n">
        <x:v>46216</x:v>
      </x:c>
      <x:c r="D2283" s="17" t="n">
        <x:v>8</x:v>
      </x:c>
      <x:c r="E2283" s="17" t="n">
        <x:v>16</x:v>
      </x:c>
      <x:c r="F2283" s="18" t="n">
        <x:v>239.06</x:v>
      </x:c>
    </x:row>
    <x:row r="2284">
      <x:c r="A2284" s="14" t="str">
        <x:v>店长</x:v>
      </x:c>
      <x:c r="B2284" s="15" t="str">
        <x:v>许炎</x:v>
      </x:c>
      <x:c r="C2284" s="16" t="n">
        <x:v>46217</x:v>
      </x:c>
      <x:c r="D2284" s="17" t="n">
        <x:v>18</x:v>
      </x:c>
      <x:c r="E2284" s="17" t="n">
        <x:v>28</x:v>
      </x:c>
      <x:c r="F2284" s="18" t="n">
        <x:v>374.95</x:v>
      </x:c>
    </x:row>
    <x:row r="2285">
      <x:c r="A2285" s="14" t="str">
        <x:v>店长</x:v>
      </x:c>
      <x:c r="B2285" s="15" t="str">
        <x:v>许炎</x:v>
      </x:c>
      <x:c r="C2285" s="16" t="n">
        <x:v>46218</x:v>
      </x:c>
      <x:c r="D2285" s="17" t="n">
        <x:v>18</x:v>
      </x:c>
      <x:c r="E2285" s="17" t="n">
        <x:v>33</x:v>
      </x:c>
      <x:c r="F2285" s="18" t="n">
        <x:v>370.29</x:v>
      </x:c>
    </x:row>
    <x:row r="2286">
      <x:c r="A2286" s="14" t="str">
        <x:v>店长</x:v>
      </x:c>
      <x:c r="B2286" s="15" t="str">
        <x:v>许炎</x:v>
      </x:c>
      <x:c r="C2286" s="16" t="n">
        <x:v>46219</x:v>
      </x:c>
      <x:c r="D2286" s="17" t="n">
        <x:v>16</x:v>
      </x:c>
      <x:c r="E2286" s="17" t="n">
        <x:v>26</x:v>
      </x:c>
      <x:c r="F2286" s="18" t="n">
        <x:v>353.17</x:v>
      </x:c>
    </x:row>
    <x:row r="2287">
      <x:c r="A2287" s="14" t="str">
        <x:v>店长</x:v>
      </x:c>
      <x:c r="B2287" s="15" t="str">
        <x:v>许炎</x:v>
      </x:c>
      <x:c r="C2287" s="16" t="n">
        <x:v>46220</x:v>
      </x:c>
      <x:c r="D2287" s="17" t="n">
        <x:v>21</x:v>
      </x:c>
      <x:c r="E2287" s="17" t="n">
        <x:v>38</x:v>
      </x:c>
      <x:c r="F2287" s="18" t="n">
        <x:v>558.37</x:v>
      </x:c>
    </x:row>
    <x:row r="2288">
      <x:c r="A2288" s="14" t="str">
        <x:v>店长</x:v>
      </x:c>
      <x:c r="B2288" s="15" t="str">
        <x:v>许炎</x:v>
      </x:c>
      <x:c r="C2288" s="16" t="n">
        <x:v>46221</x:v>
      </x:c>
      <x:c r="D2288" s="17" t="n">
        <x:v>14</x:v>
      </x:c>
      <x:c r="E2288" s="17" t="n">
        <x:v>17</x:v>
      </x:c>
      <x:c r="F2288" s="18" t="n">
        <x:v>180.28</x:v>
      </x:c>
    </x:row>
    <x:row r="2289">
      <x:c r="A2289" s="14" t="str">
        <x:v>店长</x:v>
      </x:c>
      <x:c r="B2289" s="15" t="str">
        <x:v>许炎</x:v>
      </x:c>
      <x:c r="C2289" s="16" t="n">
        <x:v>46222</x:v>
      </x:c>
      <x:c r="D2289" s="17" t="n">
        <x:v>28</x:v>
      </x:c>
      <x:c r="E2289" s="17" t="n">
        <x:v>42</x:v>
      </x:c>
      <x:c r="F2289" s="18" t="n">
        <x:v>493.15</x:v>
      </x:c>
    </x:row>
    <x:row r="2290">
      <x:c r="A2290" s="14" t="str">
        <x:v>店长</x:v>
      </x:c>
      <x:c r="B2290" s="15" t="str">
        <x:v>许炎</x:v>
      </x:c>
      <x:c r="C2290" s="16" t="n">
        <x:v>46223</x:v>
      </x:c>
      <x:c r="D2290" s="17" t="n">
        <x:v>18</x:v>
      </x:c>
      <x:c r="E2290" s="17" t="n">
        <x:v>35</x:v>
      </x:c>
      <x:c r="F2290" s="18" t="n">
        <x:v>413.11</x:v>
      </x:c>
    </x:row>
    <x:row r="2291">
      <x:c r="A2291" s="14" t="str">
        <x:v>店长</x:v>
      </x:c>
      <x:c r="B2291" s="15" t="str">
        <x:v>许炎</x:v>
      </x:c>
      <x:c r="C2291" s="16" t="n">
        <x:v>46224</x:v>
      </x:c>
      <x:c r="D2291" s="17" t="n">
        <x:v>19</x:v>
      </x:c>
      <x:c r="E2291" s="17" t="n">
        <x:v>36</x:v>
      </x:c>
      <x:c r="F2291" s="18" t="n">
        <x:v>399.27</x:v>
      </x:c>
    </x:row>
    <x:row r="2292">
      <x:c r="A2292" s="14" t="str">
        <x:v>店长</x:v>
      </x:c>
      <x:c r="B2292" s="15" t="str">
        <x:v>许炎</x:v>
      </x:c>
      <x:c r="C2292" s="16" t="n">
        <x:v>46225</x:v>
      </x:c>
      <x:c r="D2292" s="17" t="n">
        <x:v>27</x:v>
      </x:c>
      <x:c r="E2292" s="17" t="n">
        <x:v>43</x:v>
      </x:c>
      <x:c r="F2292" s="18" t="n">
        <x:v>540.31</x:v>
      </x:c>
    </x:row>
    <x:row r="2293">
      <x:c r="A2293" s="14" t="str">
        <x:v>店长</x:v>
      </x:c>
      <x:c r="B2293" s="15" t="str">
        <x:v>许炎</x:v>
      </x:c>
      <x:c r="C2293" s="16" t="n">
        <x:v>46226</x:v>
      </x:c>
      <x:c r="D2293" s="17" t="n">
        <x:v>26</x:v>
      </x:c>
      <x:c r="E2293" s="17" t="n">
        <x:v>42</x:v>
      </x:c>
      <x:c r="F2293" s="18" t="n">
        <x:v>526.86</x:v>
      </x:c>
    </x:row>
    <x:row r="2294">
      <x:c r="A2294" s="14" t="str">
        <x:v>店长</x:v>
      </x:c>
      <x:c r="B2294" s="15" t="str">
        <x:v>许炎</x:v>
      </x:c>
      <x:c r="C2294" s="16" t="n">
        <x:v>46227</x:v>
      </x:c>
      <x:c r="D2294" s="17" t="n">
        <x:v>19</x:v>
      </x:c>
      <x:c r="E2294" s="17" t="n">
        <x:v>36</x:v>
      </x:c>
      <x:c r="F2294" s="18" t="n">
        <x:v>411.3</x:v>
      </x:c>
    </x:row>
    <x:row r="2295">
      <x:c r="A2295" s="14" t="str">
        <x:v>店长</x:v>
      </x:c>
      <x:c r="B2295" s="15" t="str">
        <x:v>许炎</x:v>
      </x:c>
      <x:c r="C2295" s="16" t="n">
        <x:v>46228</x:v>
      </x:c>
      <x:c r="D2295" s="17" t="n">
        <x:v>20</x:v>
      </x:c>
      <x:c r="E2295" s="17" t="n">
        <x:v>34</x:v>
      </x:c>
      <x:c r="F2295" s="18" t="n">
        <x:v>369.11</x:v>
      </x:c>
    </x:row>
    <x:row r="2296">
      <x:c r="A2296" s="14" t="str">
        <x:v>店长</x:v>
      </x:c>
      <x:c r="B2296" s="15" t="str">
        <x:v>许炎</x:v>
      </x:c>
      <x:c r="C2296" s="16" t="n">
        <x:v>46229</x:v>
      </x:c>
      <x:c r="D2296" s="17" t="n">
        <x:v>27</x:v>
      </x:c>
      <x:c r="E2296" s="17" t="n">
        <x:v>43</x:v>
      </x:c>
      <x:c r="F2296" s="18" t="n">
        <x:v>493.86</x:v>
      </x:c>
    </x:row>
    <x:row r="2297">
      <x:c r="A2297" s="14" t="str">
        <x:v>店长</x:v>
      </x:c>
      <x:c r="B2297" s="15" t="str">
        <x:v>许炎</x:v>
      </x:c>
      <x:c r="C2297" s="16" t="n">
        <x:v>46230</x:v>
      </x:c>
      <x:c r="D2297" s="17" t="n">
        <x:v>29</x:v>
      </x:c>
      <x:c r="E2297" s="17" t="n">
        <x:v>49</x:v>
      </x:c>
      <x:c r="F2297" s="18" t="n">
        <x:v>612.55</x:v>
      </x:c>
    </x:row>
    <x:row r="2298">
      <x:c r="A2298" s="14" t="str">
        <x:v>店长</x:v>
      </x:c>
      <x:c r="B2298" s="15" t="str">
        <x:v>许炎</x:v>
      </x:c>
      <x:c r="C2298" s="16" t="n">
        <x:v>46231</x:v>
      </x:c>
      <x:c r="D2298" s="17" t="n">
        <x:v>33</x:v>
      </x:c>
      <x:c r="E2298" s="17" t="n">
        <x:v>44</x:v>
      </x:c>
      <x:c r="F2298" s="18" t="n">
        <x:v>577.63</x:v>
      </x:c>
    </x:row>
    <x:row r="2299">
      <x:c r="A2299" s="14" t="str">
        <x:v>店长</x:v>
      </x:c>
      <x:c r="B2299" s="15" t="str">
        <x:v>许炎</x:v>
      </x:c>
      <x:c r="C2299" s="16" t="n">
        <x:v>46232</x:v>
      </x:c>
      <x:c r="D2299" s="17" t="n">
        <x:v>21</x:v>
      </x:c>
      <x:c r="E2299" s="17" t="n">
        <x:v>29</x:v>
      </x:c>
      <x:c r="F2299" s="18" t="n">
        <x:v>325.94</x:v>
      </x:c>
    </x:row>
    <x:row r="2300">
      <x:c r="A2300" s="14" t="str">
        <x:v>店长</x:v>
      </x:c>
      <x:c r="B2300" s="15" t="str">
        <x:v>许炎</x:v>
      </x:c>
      <x:c r="C2300" s="16" t="n">
        <x:v>46233</x:v>
      </x:c>
      <x:c r="D2300" s="17" t="n">
        <x:v>28</x:v>
      </x:c>
      <x:c r="E2300" s="17" t="n">
        <x:v>36</x:v>
      </x:c>
      <x:c r="F2300" s="18" t="n">
        <x:v>459.48</x:v>
      </x:c>
    </x:row>
    <x:row r="2301">
      <x:c r="A2301" s="14" t="str">
        <x:v>店长</x:v>
      </x:c>
      <x:c r="B2301" s="15" t="str">
        <x:v>许炎</x:v>
      </x:c>
      <x:c r="C2301" s="16" t="n">
        <x:v>46234</x:v>
      </x:c>
      <x:c r="D2301" s="17" t="n">
        <x:v>36</x:v>
      </x:c>
      <x:c r="E2301" s="17" t="n">
        <x:v>49</x:v>
      </x:c>
      <x:c r="F2301" s="18" t="n">
        <x:v>604.37</x:v>
      </x:c>
    </x:row>
    <x:row r="2302">
      <x:c r="A2302" s="14" t="str">
        <x:v>店长</x:v>
      </x:c>
      <x:c r="B2302" s="15" t="str">
        <x:v>许炎</x:v>
      </x:c>
      <x:c r="C2302" s="16" t="n">
        <x:v>46235</x:v>
      </x:c>
      <x:c r="D2302" s="17" t="n">
        <x:v>38</x:v>
      </x:c>
      <x:c r="E2302" s="17" t="n">
        <x:v>47</x:v>
      </x:c>
      <x:c r="F2302" s="18" t="n">
        <x:v>607.13</x:v>
      </x:c>
    </x:row>
    <x:row r="2303">
      <x:c r="A2303" s="14" t="str">
        <x:v>店长</x:v>
      </x:c>
      <x:c r="B2303" s="15" t="str">
        <x:v>许炎</x:v>
      </x:c>
      <x:c r="C2303" s="16" t="n">
        <x:v>46236</x:v>
      </x:c>
      <x:c r="D2303" s="17" t="n">
        <x:v>24</x:v>
      </x:c>
      <x:c r="E2303" s="17" t="n">
        <x:v>28</x:v>
      </x:c>
      <x:c r="F2303" s="18" t="n">
        <x:v>334.62</x:v>
      </x:c>
    </x:row>
    <x:row r="2304">
      <x:c r="A2304" s="14" t="str">
        <x:v>店长</x:v>
      </x:c>
      <x:c r="B2304" s="15" t="str">
        <x:v>许炎</x:v>
      </x:c>
      <x:c r="C2304" s="16" t="n">
        <x:v>46237</x:v>
      </x:c>
      <x:c r="D2304" s="17" t="n">
        <x:v>55</x:v>
      </x:c>
      <x:c r="E2304" s="17" t="n">
        <x:v>71</x:v>
      </x:c>
      <x:c r="F2304" s="18" t="n">
        <x:v>833.93</x:v>
      </x:c>
    </x:row>
    <x:row r="2305">
      <x:c r="A2305" s="14" t="str">
        <x:v>店长</x:v>
      </x:c>
      <x:c r="B2305" s="15" t="str">
        <x:v>许炎</x:v>
      </x:c>
      <x:c r="C2305" s="16" t="n">
        <x:v>46238</x:v>
      </x:c>
      <x:c r="D2305" s="17" t="n">
        <x:v>42</x:v>
      </x:c>
      <x:c r="E2305" s="17" t="n">
        <x:v>56</x:v>
      </x:c>
      <x:c r="F2305" s="18" t="n">
        <x:v>670.97</x:v>
      </x:c>
    </x:row>
    <x:row r="2306">
      <x:c r="A2306" s="14" t="str">
        <x:v>店长</x:v>
      </x:c>
      <x:c r="B2306" s="15" t="str">
        <x:v>许炎</x:v>
      </x:c>
      <x:c r="C2306" s="16" t="n">
        <x:v>46239</x:v>
      </x:c>
      <x:c r="D2306" s="17" t="n">
        <x:v>45</x:v>
      </x:c>
      <x:c r="E2306" s="17" t="n">
        <x:v>62</x:v>
      </x:c>
      <x:c r="F2306" s="18" t="n">
        <x:v>825.87</x:v>
      </x:c>
    </x:row>
    <x:row r="2307">
      <x:c r="A2307" s="14" t="str">
        <x:v>店长</x:v>
      </x:c>
      <x:c r="B2307" s="15" t="str">
        <x:v>许炎</x:v>
      </x:c>
      <x:c r="C2307" s="16" t="n">
        <x:v>46240</x:v>
      </x:c>
      <x:c r="D2307" s="17" t="n">
        <x:v>44</x:v>
      </x:c>
      <x:c r="E2307" s="17" t="n">
        <x:v>51</x:v>
      </x:c>
      <x:c r="F2307" s="18" t="n">
        <x:v>651.84</x:v>
      </x:c>
    </x:row>
    <x:row r="2308">
      <x:c r="A2308" s="14" t="str">
        <x:v>店长</x:v>
      </x:c>
      <x:c r="B2308" s="15" t="str">
        <x:v>许炎</x:v>
      </x:c>
      <x:c r="C2308" s="16" t="n">
        <x:v>46241</x:v>
      </x:c>
      <x:c r="D2308" s="17" t="n">
        <x:v>80</x:v>
      </x:c>
      <x:c r="E2308" s="17" t="n">
        <x:v>108</x:v>
      </x:c>
      <x:c r="F2308" s="18" t="n">
        <x:v>1275.39</x:v>
      </x:c>
    </x:row>
    <x:row r="2309">
      <x:c r="A2309" s="14" t="str">
        <x:v>店长</x:v>
      </x:c>
      <x:c r="B2309" s="15" t="str">
        <x:v>许炎</x:v>
      </x:c>
      <x:c r="C2309" s="16" t="n">
        <x:v>46242</x:v>
      </x:c>
      <x:c r="D2309" s="17" t="n">
        <x:v>63</x:v>
      </x:c>
      <x:c r="E2309" s="17" t="n">
        <x:v>80</x:v>
      </x:c>
      <x:c r="F2309" s="18" t="n">
        <x:v>1021.36</x:v>
      </x:c>
    </x:row>
    <x:row r="2310">
      <x:c r="A2310" s="14" t="str">
        <x:v>店长</x:v>
      </x:c>
      <x:c r="B2310" s="15" t="str">
        <x:v>许炎</x:v>
      </x:c>
      <x:c r="C2310" s="16" t="n">
        <x:v>46243</x:v>
      </x:c>
      <x:c r="D2310" s="17" t="n">
        <x:v>34</x:v>
      </x:c>
      <x:c r="E2310" s="17" t="n">
        <x:v>36</x:v>
      </x:c>
      <x:c r="F2310" s="18" t="n">
        <x:v>406.6</x:v>
      </x:c>
    </x:row>
    <x:row r="2311">
      <x:c r="A2311" s="14" t="str">
        <x:v>店长</x:v>
      </x:c>
      <x:c r="B2311" s="15" t="str">
        <x:v>许炎</x:v>
      </x:c>
      <x:c r="C2311" s="16" t="n">
        <x:v>46244</x:v>
      </x:c>
      <x:c r="D2311" s="17" t="n">
        <x:v>66</x:v>
      </x:c>
      <x:c r="E2311" s="17" t="n">
        <x:v>90</x:v>
      </x:c>
      <x:c r="F2311" s="18" t="n">
        <x:v>1125.5</x:v>
      </x:c>
    </x:row>
    <x:row r="2312">
      <x:c r="A2312" s="14" t="str">
        <x:v>店长</x:v>
      </x:c>
      <x:c r="B2312" s="15" t="str">
        <x:v>许炎</x:v>
      </x:c>
      <x:c r="C2312" s="16" t="n">
        <x:v>46245</x:v>
      </x:c>
      <x:c r="D2312" s="17" t="n">
        <x:v>35</x:v>
      </x:c>
      <x:c r="E2312" s="17" t="n">
        <x:v>51</x:v>
      </x:c>
      <x:c r="F2312" s="18" t="n">
        <x:v>608.39</x:v>
      </x:c>
    </x:row>
    <x:row r="2313">
      <x:c r="A2313" s="14" t="str">
        <x:v>店长</x:v>
      </x:c>
      <x:c r="B2313" s="15" t="str">
        <x:v>许炎</x:v>
      </x:c>
      <x:c r="C2313" s="16" t="n">
        <x:v>46246</x:v>
      </x:c>
      <x:c r="D2313" s="17" t="n">
        <x:v>44</x:v>
      </x:c>
      <x:c r="E2313" s="17" t="n">
        <x:v>56</x:v>
      </x:c>
      <x:c r="F2313" s="18" t="n">
        <x:v>643.21</x:v>
      </x:c>
    </x:row>
    <x:row r="2314">
      <x:c r="A2314" s="14" t="str">
        <x:v>店长</x:v>
      </x:c>
      <x:c r="B2314" s="15" t="str">
        <x:v>许炎</x:v>
      </x:c>
      <x:c r="C2314" s="16" t="n">
        <x:v>46247</x:v>
      </x:c>
      <x:c r="D2314" s="17" t="n">
        <x:v>51</x:v>
      </x:c>
      <x:c r="E2314" s="17" t="n">
        <x:v>76</x:v>
      </x:c>
      <x:c r="F2314" s="18" t="n">
        <x:v>954.46</x:v>
      </x:c>
    </x:row>
    <x:row r="2315">
      <x:c r="A2315" s="14" t="str">
        <x:v>店长</x:v>
      </x:c>
      <x:c r="B2315" s="15" t="str">
        <x:v>许炎</x:v>
      </x:c>
      <x:c r="C2315" s="16" t="n">
        <x:v>46248</x:v>
      </x:c>
      <x:c r="D2315" s="17" t="n">
        <x:v>43</x:v>
      </x:c>
      <x:c r="E2315" s="17" t="n">
        <x:v>60</x:v>
      </x:c>
      <x:c r="F2315" s="18" t="n">
        <x:v>646.25</x:v>
      </x:c>
    </x:row>
    <x:row r="2316">
      <x:c r="A2316" s="14" t="str">
        <x:v>店长</x:v>
      </x:c>
      <x:c r="B2316" s="15" t="str">
        <x:v>许炎</x:v>
      </x:c>
      <x:c r="C2316" s="16" t="n">
        <x:v>46249</x:v>
      </x:c>
      <x:c r="D2316" s="17" t="n">
        <x:v>39</x:v>
      </x:c>
      <x:c r="E2316" s="17" t="n">
        <x:v>50</x:v>
      </x:c>
      <x:c r="F2316" s="18" t="n">
        <x:v>576.53</x:v>
      </x:c>
    </x:row>
    <x:row r="2317">
      <x:c r="A2317" s="14" t="str">
        <x:v>店长</x:v>
      </x:c>
      <x:c r="B2317" s="15" t="str">
        <x:v>许炎</x:v>
      </x:c>
      <x:c r="C2317" s="16" t="n">
        <x:v>46250</x:v>
      </x:c>
      <x:c r="D2317" s="17" t="n">
        <x:v>26</x:v>
      </x:c>
      <x:c r="E2317" s="17" t="n">
        <x:v>47</x:v>
      </x:c>
      <x:c r="F2317" s="18" t="n">
        <x:v>727.96</x:v>
      </x:c>
    </x:row>
    <x:row r="2318">
      <x:c r="A2318" s="14" t="str">
        <x:v>店长</x:v>
      </x:c>
      <x:c r="B2318" s="15" t="str">
        <x:v>许炎</x:v>
      </x:c>
      <x:c r="C2318" s="16" t="n">
        <x:v>46251</x:v>
      </x:c>
      <x:c r="D2318" s="17" t="n">
        <x:v>40</x:v>
      </x:c>
      <x:c r="E2318" s="17" t="n">
        <x:v>44</x:v>
      </x:c>
      <x:c r="F2318" s="18" t="n">
        <x:v>550.52</x:v>
      </x:c>
    </x:row>
    <x:row r="2319">
      <x:c r="A2319" s="14" t="str">
        <x:v>店长</x:v>
      </x:c>
      <x:c r="B2319" s="15" t="str">
        <x:v>许炎</x:v>
      </x:c>
      <x:c r="C2319" s="16" t="n">
        <x:v>46252</x:v>
      </x:c>
      <x:c r="D2319" s="17" t="n">
        <x:v>40</x:v>
      </x:c>
      <x:c r="E2319" s="17" t="n">
        <x:v>49</x:v>
      </x:c>
      <x:c r="F2319" s="18" t="n">
        <x:v>592.38</x:v>
      </x:c>
    </x:row>
    <x:row r="2320">
      <x:c r="A2320" s="14" t="str">
        <x:v>店长</x:v>
      </x:c>
      <x:c r="B2320" s="15" t="str">
        <x:v>许炎</x:v>
      </x:c>
      <x:c r="C2320" s="16" t="n">
        <x:v>46253</x:v>
      </x:c>
      <x:c r="D2320" s="17" t="n">
        <x:v>34</x:v>
      </x:c>
      <x:c r="E2320" s="17" t="n">
        <x:v>54</x:v>
      </x:c>
      <x:c r="F2320" s="18" t="n">
        <x:v>768.38</x:v>
      </x:c>
    </x:row>
    <x:row r="2321">
      <x:c r="A2321" s="19" t="str">
        <x:v>店长</x:v>
      </x:c>
      <x:c r="B2321" s="20" t="str">
        <x:v>许炎</x:v>
      </x:c>
      <x:c r="C2321" s="21" t="n">
        <x:v>46254</x:v>
      </x:c>
      <x:c r="D2321" s="22" t="n">
        <x:v>30</x:v>
      </x:c>
      <x:c r="E2321" s="22" t="n">
        <x:v>42</x:v>
      </x:c>
      <x:c r="F2321" s="23" t="n">
        <x:v>494.14</x:v>
      </x:c>
    </x:row>
  </x:sheetData>
  <x:pageMargins left="0.7" right="0.7" top="0.75" bottom="0.75" header="0.3" footer="0.3"/>
  <x:tableParts count="1">
    <x:tablePart xmlns:r="http://schemas.openxmlformats.org/officeDocument/2006/relationships" r:id="R1681dbd1a654403f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6" hidden="0" customWidth="1"/>
    <x:col min="3" max="3" width="13" hidden="0" customWidth="1"/>
    <x:col min="4" max="4" width="12" hidden="0" customWidth="1"/>
    <x:col min="5" max="5" width="12" hidden="0" customWidth="1"/>
    <x:col min="6" max="6" width="14" hidden="0" customWidth="1"/>
    <x:col min="8" max="8" width="18" hidden="0" customWidth="1"/>
    <x:col min="9" max="9" width="18" hidden="0" customWidth="1"/>
  </x:cols>
  <x:sheetData>
    <x:row r="1" ht="28" customHeight="1">
      <x:c r="A1" s="12" t="str">
        <x:v>维度</x:v>
      </x:c>
      <x:c r="B1" s="13" t="str">
        <x:v>名称</x:v>
      </x:c>
      <x:c r="C1" s="13" t="str">
        <x:v>日期</x:v>
      </x:c>
      <x:c r="D1" s="13" t="str">
        <x:v>订单数量</x:v>
      </x:c>
      <x:c r="E1" s="13" t="str">
        <x:v>销售数量</x:v>
      </x:c>
      <x:c r="F1" s="13" t="str">
        <x:v>发货金额</x:v>
      </x:c>
      <x:c r="H1" s="68" t="str">
        <x:v>站点数据范围</x:v>
      </x:c>
      <x:c r="I1" s="68" t="str">
        <x:v>总监：王云、许炎</x:v>
      </x:c>
    </x:row>
    <x:row r="2">
      <x:c r="A2" s="14" t="str">
        <x:v>站点</x:v>
      </x:c>
      <x:c r="B2" s="15" t="str">
        <x:v>印度尼西亚</x:v>
      </x:c>
      <x:c r="C2" s="16" t="n">
        <x:v>46023</x:v>
      </x:c>
      <x:c r="D2" s="17" t="n">
        <x:v>3350</x:v>
      </x:c>
      <x:c r="E2" s="17" t="n">
        <x:v>5656</x:v>
      </x:c>
      <x:c r="F2" s="18" t="n">
        <x:v>48332.44</x:v>
      </x:c>
    </x:row>
    <x:row r="3">
      <x:c r="A3" s="14" t="str">
        <x:v>站点</x:v>
      </x:c>
      <x:c r="B3" s="15" t="str">
        <x:v>印度尼西亚</x:v>
      </x:c>
      <x:c r="C3" s="16" t="n">
        <x:v>46024</x:v>
      </x:c>
      <x:c r="D3" s="17" t="n">
        <x:v>3870</x:v>
      </x:c>
      <x:c r="E3" s="17" t="n">
        <x:v>6499</x:v>
      </x:c>
      <x:c r="F3" s="18" t="n">
        <x:v>54080.69</x:v>
      </x:c>
    </x:row>
    <x:row r="4">
      <x:c r="A4" s="14" t="str">
        <x:v>站点</x:v>
      </x:c>
      <x:c r="B4" s="15" t="str">
        <x:v>印度尼西亚</x:v>
      </x:c>
      <x:c r="C4" s="16" t="n">
        <x:v>46025</x:v>
      </x:c>
      <x:c r="D4" s="17" t="n">
        <x:v>3374</x:v>
      </x:c>
      <x:c r="E4" s="17" t="n">
        <x:v>5454</x:v>
      </x:c>
      <x:c r="F4" s="18" t="n">
        <x:v>45901.02</x:v>
      </x:c>
    </x:row>
    <x:row r="5">
      <x:c r="A5" s="14" t="str">
        <x:v>站点</x:v>
      </x:c>
      <x:c r="B5" s="15" t="str">
        <x:v>印度尼西亚</x:v>
      </x:c>
      <x:c r="C5" s="16" t="n">
        <x:v>46026</x:v>
      </x:c>
      <x:c r="D5" s="17" t="n">
        <x:v>3716</x:v>
      </x:c>
      <x:c r="E5" s="17" t="n">
        <x:v>5883</x:v>
      </x:c>
      <x:c r="F5" s="18" t="n">
        <x:v>50829.52</x:v>
      </x:c>
    </x:row>
    <x:row r="6">
      <x:c r="A6" s="14" t="str">
        <x:v>站点</x:v>
      </x:c>
      <x:c r="B6" s="15" t="str">
        <x:v>印度尼西亚</x:v>
      </x:c>
      <x:c r="C6" s="16" t="n">
        <x:v>46027</x:v>
      </x:c>
      <x:c r="D6" s="17" t="n">
        <x:v>3574</x:v>
      </x:c>
      <x:c r="E6" s="17" t="n">
        <x:v>5650</x:v>
      </x:c>
      <x:c r="F6" s="18" t="n">
        <x:v>48081.39</x:v>
      </x:c>
    </x:row>
    <x:row r="7">
      <x:c r="A7" s="14" t="str">
        <x:v>站点</x:v>
      </x:c>
      <x:c r="B7" s="15" t="str">
        <x:v>印度尼西亚</x:v>
      </x:c>
      <x:c r="C7" s="16" t="n">
        <x:v>46028</x:v>
      </x:c>
      <x:c r="D7" s="17" t="n">
        <x:v>3704</x:v>
      </x:c>
      <x:c r="E7" s="17" t="n">
        <x:v>6423</x:v>
      </x:c>
      <x:c r="F7" s="18" t="n">
        <x:v>50920.38</x:v>
      </x:c>
    </x:row>
    <x:row r="8">
      <x:c r="A8" s="14" t="str">
        <x:v>站点</x:v>
      </x:c>
      <x:c r="B8" s="15" t="str">
        <x:v>印度尼西亚</x:v>
      </x:c>
      <x:c r="C8" s="16" t="n">
        <x:v>46029</x:v>
      </x:c>
      <x:c r="D8" s="17" t="n">
        <x:v>3641</x:v>
      </x:c>
      <x:c r="E8" s="17" t="n">
        <x:v>6552</x:v>
      </x:c>
      <x:c r="F8" s="18" t="n">
        <x:v>50675.53</x:v>
      </x:c>
    </x:row>
    <x:row r="9">
      <x:c r="A9" s="14" t="str">
        <x:v>站点</x:v>
      </x:c>
      <x:c r="B9" s="15" t="str">
        <x:v>印度尼西亚</x:v>
      </x:c>
      <x:c r="C9" s="16" t="n">
        <x:v>46030</x:v>
      </x:c>
      <x:c r="D9" s="17" t="n">
        <x:v>3785</x:v>
      </x:c>
      <x:c r="E9" s="17" t="n">
        <x:v>6694</x:v>
      </x:c>
      <x:c r="F9" s="18" t="n">
        <x:v>52912.9</x:v>
      </x:c>
    </x:row>
    <x:row r="10">
      <x:c r="A10" s="14" t="str">
        <x:v>站点</x:v>
      </x:c>
      <x:c r="B10" s="15" t="str">
        <x:v>印度尼西亚</x:v>
      </x:c>
      <x:c r="C10" s="16" t="n">
        <x:v>46031</x:v>
      </x:c>
      <x:c r="D10" s="17" t="n">
        <x:v>4127</x:v>
      </x:c>
      <x:c r="E10" s="17" t="n">
        <x:v>7455</x:v>
      </x:c>
      <x:c r="F10" s="18" t="n">
        <x:v>54375.25</x:v>
      </x:c>
    </x:row>
    <x:row r="11">
      <x:c r="A11" s="14" t="str">
        <x:v>站点</x:v>
      </x:c>
      <x:c r="B11" s="15" t="str">
        <x:v>印度尼西亚</x:v>
      </x:c>
      <x:c r="C11" s="16" t="n">
        <x:v>46032</x:v>
      </x:c>
      <x:c r="D11" s="17" t="n">
        <x:v>3668</x:v>
      </x:c>
      <x:c r="E11" s="17" t="n">
        <x:v>6592</x:v>
      </x:c>
      <x:c r="F11" s="18" t="n">
        <x:v>46719.25</x:v>
      </x:c>
    </x:row>
    <x:row r="12">
      <x:c r="A12" s="14" t="str">
        <x:v>站点</x:v>
      </x:c>
      <x:c r="B12" s="15" t="str">
        <x:v>印度尼西亚</x:v>
      </x:c>
      <x:c r="C12" s="16" t="n">
        <x:v>46033</x:v>
      </x:c>
      <x:c r="D12" s="17" t="n">
        <x:v>3176</x:v>
      </x:c>
      <x:c r="E12" s="17" t="n">
        <x:v>5720</x:v>
      </x:c>
      <x:c r="F12" s="18" t="n">
        <x:v>41470.2</x:v>
      </x:c>
    </x:row>
    <x:row r="13">
      <x:c r="A13" s="14" t="str">
        <x:v>站点</x:v>
      </x:c>
      <x:c r="B13" s="15" t="str">
        <x:v>印度尼西亚</x:v>
      </x:c>
      <x:c r="C13" s="16" t="n">
        <x:v>46034</x:v>
      </x:c>
      <x:c r="D13" s="17" t="n">
        <x:v>3247</x:v>
      </x:c>
      <x:c r="E13" s="17" t="n">
        <x:v>5794</x:v>
      </x:c>
      <x:c r="F13" s="18" t="n">
        <x:v>43037.38</x:v>
      </x:c>
    </x:row>
    <x:row r="14">
      <x:c r="A14" s="14" t="str">
        <x:v>站点</x:v>
      </x:c>
      <x:c r="B14" s="15" t="str">
        <x:v>印度尼西亚</x:v>
      </x:c>
      <x:c r="C14" s="16" t="n">
        <x:v>46035</x:v>
      </x:c>
      <x:c r="D14" s="17" t="n">
        <x:v>3285</x:v>
      </x:c>
      <x:c r="E14" s="17" t="n">
        <x:v>5822</x:v>
      </x:c>
      <x:c r="F14" s="18" t="n">
        <x:v>44461.89</x:v>
      </x:c>
    </x:row>
    <x:row r="15">
      <x:c r="A15" s="14" t="str">
        <x:v>站点</x:v>
      </x:c>
      <x:c r="B15" s="15" t="str">
        <x:v>印度尼西亚</x:v>
      </x:c>
      <x:c r="C15" s="16" t="n">
        <x:v>46036</x:v>
      </x:c>
      <x:c r="D15" s="17" t="n">
        <x:v>2828</x:v>
      </x:c>
      <x:c r="E15" s="17" t="n">
        <x:v>4853</x:v>
      </x:c>
      <x:c r="F15" s="18" t="n">
        <x:v>36858.8</x:v>
      </x:c>
    </x:row>
    <x:row r="16">
      <x:c r="A16" s="14" t="str">
        <x:v>站点</x:v>
      </x:c>
      <x:c r="B16" s="15" t="str">
        <x:v>印度尼西亚</x:v>
      </x:c>
      <x:c r="C16" s="16" t="n">
        <x:v>46037</x:v>
      </x:c>
      <x:c r="D16" s="17" t="n">
        <x:v>3011</x:v>
      </x:c>
      <x:c r="E16" s="17" t="n">
        <x:v>5241</x:v>
      </x:c>
      <x:c r="F16" s="18" t="n">
        <x:v>41225.12</x:v>
      </x:c>
    </x:row>
    <x:row r="17">
      <x:c r="A17" s="14" t="str">
        <x:v>站点</x:v>
      </x:c>
      <x:c r="B17" s="15" t="str">
        <x:v>印度尼西亚</x:v>
      </x:c>
      <x:c r="C17" s="16" t="n">
        <x:v>46038</x:v>
      </x:c>
      <x:c r="D17" s="17" t="n">
        <x:v>2820</x:v>
      </x:c>
      <x:c r="E17" s="17" t="n">
        <x:v>4828</x:v>
      </x:c>
      <x:c r="F17" s="18" t="n">
        <x:v>37282.34</x:v>
      </x:c>
    </x:row>
    <x:row r="18">
      <x:c r="A18" s="14" t="str">
        <x:v>站点</x:v>
      </x:c>
      <x:c r="B18" s="15" t="str">
        <x:v>印度尼西亚</x:v>
      </x:c>
      <x:c r="C18" s="16" t="n">
        <x:v>46039</x:v>
      </x:c>
      <x:c r="D18" s="17" t="n">
        <x:v>2784</x:v>
      </x:c>
      <x:c r="E18" s="17" t="n">
        <x:v>4841</x:v>
      </x:c>
      <x:c r="F18" s="18" t="n">
        <x:v>35596.95</x:v>
      </x:c>
    </x:row>
    <x:row r="19">
      <x:c r="A19" s="14" t="str">
        <x:v>站点</x:v>
      </x:c>
      <x:c r="B19" s="15" t="str">
        <x:v>印度尼西亚</x:v>
      </x:c>
      <x:c r="C19" s="16" t="n">
        <x:v>46040</x:v>
      </x:c>
      <x:c r="D19" s="17" t="n">
        <x:v>2433</x:v>
      </x:c>
      <x:c r="E19" s="17" t="n">
        <x:v>4242</x:v>
      </x:c>
      <x:c r="F19" s="18" t="n">
        <x:v>33907.52</x:v>
      </x:c>
    </x:row>
    <x:row r="20">
      <x:c r="A20" s="14" t="str">
        <x:v>站点</x:v>
      </x:c>
      <x:c r="B20" s="15" t="str">
        <x:v>印度尼西亚</x:v>
      </x:c>
      <x:c r="C20" s="16" t="n">
        <x:v>46041</x:v>
      </x:c>
      <x:c r="D20" s="17" t="n">
        <x:v>2429</x:v>
      </x:c>
      <x:c r="E20" s="17" t="n">
        <x:v>4087</x:v>
      </x:c>
      <x:c r="F20" s="18" t="n">
        <x:v>35716.76</x:v>
      </x:c>
    </x:row>
    <x:row r="21">
      <x:c r="A21" s="14" t="str">
        <x:v>站点</x:v>
      </x:c>
      <x:c r="B21" s="15" t="str">
        <x:v>印度尼西亚</x:v>
      </x:c>
      <x:c r="C21" s="16" t="n">
        <x:v>46042</x:v>
      </x:c>
      <x:c r="D21" s="17" t="n">
        <x:v>2700</x:v>
      </x:c>
      <x:c r="E21" s="17" t="n">
        <x:v>4568</x:v>
      </x:c>
      <x:c r="F21" s="18" t="n">
        <x:v>39786.09</x:v>
      </x:c>
    </x:row>
    <x:row r="22">
      <x:c r="A22" s="14" t="str">
        <x:v>站点</x:v>
      </x:c>
      <x:c r="B22" s="15" t="str">
        <x:v>印度尼西亚</x:v>
      </x:c>
      <x:c r="C22" s="16" t="n">
        <x:v>46043</x:v>
      </x:c>
      <x:c r="D22" s="17" t="n">
        <x:v>2995</x:v>
      </x:c>
      <x:c r="E22" s="17" t="n">
        <x:v>5238</x:v>
      </x:c>
      <x:c r="F22" s="18" t="n">
        <x:v>45634.5</x:v>
      </x:c>
    </x:row>
    <x:row r="23">
      <x:c r="A23" s="14" t="str">
        <x:v>站点</x:v>
      </x:c>
      <x:c r="B23" s="15" t="str">
        <x:v>印度尼西亚</x:v>
      </x:c>
      <x:c r="C23" s="16" t="n">
        <x:v>46044</x:v>
      </x:c>
      <x:c r="D23" s="17" t="n">
        <x:v>2566</x:v>
      </x:c>
      <x:c r="E23" s="17" t="n">
        <x:v>4523</x:v>
      </x:c>
      <x:c r="F23" s="18" t="n">
        <x:v>38650.03</x:v>
      </x:c>
    </x:row>
    <x:row r="24">
      <x:c r="A24" s="14" t="str">
        <x:v>站点</x:v>
      </x:c>
      <x:c r="B24" s="15" t="str">
        <x:v>印度尼西亚</x:v>
      </x:c>
      <x:c r="C24" s="16" t="n">
        <x:v>46045</x:v>
      </x:c>
      <x:c r="D24" s="17" t="n">
        <x:v>2370</x:v>
      </x:c>
      <x:c r="E24" s="17" t="n">
        <x:v>4242</x:v>
      </x:c>
      <x:c r="F24" s="18" t="n">
        <x:v>35229.59</x:v>
      </x:c>
    </x:row>
    <x:row r="25">
      <x:c r="A25" s="14" t="str">
        <x:v>站点</x:v>
      </x:c>
      <x:c r="B25" s="15" t="str">
        <x:v>印度尼西亚</x:v>
      </x:c>
      <x:c r="C25" s="16" t="n">
        <x:v>46046</x:v>
      </x:c>
      <x:c r="D25" s="17" t="n">
        <x:v>2449</x:v>
      </x:c>
      <x:c r="E25" s="17" t="n">
        <x:v>4211</x:v>
      </x:c>
      <x:c r="F25" s="18" t="n">
        <x:v>36740.87</x:v>
      </x:c>
    </x:row>
    <x:row r="26">
      <x:c r="A26" s="14" t="str">
        <x:v>站点</x:v>
      </x:c>
      <x:c r="B26" s="15" t="str">
        <x:v>印度尼西亚</x:v>
      </x:c>
      <x:c r="C26" s="16" t="n">
        <x:v>46047</x:v>
      </x:c>
      <x:c r="D26" s="17" t="n">
        <x:v>2546</x:v>
      </x:c>
      <x:c r="E26" s="17" t="n">
        <x:v>4457</x:v>
      </x:c>
      <x:c r="F26" s="18" t="n">
        <x:v>34870.59</x:v>
      </x:c>
    </x:row>
    <x:row r="27">
      <x:c r="A27" s="14" t="str">
        <x:v>站点</x:v>
      </x:c>
      <x:c r="B27" s="15" t="str">
        <x:v>印度尼西亚</x:v>
      </x:c>
      <x:c r="C27" s="16" t="n">
        <x:v>46048</x:v>
      </x:c>
      <x:c r="D27" s="17" t="n">
        <x:v>2905</x:v>
      </x:c>
      <x:c r="E27" s="17" t="n">
        <x:v>5200</x:v>
      </x:c>
      <x:c r="F27" s="18" t="n">
        <x:v>41579.23</x:v>
      </x:c>
    </x:row>
    <x:row r="28">
      <x:c r="A28" s="14" t="str">
        <x:v>站点</x:v>
      </x:c>
      <x:c r="B28" s="15" t="str">
        <x:v>印度尼西亚</x:v>
      </x:c>
      <x:c r="C28" s="16" t="n">
        <x:v>46049</x:v>
      </x:c>
      <x:c r="D28" s="17" t="n">
        <x:v>2908</x:v>
      </x:c>
      <x:c r="E28" s="17" t="n">
        <x:v>5156</x:v>
      </x:c>
      <x:c r="F28" s="18" t="n">
        <x:v>42315.3</x:v>
      </x:c>
    </x:row>
    <x:row r="29">
      <x:c r="A29" s="14" t="str">
        <x:v>站点</x:v>
      </x:c>
      <x:c r="B29" s="15" t="str">
        <x:v>印度尼西亚</x:v>
      </x:c>
      <x:c r="C29" s="16" t="n">
        <x:v>46050</x:v>
      </x:c>
      <x:c r="D29" s="17" t="n">
        <x:v>2752</x:v>
      </x:c>
      <x:c r="E29" s="17" t="n">
        <x:v>4841</x:v>
      </x:c>
      <x:c r="F29" s="18" t="n">
        <x:v>40151.05</x:v>
      </x:c>
    </x:row>
    <x:row r="30">
      <x:c r="A30" s="14" t="str">
        <x:v>站点</x:v>
      </x:c>
      <x:c r="B30" s="15" t="str">
        <x:v>印度尼西亚</x:v>
      </x:c>
      <x:c r="C30" s="16" t="n">
        <x:v>46051</x:v>
      </x:c>
      <x:c r="D30" s="17" t="n">
        <x:v>3002</x:v>
      </x:c>
      <x:c r="E30" s="17" t="n">
        <x:v>5445</x:v>
      </x:c>
      <x:c r="F30" s="18" t="n">
        <x:v>44897.76</x:v>
      </x:c>
    </x:row>
    <x:row r="31">
      <x:c r="A31" s="14" t="str">
        <x:v>站点</x:v>
      </x:c>
      <x:c r="B31" s="15" t="str">
        <x:v>印度尼西亚</x:v>
      </x:c>
      <x:c r="C31" s="16" t="n">
        <x:v>46052</x:v>
      </x:c>
      <x:c r="D31" s="17" t="n">
        <x:v>2971</x:v>
      </x:c>
      <x:c r="E31" s="17" t="n">
        <x:v>5430</x:v>
      </x:c>
      <x:c r="F31" s="18" t="n">
        <x:v>43895.67</x:v>
      </x:c>
    </x:row>
    <x:row r="32">
      <x:c r="A32" s="14" t="str">
        <x:v>站点</x:v>
      </x:c>
      <x:c r="B32" s="15" t="str">
        <x:v>印度尼西亚</x:v>
      </x:c>
      <x:c r="C32" s="16" t="n">
        <x:v>46053</x:v>
      </x:c>
      <x:c r="D32" s="17" t="n">
        <x:v>3172</x:v>
      </x:c>
      <x:c r="E32" s="17" t="n">
        <x:v>5513</x:v>
      </x:c>
      <x:c r="F32" s="18" t="n">
        <x:v>40852.94</x:v>
      </x:c>
    </x:row>
    <x:row r="33">
      <x:c r="A33" s="14" t="str">
        <x:v>站点</x:v>
      </x:c>
      <x:c r="B33" s="15" t="str">
        <x:v>印度尼西亚</x:v>
      </x:c>
      <x:c r="C33" s="16" t="n">
        <x:v>46054</x:v>
      </x:c>
      <x:c r="D33" s="17" t="n">
        <x:v>2959</x:v>
      </x:c>
      <x:c r="E33" s="17" t="n">
        <x:v>5337</x:v>
      </x:c>
      <x:c r="F33" s="18" t="n">
        <x:v>41217.44</x:v>
      </x:c>
    </x:row>
    <x:row r="34">
      <x:c r="A34" s="14" t="str">
        <x:v>站点</x:v>
      </x:c>
      <x:c r="B34" s="15" t="str">
        <x:v>印度尼西亚</x:v>
      </x:c>
      <x:c r="C34" s="16" t="n">
        <x:v>46055</x:v>
      </x:c>
      <x:c r="D34" s="17" t="n">
        <x:v>3210</x:v>
      </x:c>
      <x:c r="E34" s="17" t="n">
        <x:v>5863</x:v>
      </x:c>
      <x:c r="F34" s="18" t="n">
        <x:v>45642.23</x:v>
      </x:c>
    </x:row>
    <x:row r="35">
      <x:c r="A35" s="14" t="str">
        <x:v>站点</x:v>
      </x:c>
      <x:c r="B35" s="15" t="str">
        <x:v>印度尼西亚</x:v>
      </x:c>
      <x:c r="C35" s="16" t="n">
        <x:v>46056</x:v>
      </x:c>
      <x:c r="D35" s="17" t="n">
        <x:v>3405</x:v>
      </x:c>
      <x:c r="E35" s="17" t="n">
        <x:v>5813</x:v>
      </x:c>
      <x:c r="F35" s="18" t="n">
        <x:v>49950.44</x:v>
      </x:c>
    </x:row>
    <x:row r="36">
      <x:c r="A36" s="14" t="str">
        <x:v>站点</x:v>
      </x:c>
      <x:c r="B36" s="15" t="str">
        <x:v>印度尼西亚</x:v>
      </x:c>
      <x:c r="C36" s="16" t="n">
        <x:v>46057</x:v>
      </x:c>
      <x:c r="D36" s="17" t="n">
        <x:v>2833</x:v>
      </x:c>
      <x:c r="E36" s="17" t="n">
        <x:v>4823</x:v>
      </x:c>
      <x:c r="F36" s="18" t="n">
        <x:v>38877.05</x:v>
      </x:c>
    </x:row>
    <x:row r="37">
      <x:c r="A37" s="14" t="str">
        <x:v>站点</x:v>
      </x:c>
      <x:c r="B37" s="15" t="str">
        <x:v>印度尼西亚</x:v>
      </x:c>
      <x:c r="C37" s="16" t="n">
        <x:v>46058</x:v>
      </x:c>
      <x:c r="D37" s="17" t="n">
        <x:v>2875</x:v>
      </x:c>
      <x:c r="E37" s="17" t="n">
        <x:v>4937</x:v>
      </x:c>
      <x:c r="F37" s="18" t="n">
        <x:v>39345.76</x:v>
      </x:c>
    </x:row>
    <x:row r="38">
      <x:c r="A38" s="14" t="str">
        <x:v>站点</x:v>
      </x:c>
      <x:c r="B38" s="15" t="str">
        <x:v>印度尼西亚</x:v>
      </x:c>
      <x:c r="C38" s="16" t="n">
        <x:v>46059</x:v>
      </x:c>
      <x:c r="D38" s="17" t="n">
        <x:v>2799</x:v>
      </x:c>
      <x:c r="E38" s="17" t="n">
        <x:v>4724</x:v>
      </x:c>
      <x:c r="F38" s="18" t="n">
        <x:v>37124.96</x:v>
      </x:c>
    </x:row>
    <x:row r="39">
      <x:c r="A39" s="14" t="str">
        <x:v>站点</x:v>
      </x:c>
      <x:c r="B39" s="15" t="str">
        <x:v>印度尼西亚</x:v>
      </x:c>
      <x:c r="C39" s="16" t="n">
        <x:v>46060</x:v>
      </x:c>
      <x:c r="D39" s="17" t="n">
        <x:v>2857</x:v>
      </x:c>
      <x:c r="E39" s="17" t="n">
        <x:v>4775</x:v>
      </x:c>
      <x:c r="F39" s="18" t="n">
        <x:v>39424.59</x:v>
      </x:c>
    </x:row>
    <x:row r="40">
      <x:c r="A40" s="14" t="str">
        <x:v>站点</x:v>
      </x:c>
      <x:c r="B40" s="15" t="str">
        <x:v>印度尼西亚</x:v>
      </x:c>
      <x:c r="C40" s="16" t="n">
        <x:v>46061</x:v>
      </x:c>
      <x:c r="D40" s="17" t="n">
        <x:v>2881</x:v>
      </x:c>
      <x:c r="E40" s="17" t="n">
        <x:v>4849</x:v>
      </x:c>
      <x:c r="F40" s="18" t="n">
        <x:v>39816.53</x:v>
      </x:c>
    </x:row>
    <x:row r="41">
      <x:c r="A41" s="14" t="str">
        <x:v>站点</x:v>
      </x:c>
      <x:c r="B41" s="15" t="str">
        <x:v>印度尼西亚</x:v>
      </x:c>
      <x:c r="C41" s="16" t="n">
        <x:v>46062</x:v>
      </x:c>
      <x:c r="D41" s="17" t="n">
        <x:v>2710</x:v>
      </x:c>
      <x:c r="E41" s="17" t="n">
        <x:v>4681</x:v>
      </x:c>
      <x:c r="F41" s="18" t="n">
        <x:v>37511.45</x:v>
      </x:c>
    </x:row>
    <x:row r="42">
      <x:c r="A42" s="14" t="str">
        <x:v>站点</x:v>
      </x:c>
      <x:c r="B42" s="15" t="str">
        <x:v>印度尼西亚</x:v>
      </x:c>
      <x:c r="C42" s="16" t="n">
        <x:v>46063</x:v>
      </x:c>
      <x:c r="D42" s="17" t="n">
        <x:v>2468</x:v>
      </x:c>
      <x:c r="E42" s="17" t="n">
        <x:v>4116</x:v>
      </x:c>
      <x:c r="F42" s="18" t="n">
        <x:v>32859.69</x:v>
      </x:c>
    </x:row>
    <x:row r="43">
      <x:c r="A43" s="14" t="str">
        <x:v>站点</x:v>
      </x:c>
      <x:c r="B43" s="15" t="str">
        <x:v>印度尼西亚</x:v>
      </x:c>
      <x:c r="C43" s="16" t="n">
        <x:v>46064</x:v>
      </x:c>
      <x:c r="D43" s="17" t="n">
        <x:v>2350</x:v>
      </x:c>
      <x:c r="E43" s="17" t="n">
        <x:v>3983</x:v>
      </x:c>
      <x:c r="F43" s="18" t="n">
        <x:v>30684.87</x:v>
      </x:c>
    </x:row>
    <x:row r="44">
      <x:c r="A44" s="14" t="str">
        <x:v>站点</x:v>
      </x:c>
      <x:c r="B44" s="15" t="str">
        <x:v>印度尼西亚</x:v>
      </x:c>
      <x:c r="C44" s="16" t="n">
        <x:v>46065</x:v>
      </x:c>
      <x:c r="D44" s="17" t="n">
        <x:v>2573</x:v>
      </x:c>
      <x:c r="E44" s="17" t="n">
        <x:v>4195</x:v>
      </x:c>
      <x:c r="F44" s="18" t="n">
        <x:v>33267.9</x:v>
      </x:c>
    </x:row>
    <x:row r="45">
      <x:c r="A45" s="14" t="str">
        <x:v>站点</x:v>
      </x:c>
      <x:c r="B45" s="15" t="str">
        <x:v>印度尼西亚</x:v>
      </x:c>
      <x:c r="C45" s="16" t="n">
        <x:v>46066</x:v>
      </x:c>
      <x:c r="D45" s="17" t="n">
        <x:v>2483</x:v>
      </x:c>
      <x:c r="E45" s="17" t="n">
        <x:v>3904</x:v>
      </x:c>
      <x:c r="F45" s="18" t="n">
        <x:v>30645.35</x:v>
      </x:c>
    </x:row>
    <x:row r="46">
      <x:c r="A46" s="14" t="str">
        <x:v>站点</x:v>
      </x:c>
      <x:c r="B46" s="15" t="str">
        <x:v>印度尼西亚</x:v>
      </x:c>
      <x:c r="C46" s="16" t="n">
        <x:v>46067</x:v>
      </x:c>
      <x:c r="D46" s="17" t="n">
        <x:v>2732</x:v>
      </x:c>
      <x:c r="E46" s="17" t="n">
        <x:v>4187</x:v>
      </x:c>
      <x:c r="F46" s="18" t="n">
        <x:v>32389.41</x:v>
      </x:c>
    </x:row>
    <x:row r="47">
      <x:c r="A47" s="14" t="str">
        <x:v>站点</x:v>
      </x:c>
      <x:c r="B47" s="15" t="str">
        <x:v>印度尼西亚</x:v>
      </x:c>
      <x:c r="C47" s="16" t="n">
        <x:v>46068</x:v>
      </x:c>
      <x:c r="D47" s="17" t="n">
        <x:v>2599</x:v>
      </x:c>
      <x:c r="E47" s="17" t="n">
        <x:v>4094</x:v>
      </x:c>
      <x:c r="F47" s="18" t="n">
        <x:v>31565.26</x:v>
      </x:c>
    </x:row>
    <x:row r="48">
      <x:c r="A48" s="14" t="str">
        <x:v>站点</x:v>
      </x:c>
      <x:c r="B48" s="15" t="str">
        <x:v>印度尼西亚</x:v>
      </x:c>
      <x:c r="C48" s="16" t="n">
        <x:v>46069</x:v>
      </x:c>
      <x:c r="D48" s="17" t="n">
        <x:v>2767</x:v>
      </x:c>
      <x:c r="E48" s="17" t="n">
        <x:v>4352</x:v>
      </x:c>
      <x:c r="F48" s="18" t="n">
        <x:v>35859.46</x:v>
      </x:c>
    </x:row>
    <x:row r="49">
      <x:c r="A49" s="14" t="str">
        <x:v>站点</x:v>
      </x:c>
      <x:c r="B49" s="15" t="str">
        <x:v>印度尼西亚</x:v>
      </x:c>
      <x:c r="C49" s="16" t="n">
        <x:v>46070</x:v>
      </x:c>
      <x:c r="D49" s="17" t="n">
        <x:v>2819</x:v>
      </x:c>
      <x:c r="E49" s="17" t="n">
        <x:v>4437</x:v>
      </x:c>
      <x:c r="F49" s="18" t="n">
        <x:v>34838.65</x:v>
      </x:c>
    </x:row>
    <x:row r="50">
      <x:c r="A50" s="14" t="str">
        <x:v>站点</x:v>
      </x:c>
      <x:c r="B50" s="15" t="str">
        <x:v>印度尼西亚</x:v>
      </x:c>
      <x:c r="C50" s="16" t="n">
        <x:v>46071</x:v>
      </x:c>
      <x:c r="D50" s="17" t="n">
        <x:v>2698</x:v>
      </x:c>
      <x:c r="E50" s="17" t="n">
        <x:v>4225</x:v>
      </x:c>
      <x:c r="F50" s="18" t="n">
        <x:v>32216.64</x:v>
      </x:c>
    </x:row>
    <x:row r="51">
      <x:c r="A51" s="14" t="str">
        <x:v>站点</x:v>
      </x:c>
      <x:c r="B51" s="15" t="str">
        <x:v>印度尼西亚</x:v>
      </x:c>
      <x:c r="C51" s="16" t="n">
        <x:v>46072</x:v>
      </x:c>
      <x:c r="D51" s="17" t="n">
        <x:v>2823</x:v>
      </x:c>
      <x:c r="E51" s="17" t="n">
        <x:v>4283</x:v>
      </x:c>
      <x:c r="F51" s="18" t="n">
        <x:v>32766.65</x:v>
      </x:c>
    </x:row>
    <x:row r="52">
      <x:c r="A52" s="14" t="str">
        <x:v>站点</x:v>
      </x:c>
      <x:c r="B52" s="15" t="str">
        <x:v>印度尼西亚</x:v>
      </x:c>
      <x:c r="C52" s="16" t="n">
        <x:v>46073</x:v>
      </x:c>
      <x:c r="D52" s="17" t="n">
        <x:v>2257</x:v>
      </x:c>
      <x:c r="E52" s="17" t="n">
        <x:v>3659</x:v>
      </x:c>
      <x:c r="F52" s="18" t="n">
        <x:v>27563.98</x:v>
      </x:c>
    </x:row>
    <x:row r="53">
      <x:c r="A53" s="14" t="str">
        <x:v>站点</x:v>
      </x:c>
      <x:c r="B53" s="15" t="str">
        <x:v>印度尼西亚</x:v>
      </x:c>
      <x:c r="C53" s="16" t="n">
        <x:v>46074</x:v>
      </x:c>
      <x:c r="D53" s="17" t="n">
        <x:v>2394</x:v>
      </x:c>
      <x:c r="E53" s="17" t="n">
        <x:v>4146</x:v>
      </x:c>
      <x:c r="F53" s="18" t="n">
        <x:v>32910.47</x:v>
      </x:c>
    </x:row>
    <x:row r="54">
      <x:c r="A54" s="14" t="str">
        <x:v>站点</x:v>
      </x:c>
      <x:c r="B54" s="15" t="str">
        <x:v>印度尼西亚</x:v>
      </x:c>
      <x:c r="C54" s="16" t="n">
        <x:v>46075</x:v>
      </x:c>
      <x:c r="D54" s="17" t="n">
        <x:v>2345</x:v>
      </x:c>
      <x:c r="E54" s="17" t="n">
        <x:v>3985</x:v>
      </x:c>
      <x:c r="F54" s="18" t="n">
        <x:v>33828.37</x:v>
      </x:c>
    </x:row>
    <x:row r="55">
      <x:c r="A55" s="14" t="str">
        <x:v>站点</x:v>
      </x:c>
      <x:c r="B55" s="15" t="str">
        <x:v>印度尼西亚</x:v>
      </x:c>
      <x:c r="C55" s="16" t="n">
        <x:v>46076</x:v>
      </x:c>
      <x:c r="D55" s="17" t="n">
        <x:v>2650</x:v>
      </x:c>
      <x:c r="E55" s="17" t="n">
        <x:v>4265</x:v>
      </x:c>
      <x:c r="F55" s="18" t="n">
        <x:v>36539.8</x:v>
      </x:c>
    </x:row>
    <x:row r="56">
      <x:c r="A56" s="14" t="str">
        <x:v>站点</x:v>
      </x:c>
      <x:c r="B56" s="15" t="str">
        <x:v>印度尼西亚</x:v>
      </x:c>
      <x:c r="C56" s="16" t="n">
        <x:v>46077</x:v>
      </x:c>
      <x:c r="D56" s="17" t="n">
        <x:v>2661</x:v>
      </x:c>
      <x:c r="E56" s="17" t="n">
        <x:v>4435</x:v>
      </x:c>
      <x:c r="F56" s="18" t="n">
        <x:v>40016.08</x:v>
      </x:c>
    </x:row>
    <x:row r="57">
      <x:c r="A57" s="14" t="str">
        <x:v>站点</x:v>
      </x:c>
      <x:c r="B57" s="15" t="str">
        <x:v>印度尼西亚</x:v>
      </x:c>
      <x:c r="C57" s="16" t="n">
        <x:v>46078</x:v>
      </x:c>
      <x:c r="D57" s="17" t="n">
        <x:v>3051</x:v>
      </x:c>
      <x:c r="E57" s="17" t="n">
        <x:v>5102</x:v>
      </x:c>
      <x:c r="F57" s="18" t="n">
        <x:v>48881.38</x:v>
      </x:c>
    </x:row>
    <x:row r="58">
      <x:c r="A58" s="14" t="str">
        <x:v>站点</x:v>
      </x:c>
      <x:c r="B58" s="15" t="str">
        <x:v>印度尼西亚</x:v>
      </x:c>
      <x:c r="C58" s="16" t="n">
        <x:v>46079</x:v>
      </x:c>
      <x:c r="D58" s="17" t="n">
        <x:v>2542</x:v>
      </x:c>
      <x:c r="E58" s="17" t="n">
        <x:v>4390</x:v>
      </x:c>
      <x:c r="F58" s="18" t="n">
        <x:v>37614.79</x:v>
      </x:c>
    </x:row>
    <x:row r="59">
      <x:c r="A59" s="14" t="str">
        <x:v>站点</x:v>
      </x:c>
      <x:c r="B59" s="15" t="str">
        <x:v>印度尼西亚</x:v>
      </x:c>
      <x:c r="C59" s="16" t="n">
        <x:v>46080</x:v>
      </x:c>
      <x:c r="D59" s="17" t="n">
        <x:v>3190</x:v>
      </x:c>
      <x:c r="E59" s="17" t="n">
        <x:v>5363</x:v>
      </x:c>
      <x:c r="F59" s="18" t="n">
        <x:v>44466.49</x:v>
      </x:c>
    </x:row>
    <x:row r="60">
      <x:c r="A60" s="14" t="str">
        <x:v>站点</x:v>
      </x:c>
      <x:c r="B60" s="15" t="str">
        <x:v>印度尼西亚</x:v>
      </x:c>
      <x:c r="C60" s="16" t="n">
        <x:v>46081</x:v>
      </x:c>
      <x:c r="D60" s="17" t="n">
        <x:v>2868</x:v>
      </x:c>
      <x:c r="E60" s="17" t="n">
        <x:v>4731</x:v>
      </x:c>
      <x:c r="F60" s="18" t="n">
        <x:v>34014.68</x:v>
      </x:c>
    </x:row>
    <x:row r="61">
      <x:c r="A61" s="14" t="str">
        <x:v>站点</x:v>
      </x:c>
      <x:c r="B61" s="15" t="str">
        <x:v>印度尼西亚</x:v>
      </x:c>
      <x:c r="C61" s="16" t="n">
        <x:v>46082</x:v>
      </x:c>
      <x:c r="D61" s="17" t="n">
        <x:v>2996</x:v>
      </x:c>
      <x:c r="E61" s="17" t="n">
        <x:v>4798</x:v>
      </x:c>
      <x:c r="F61" s="18" t="n">
        <x:v>39455.76</x:v>
      </x:c>
    </x:row>
    <x:row r="62">
      <x:c r="A62" s="14" t="str">
        <x:v>站点</x:v>
      </x:c>
      <x:c r="B62" s="15" t="str">
        <x:v>印度尼西亚</x:v>
      </x:c>
      <x:c r="C62" s="16" t="n">
        <x:v>46083</x:v>
      </x:c>
      <x:c r="D62" s="17" t="n">
        <x:v>2646</x:v>
      </x:c>
      <x:c r="E62" s="17" t="n">
        <x:v>4244</x:v>
      </x:c>
      <x:c r="F62" s="18" t="n">
        <x:v>35326.36</x:v>
      </x:c>
    </x:row>
    <x:row r="63">
      <x:c r="A63" s="14" t="str">
        <x:v>站点</x:v>
      </x:c>
      <x:c r="B63" s="15" t="str">
        <x:v>印度尼西亚</x:v>
      </x:c>
      <x:c r="C63" s="16" t="n">
        <x:v>46084</x:v>
      </x:c>
      <x:c r="D63" s="17" t="n">
        <x:v>2715</x:v>
      </x:c>
      <x:c r="E63" s="17" t="n">
        <x:v>4369</x:v>
      </x:c>
      <x:c r="F63" s="18" t="n">
        <x:v>36006.2</x:v>
      </x:c>
    </x:row>
    <x:row r="64">
      <x:c r="A64" s="14" t="str">
        <x:v>站点</x:v>
      </x:c>
      <x:c r="B64" s="15" t="str">
        <x:v>印度尼西亚</x:v>
      </x:c>
      <x:c r="C64" s="16" t="n">
        <x:v>46085</x:v>
      </x:c>
      <x:c r="D64" s="17" t="n">
        <x:v>2598</x:v>
      </x:c>
      <x:c r="E64" s="17" t="n">
        <x:v>4292</x:v>
      </x:c>
      <x:c r="F64" s="18" t="n">
        <x:v>36597.23</x:v>
      </x:c>
    </x:row>
    <x:row r="65">
      <x:c r="A65" s="14" t="str">
        <x:v>站点</x:v>
      </x:c>
      <x:c r="B65" s="15" t="str">
        <x:v>印度尼西亚</x:v>
      </x:c>
      <x:c r="C65" s="16" t="n">
        <x:v>46086</x:v>
      </x:c>
      <x:c r="D65" s="17" t="n">
        <x:v>2374</x:v>
      </x:c>
      <x:c r="E65" s="17" t="n">
        <x:v>3814</x:v>
      </x:c>
      <x:c r="F65" s="18" t="n">
        <x:v>32509.05</x:v>
      </x:c>
    </x:row>
    <x:row r="66">
      <x:c r="A66" s="14" t="str">
        <x:v>站点</x:v>
      </x:c>
      <x:c r="B66" s="15" t="str">
        <x:v>印度尼西亚</x:v>
      </x:c>
      <x:c r="C66" s="16" t="n">
        <x:v>46087</x:v>
      </x:c>
      <x:c r="D66" s="17" t="n">
        <x:v>2517</x:v>
      </x:c>
      <x:c r="E66" s="17" t="n">
        <x:v>3894</x:v>
      </x:c>
      <x:c r="F66" s="18" t="n">
        <x:v>33259.13</x:v>
      </x:c>
    </x:row>
    <x:row r="67">
      <x:c r="A67" s="14" t="str">
        <x:v>站点</x:v>
      </x:c>
      <x:c r="B67" s="15" t="str">
        <x:v>印度尼西亚</x:v>
      </x:c>
      <x:c r="C67" s="16" t="n">
        <x:v>46088</x:v>
      </x:c>
      <x:c r="D67" s="17" t="n">
        <x:v>2543</x:v>
      </x:c>
      <x:c r="E67" s="17" t="n">
        <x:v>3851</x:v>
      </x:c>
      <x:c r="F67" s="18" t="n">
        <x:v>33820.26</x:v>
      </x:c>
    </x:row>
    <x:row r="68">
      <x:c r="A68" s="14" t="str">
        <x:v>站点</x:v>
      </x:c>
      <x:c r="B68" s="15" t="str">
        <x:v>印度尼西亚</x:v>
      </x:c>
      <x:c r="C68" s="16" t="n">
        <x:v>46089</x:v>
      </x:c>
      <x:c r="D68" s="17" t="n">
        <x:v>2598</x:v>
      </x:c>
      <x:c r="E68" s="17" t="n">
        <x:v>4329</x:v>
      </x:c>
      <x:c r="F68" s="18" t="n">
        <x:v>36118.62</x:v>
      </x:c>
    </x:row>
    <x:row r="69">
      <x:c r="A69" s="14" t="str">
        <x:v>站点</x:v>
      </x:c>
      <x:c r="B69" s="15" t="str">
        <x:v>印度尼西亚</x:v>
      </x:c>
      <x:c r="C69" s="16" t="n">
        <x:v>46090</x:v>
      </x:c>
      <x:c r="D69" s="17" t="n">
        <x:v>2064</x:v>
      </x:c>
      <x:c r="E69" s="17" t="n">
        <x:v>3761</x:v>
      </x:c>
      <x:c r="F69" s="18" t="n">
        <x:v>30802.26</x:v>
      </x:c>
    </x:row>
    <x:row r="70">
      <x:c r="A70" s="14" t="str">
        <x:v>站点</x:v>
      </x:c>
      <x:c r="B70" s="15" t="str">
        <x:v>印度尼西亚</x:v>
      </x:c>
      <x:c r="C70" s="16" t="n">
        <x:v>46091</x:v>
      </x:c>
      <x:c r="D70" s="17" t="n">
        <x:v>2271</x:v>
      </x:c>
      <x:c r="E70" s="17" t="n">
        <x:v>3740</x:v>
      </x:c>
      <x:c r="F70" s="18" t="n">
        <x:v>31105.75</x:v>
      </x:c>
    </x:row>
    <x:row r="71">
      <x:c r="A71" s="14" t="str">
        <x:v>站点</x:v>
      </x:c>
      <x:c r="B71" s="15" t="str">
        <x:v>印度尼西亚</x:v>
      </x:c>
      <x:c r="C71" s="16" t="n">
        <x:v>46092</x:v>
      </x:c>
      <x:c r="D71" s="17" t="n">
        <x:v>1855</x:v>
      </x:c>
      <x:c r="E71" s="17" t="n">
        <x:v>3053</x:v>
      </x:c>
      <x:c r="F71" s="18" t="n">
        <x:v>24352.46</x:v>
      </x:c>
    </x:row>
    <x:row r="72">
      <x:c r="A72" s="14" t="str">
        <x:v>站点</x:v>
      </x:c>
      <x:c r="B72" s="15" t="str">
        <x:v>印度尼西亚</x:v>
      </x:c>
      <x:c r="C72" s="16" t="n">
        <x:v>46093</x:v>
      </x:c>
      <x:c r="D72" s="17" t="n">
        <x:v>1677</x:v>
      </x:c>
      <x:c r="E72" s="17" t="n">
        <x:v>2748</x:v>
      </x:c>
      <x:c r="F72" s="18" t="n">
        <x:v>22600.39</x:v>
      </x:c>
    </x:row>
    <x:row r="73">
      <x:c r="A73" s="14" t="str">
        <x:v>站点</x:v>
      </x:c>
      <x:c r="B73" s="15" t="str">
        <x:v>印度尼西亚</x:v>
      </x:c>
      <x:c r="C73" s="16" t="n">
        <x:v>46094</x:v>
      </x:c>
      <x:c r="D73" s="17" t="n">
        <x:v>1465</x:v>
      </x:c>
      <x:c r="E73" s="17" t="n">
        <x:v>2556</x:v>
      </x:c>
      <x:c r="F73" s="18" t="n">
        <x:v>20519.81</x:v>
      </x:c>
    </x:row>
    <x:row r="74">
      <x:c r="A74" s="14" t="str">
        <x:v>站点</x:v>
      </x:c>
      <x:c r="B74" s="15" t="str">
        <x:v>印度尼西亚</x:v>
      </x:c>
      <x:c r="C74" s="16" t="n">
        <x:v>46095</x:v>
      </x:c>
      <x:c r="D74" s="17" t="n">
        <x:v>1333</x:v>
      </x:c>
      <x:c r="E74" s="17" t="n">
        <x:v>2141</x:v>
      </x:c>
      <x:c r="F74" s="18" t="n">
        <x:v>17196.92</x:v>
      </x:c>
    </x:row>
    <x:row r="75">
      <x:c r="A75" s="14" t="str">
        <x:v>站点</x:v>
      </x:c>
      <x:c r="B75" s="15" t="str">
        <x:v>印度尼西亚</x:v>
      </x:c>
      <x:c r="C75" s="16" t="n">
        <x:v>46096</x:v>
      </x:c>
      <x:c r="D75" s="17" t="n">
        <x:v>1425</x:v>
      </x:c>
      <x:c r="E75" s="17" t="n">
        <x:v>2402</x:v>
      </x:c>
      <x:c r="F75" s="18" t="n">
        <x:v>19685.49</x:v>
      </x:c>
    </x:row>
    <x:row r="76">
      <x:c r="A76" s="14" t="str">
        <x:v>站点</x:v>
      </x:c>
      <x:c r="B76" s="15" t="str">
        <x:v>印度尼西亚</x:v>
      </x:c>
      <x:c r="C76" s="16" t="n">
        <x:v>46097</x:v>
      </x:c>
      <x:c r="D76" s="17" t="n">
        <x:v>1288</x:v>
      </x:c>
      <x:c r="E76" s="17" t="n">
        <x:v>2313</x:v>
      </x:c>
      <x:c r="F76" s="18" t="n">
        <x:v>17129.19</x:v>
      </x:c>
    </x:row>
    <x:row r="77">
      <x:c r="A77" s="14" t="str">
        <x:v>站点</x:v>
      </x:c>
      <x:c r="B77" s="15" t="str">
        <x:v>印度尼西亚</x:v>
      </x:c>
      <x:c r="C77" s="16" t="n">
        <x:v>46098</x:v>
      </x:c>
      <x:c r="D77" s="17" t="n">
        <x:v>1139</x:v>
      </x:c>
      <x:c r="E77" s="17" t="n">
        <x:v>1920</x:v>
      </x:c>
      <x:c r="F77" s="18" t="n">
        <x:v>15038.35</x:v>
      </x:c>
    </x:row>
    <x:row r="78">
      <x:c r="A78" s="14" t="str">
        <x:v>站点</x:v>
      </x:c>
      <x:c r="B78" s="15" t="str">
        <x:v>印度尼西亚</x:v>
      </x:c>
      <x:c r="C78" s="16" t="n">
        <x:v>46099</x:v>
      </x:c>
      <x:c r="D78" s="17" t="n">
        <x:v>927</x:v>
      </x:c>
      <x:c r="E78" s="17" t="n">
        <x:v>1689</x:v>
      </x:c>
      <x:c r="F78" s="18" t="n">
        <x:v>12265.19</x:v>
      </x:c>
    </x:row>
    <x:row r="79">
      <x:c r="A79" s="14" t="str">
        <x:v>站点</x:v>
      </x:c>
      <x:c r="B79" s="15" t="str">
        <x:v>印度尼西亚</x:v>
      </x:c>
      <x:c r="C79" s="16" t="n">
        <x:v>46100</x:v>
      </x:c>
      <x:c r="D79" s="17" t="n">
        <x:v>745</x:v>
      </x:c>
      <x:c r="E79" s="17" t="n">
        <x:v>1435</x:v>
      </x:c>
      <x:c r="F79" s="18" t="n">
        <x:v>10748.93</x:v>
      </x:c>
    </x:row>
    <x:row r="80">
      <x:c r="A80" s="14" t="str">
        <x:v>站点</x:v>
      </x:c>
      <x:c r="B80" s="15" t="str">
        <x:v>印度尼西亚</x:v>
      </x:c>
      <x:c r="C80" s="16" t="n">
        <x:v>46101</x:v>
      </x:c>
      <x:c r="D80" s="17" t="n">
        <x:v>811</x:v>
      </x:c>
      <x:c r="E80" s="17" t="n">
        <x:v>1456</x:v>
      </x:c>
      <x:c r="F80" s="18" t="n">
        <x:v>10784.35</x:v>
      </x:c>
    </x:row>
    <x:row r="81">
      <x:c r="A81" s="14" t="str">
        <x:v>站点</x:v>
      </x:c>
      <x:c r="B81" s="15" t="str">
        <x:v>印度尼西亚</x:v>
      </x:c>
      <x:c r="C81" s="16" t="n">
        <x:v>46102</x:v>
      </x:c>
      <x:c r="D81" s="17" t="n">
        <x:v>905</x:v>
      </x:c>
      <x:c r="E81" s="17" t="n">
        <x:v>1523</x:v>
      </x:c>
      <x:c r="F81" s="18" t="n">
        <x:v>11010.67</x:v>
      </x:c>
    </x:row>
    <x:row r="82">
      <x:c r="A82" s="14" t="str">
        <x:v>站点</x:v>
      </x:c>
      <x:c r="B82" s="15" t="str">
        <x:v>印度尼西亚</x:v>
      </x:c>
      <x:c r="C82" s="16" t="n">
        <x:v>46103</x:v>
      </x:c>
      <x:c r="D82" s="17" t="n">
        <x:v>4774</x:v>
      </x:c>
      <x:c r="E82" s="17" t="n">
        <x:v>5638</x:v>
      </x:c>
      <x:c r="F82" s="18" t="n">
        <x:v>41885.95</x:v>
      </x:c>
    </x:row>
    <x:row r="83">
      <x:c r="A83" s="14" t="str">
        <x:v>站点</x:v>
      </x:c>
      <x:c r="B83" s="15" t="str">
        <x:v>印度尼西亚</x:v>
      </x:c>
      <x:c r="C83" s="16" t="n">
        <x:v>46104</x:v>
      </x:c>
      <x:c r="D83" s="17" t="n">
        <x:v>5336</x:v>
      </x:c>
      <x:c r="E83" s="17" t="n">
        <x:v>6719</x:v>
      </x:c>
      <x:c r="F83" s="18" t="n">
        <x:v>52990.48</x:v>
      </x:c>
    </x:row>
    <x:row r="84">
      <x:c r="A84" s="14" t="str">
        <x:v>站点</x:v>
      </x:c>
      <x:c r="B84" s="15" t="str">
        <x:v>印度尼西亚</x:v>
      </x:c>
      <x:c r="C84" s="16" t="n">
        <x:v>46105</x:v>
      </x:c>
      <x:c r="D84" s="17" t="n">
        <x:v>4219</x:v>
      </x:c>
      <x:c r="E84" s="17" t="n">
        <x:v>5734</x:v>
      </x:c>
      <x:c r="F84" s="18" t="n">
        <x:v>45166.02</x:v>
      </x:c>
    </x:row>
    <x:row r="85">
      <x:c r="A85" s="14" t="str">
        <x:v>站点</x:v>
      </x:c>
      <x:c r="B85" s="15" t="str">
        <x:v>印度尼西亚</x:v>
      </x:c>
      <x:c r="C85" s="16" t="n">
        <x:v>46106</x:v>
      </x:c>
      <x:c r="D85" s="17" t="n">
        <x:v>5918</x:v>
      </x:c>
      <x:c r="E85" s="17" t="n">
        <x:v>7821</x:v>
      </x:c>
      <x:c r="F85" s="18" t="n">
        <x:v>64494.88</x:v>
      </x:c>
    </x:row>
    <x:row r="86">
      <x:c r="A86" s="14" t="str">
        <x:v>站点</x:v>
      </x:c>
      <x:c r="B86" s="15" t="str">
        <x:v>印度尼西亚</x:v>
      </x:c>
      <x:c r="C86" s="16" t="n">
        <x:v>46107</x:v>
      </x:c>
      <x:c r="D86" s="17" t="n">
        <x:v>4894</x:v>
      </x:c>
      <x:c r="E86" s="17" t="n">
        <x:v>6522</x:v>
      </x:c>
      <x:c r="F86" s="18" t="n">
        <x:v>52042.6</x:v>
      </x:c>
    </x:row>
    <x:row r="87">
      <x:c r="A87" s="14" t="str">
        <x:v>站点</x:v>
      </x:c>
      <x:c r="B87" s="15" t="str">
        <x:v>印度尼西亚</x:v>
      </x:c>
      <x:c r="C87" s="16" t="n">
        <x:v>46108</x:v>
      </x:c>
      <x:c r="D87" s="17" t="n">
        <x:v>3675</x:v>
      </x:c>
      <x:c r="E87" s="17" t="n">
        <x:v>5247</x:v>
      </x:c>
      <x:c r="F87" s="18" t="n">
        <x:v>40534.91</x:v>
      </x:c>
    </x:row>
    <x:row r="88">
      <x:c r="A88" s="14" t="str">
        <x:v>站点</x:v>
      </x:c>
      <x:c r="B88" s="15" t="str">
        <x:v>印度尼西亚</x:v>
      </x:c>
      <x:c r="C88" s="16" t="n">
        <x:v>46109</x:v>
      </x:c>
      <x:c r="D88" s="17" t="n">
        <x:v>1601</x:v>
      </x:c>
      <x:c r="E88" s="17" t="n">
        <x:v>2807</x:v>
      </x:c>
      <x:c r="F88" s="18" t="n">
        <x:v>20424.08</x:v>
      </x:c>
    </x:row>
    <x:row r="89">
      <x:c r="A89" s="14" t="str">
        <x:v>站点</x:v>
      </x:c>
      <x:c r="B89" s="15" t="str">
        <x:v>印度尼西亚</x:v>
      </x:c>
      <x:c r="C89" s="16" t="n">
        <x:v>46110</x:v>
      </x:c>
      <x:c r="D89" s="17" t="n">
        <x:v>5281</x:v>
      </x:c>
      <x:c r="E89" s="17" t="n">
        <x:v>7022</x:v>
      </x:c>
      <x:c r="F89" s="18" t="n">
        <x:v>57064.58</x:v>
      </x:c>
    </x:row>
    <x:row r="90">
      <x:c r="A90" s="14" t="str">
        <x:v>站点</x:v>
      </x:c>
      <x:c r="B90" s="15" t="str">
        <x:v>印度尼西亚</x:v>
      </x:c>
      <x:c r="C90" s="16" t="n">
        <x:v>46111</x:v>
      </x:c>
      <x:c r="D90" s="17" t="n">
        <x:v>4882</x:v>
      </x:c>
      <x:c r="E90" s="17" t="n">
        <x:v>5867</x:v>
      </x:c>
      <x:c r="F90" s="18" t="n">
        <x:v>52048.71</x:v>
      </x:c>
    </x:row>
    <x:row r="91">
      <x:c r="A91" s="14" t="str">
        <x:v>站点</x:v>
      </x:c>
      <x:c r="B91" s="15" t="str">
        <x:v>印度尼西亚</x:v>
      </x:c>
      <x:c r="C91" s="16" t="n">
        <x:v>46112</x:v>
      </x:c>
      <x:c r="D91" s="17" t="n">
        <x:v>4892</x:v>
      </x:c>
      <x:c r="E91" s="17" t="n">
        <x:v>5976</x:v>
      </x:c>
      <x:c r="F91" s="18" t="n">
        <x:v>52591.13</x:v>
      </x:c>
    </x:row>
    <x:row r="92">
      <x:c r="A92" s="14" t="str">
        <x:v>站点</x:v>
      </x:c>
      <x:c r="B92" s="15" t="str">
        <x:v>印度尼西亚</x:v>
      </x:c>
      <x:c r="C92" s="16" t="n">
        <x:v>46113</x:v>
      </x:c>
      <x:c r="D92" s="17" t="n">
        <x:v>4056</x:v>
      </x:c>
      <x:c r="E92" s="17" t="n">
        <x:v>4952</x:v>
      </x:c>
      <x:c r="F92" s="18" t="n">
        <x:v>44972.49</x:v>
      </x:c>
    </x:row>
    <x:row r="93">
      <x:c r="A93" s="14" t="str">
        <x:v>站点</x:v>
      </x:c>
      <x:c r="B93" s="15" t="str">
        <x:v>印度尼西亚</x:v>
      </x:c>
      <x:c r="C93" s="16" t="n">
        <x:v>46114</x:v>
      </x:c>
      <x:c r="D93" s="17" t="n">
        <x:v>3695</x:v>
      </x:c>
      <x:c r="E93" s="17" t="n">
        <x:v>4464</x:v>
      </x:c>
      <x:c r="F93" s="18" t="n">
        <x:v>40527.36</x:v>
      </x:c>
    </x:row>
    <x:row r="94">
      <x:c r="A94" s="14" t="str">
        <x:v>站点</x:v>
      </x:c>
      <x:c r="B94" s="15" t="str">
        <x:v>印度尼西亚</x:v>
      </x:c>
      <x:c r="C94" s="16" t="n">
        <x:v>46115</x:v>
      </x:c>
      <x:c r="D94" s="17" t="n">
        <x:v>3405</x:v>
      </x:c>
      <x:c r="E94" s="17" t="n">
        <x:v>4156</x:v>
      </x:c>
      <x:c r="F94" s="18" t="n">
        <x:v>36800.62</x:v>
      </x:c>
    </x:row>
    <x:row r="95">
      <x:c r="A95" s="14" t="str">
        <x:v>站点</x:v>
      </x:c>
      <x:c r="B95" s="15" t="str">
        <x:v>印度尼西亚</x:v>
      </x:c>
      <x:c r="C95" s="16" t="n">
        <x:v>46116</x:v>
      </x:c>
      <x:c r="D95" s="17" t="n">
        <x:v>5169</x:v>
      </x:c>
      <x:c r="E95" s="17" t="n">
        <x:v>6008</x:v>
      </x:c>
      <x:c r="F95" s="18" t="n">
        <x:v>58318.01</x:v>
      </x:c>
    </x:row>
    <x:row r="96">
      <x:c r="A96" s="14" t="str">
        <x:v>站点</x:v>
      </x:c>
      <x:c r="B96" s="15" t="str">
        <x:v>印度尼西亚</x:v>
      </x:c>
      <x:c r="C96" s="16" t="n">
        <x:v>46117</x:v>
      </x:c>
      <x:c r="D96" s="17" t="n">
        <x:v>4821</x:v>
      </x:c>
      <x:c r="E96" s="17" t="n">
        <x:v>6205</x:v>
      </x:c>
      <x:c r="F96" s="18" t="n">
        <x:v>60109.69</x:v>
      </x:c>
    </x:row>
    <x:row r="97">
      <x:c r="A97" s="14" t="str">
        <x:v>站点</x:v>
      </x:c>
      <x:c r="B97" s="15" t="str">
        <x:v>印度尼西亚</x:v>
      </x:c>
      <x:c r="C97" s="16" t="n">
        <x:v>46118</x:v>
      </x:c>
      <x:c r="D97" s="17" t="n">
        <x:v>2817</x:v>
      </x:c>
      <x:c r="E97" s="17" t="n">
        <x:v>3429</x:v>
      </x:c>
      <x:c r="F97" s="18" t="n">
        <x:v>31787.24</x:v>
      </x:c>
    </x:row>
    <x:row r="98">
      <x:c r="A98" s="14" t="str">
        <x:v>站点</x:v>
      </x:c>
      <x:c r="B98" s="15" t="str">
        <x:v>印度尼西亚</x:v>
      </x:c>
      <x:c r="C98" s="16" t="n">
        <x:v>46119</x:v>
      </x:c>
      <x:c r="D98" s="17" t="n">
        <x:v>6503</x:v>
      </x:c>
      <x:c r="E98" s="17" t="n">
        <x:v>7078</x:v>
      </x:c>
      <x:c r="F98" s="18" t="n">
        <x:v>64849.05</x:v>
      </x:c>
    </x:row>
    <x:row r="99">
      <x:c r="A99" s="14" t="str">
        <x:v>站点</x:v>
      </x:c>
      <x:c r="B99" s="15" t="str">
        <x:v>印度尼西亚</x:v>
      </x:c>
      <x:c r="C99" s="16" t="n">
        <x:v>46120</x:v>
      </x:c>
      <x:c r="D99" s="17" t="n">
        <x:v>5155</x:v>
      </x:c>
      <x:c r="E99" s="17" t="n">
        <x:v>5814</x:v>
      </x:c>
      <x:c r="F99" s="18" t="n">
        <x:v>52789.79</x:v>
      </x:c>
    </x:row>
    <x:row r="100">
      <x:c r="A100" s="14" t="str">
        <x:v>站点</x:v>
      </x:c>
      <x:c r="B100" s="15" t="str">
        <x:v>印度尼西亚</x:v>
      </x:c>
      <x:c r="C100" s="16" t="n">
        <x:v>46121</x:v>
      </x:c>
      <x:c r="D100" s="17" t="n">
        <x:v>6037</x:v>
      </x:c>
      <x:c r="E100" s="17" t="n">
        <x:v>8501</x:v>
      </x:c>
      <x:c r="F100" s="18" t="n">
        <x:v>66893.11</x:v>
      </x:c>
    </x:row>
    <x:row r="101">
      <x:c r="A101" s="14" t="str">
        <x:v>站点</x:v>
      </x:c>
      <x:c r="B101" s="15" t="str">
        <x:v>印度尼西亚</x:v>
      </x:c>
      <x:c r="C101" s="16" t="n">
        <x:v>46122</x:v>
      </x:c>
      <x:c r="D101" s="17" t="n">
        <x:v>7571</x:v>
      </x:c>
      <x:c r="E101" s="17" t="n">
        <x:v>10035</x:v>
      </x:c>
      <x:c r="F101" s="18" t="n">
        <x:v>78876.76</x:v>
      </x:c>
    </x:row>
    <x:row r="102">
      <x:c r="A102" s="14" t="str">
        <x:v>站点</x:v>
      </x:c>
      <x:c r="B102" s="15" t="str">
        <x:v>印度尼西亚</x:v>
      </x:c>
      <x:c r="C102" s="16" t="n">
        <x:v>46123</x:v>
      </x:c>
      <x:c r="D102" s="17" t="n">
        <x:v>5853</x:v>
      </x:c>
      <x:c r="E102" s="17" t="n">
        <x:v>6602</x:v>
      </x:c>
      <x:c r="F102" s="18" t="n">
        <x:v>58655.2</x:v>
      </x:c>
    </x:row>
    <x:row r="103">
      <x:c r="A103" s="14" t="str">
        <x:v>站点</x:v>
      </x:c>
      <x:c r="B103" s="15" t="str">
        <x:v>印度尼西亚</x:v>
      </x:c>
      <x:c r="C103" s="16" t="n">
        <x:v>46124</x:v>
      </x:c>
      <x:c r="D103" s="17" t="n">
        <x:v>2301</x:v>
      </x:c>
      <x:c r="E103" s="17" t="n">
        <x:v>3074</x:v>
      </x:c>
      <x:c r="F103" s="18" t="n">
        <x:v>26014.07</x:v>
      </x:c>
    </x:row>
    <x:row r="104">
      <x:c r="A104" s="14" t="str">
        <x:v>站点</x:v>
      </x:c>
      <x:c r="B104" s="15" t="str">
        <x:v>印度尼西亚</x:v>
      </x:c>
      <x:c r="C104" s="16" t="n">
        <x:v>46125</x:v>
      </x:c>
      <x:c r="D104" s="17" t="n">
        <x:v>2964</x:v>
      </x:c>
      <x:c r="E104" s="17" t="n">
        <x:v>3764</x:v>
      </x:c>
      <x:c r="F104" s="18" t="n">
        <x:v>33940.99</x:v>
      </x:c>
    </x:row>
    <x:row r="105">
      <x:c r="A105" s="14" t="str">
        <x:v>站点</x:v>
      </x:c>
      <x:c r="B105" s="15" t="str">
        <x:v>印度尼西亚</x:v>
      </x:c>
      <x:c r="C105" s="16" t="n">
        <x:v>46126</x:v>
      </x:c>
      <x:c r="D105" s="17" t="n">
        <x:v>2205</x:v>
      </x:c>
      <x:c r="E105" s="17" t="n">
        <x:v>3082</x:v>
      </x:c>
      <x:c r="F105" s="18" t="n">
        <x:v>27676.08</x:v>
      </x:c>
    </x:row>
    <x:row r="106">
      <x:c r="A106" s="14" t="str">
        <x:v>站点</x:v>
      </x:c>
      <x:c r="B106" s="15" t="str">
        <x:v>印度尼西亚</x:v>
      </x:c>
      <x:c r="C106" s="16" t="n">
        <x:v>46127</x:v>
      </x:c>
      <x:c r="D106" s="17" t="n">
        <x:v>2265</x:v>
      </x:c>
      <x:c r="E106" s="17" t="n">
        <x:v>3445</x:v>
      </x:c>
      <x:c r="F106" s="18" t="n">
        <x:v>29289.29</x:v>
      </x:c>
    </x:row>
    <x:row r="107">
      <x:c r="A107" s="14" t="str">
        <x:v>站点</x:v>
      </x:c>
      <x:c r="B107" s="15" t="str">
        <x:v>印度尼西亚</x:v>
      </x:c>
      <x:c r="C107" s="16" t="n">
        <x:v>46128</x:v>
      </x:c>
      <x:c r="D107" s="17" t="n">
        <x:v>2259</x:v>
      </x:c>
      <x:c r="E107" s="17" t="n">
        <x:v>3500</x:v>
      </x:c>
      <x:c r="F107" s="18" t="n">
        <x:v>29568.78</x:v>
      </x:c>
    </x:row>
    <x:row r="108">
      <x:c r="A108" s="14" t="str">
        <x:v>站点</x:v>
      </x:c>
      <x:c r="B108" s="15" t="str">
        <x:v>印度尼西亚</x:v>
      </x:c>
      <x:c r="C108" s="16" t="n">
        <x:v>46129</x:v>
      </x:c>
      <x:c r="D108" s="17" t="n">
        <x:v>2701</x:v>
      </x:c>
      <x:c r="E108" s="17" t="n">
        <x:v>3954</x:v>
      </x:c>
      <x:c r="F108" s="18" t="n">
        <x:v>32086.69</x:v>
      </x:c>
    </x:row>
    <x:row r="109">
      <x:c r="A109" s="14" t="str">
        <x:v>站点</x:v>
      </x:c>
      <x:c r="B109" s="15" t="str">
        <x:v>印度尼西亚</x:v>
      </x:c>
      <x:c r="C109" s="16" t="n">
        <x:v>46130</x:v>
      </x:c>
      <x:c r="D109" s="17" t="n">
        <x:v>2268</x:v>
      </x:c>
      <x:c r="E109" s="17" t="n">
        <x:v>3630</x:v>
      </x:c>
      <x:c r="F109" s="18" t="n">
        <x:v>28424.01</x:v>
      </x:c>
    </x:row>
    <x:row r="110">
      <x:c r="A110" s="14" t="str">
        <x:v>站点</x:v>
      </x:c>
      <x:c r="B110" s="15" t="str">
        <x:v>印度尼西亚</x:v>
      </x:c>
      <x:c r="C110" s="16" t="n">
        <x:v>46131</x:v>
      </x:c>
      <x:c r="D110" s="17" t="n">
        <x:v>2436</x:v>
      </x:c>
      <x:c r="E110" s="17" t="n">
        <x:v>3890</x:v>
      </x:c>
      <x:c r="F110" s="18" t="n">
        <x:v>29442.69</x:v>
      </x:c>
    </x:row>
    <x:row r="111">
      <x:c r="A111" s="14" t="str">
        <x:v>站点</x:v>
      </x:c>
      <x:c r="B111" s="15" t="str">
        <x:v>印度尼西亚</x:v>
      </x:c>
      <x:c r="C111" s="16" t="n">
        <x:v>46132</x:v>
      </x:c>
      <x:c r="D111" s="17" t="n">
        <x:v>2193</x:v>
      </x:c>
      <x:c r="E111" s="17" t="n">
        <x:v>3480</x:v>
      </x:c>
      <x:c r="F111" s="18" t="n">
        <x:v>26303.45</x:v>
      </x:c>
    </x:row>
    <x:row r="112">
      <x:c r="A112" s="14" t="str">
        <x:v>站点</x:v>
      </x:c>
      <x:c r="B112" s="15" t="str">
        <x:v>印度尼西亚</x:v>
      </x:c>
      <x:c r="C112" s="16" t="n">
        <x:v>46133</x:v>
      </x:c>
      <x:c r="D112" s="17" t="n">
        <x:v>2183</x:v>
      </x:c>
      <x:c r="E112" s="17" t="n">
        <x:v>3712</x:v>
      </x:c>
      <x:c r="F112" s="18" t="n">
        <x:v>28043.4</x:v>
      </x:c>
    </x:row>
    <x:row r="113">
      <x:c r="A113" s="14" t="str">
        <x:v>站点</x:v>
      </x:c>
      <x:c r="B113" s="15" t="str">
        <x:v>印度尼西亚</x:v>
      </x:c>
      <x:c r="C113" s="16" t="n">
        <x:v>46134</x:v>
      </x:c>
      <x:c r="D113" s="17" t="n">
        <x:v>1912</x:v>
      </x:c>
      <x:c r="E113" s="17" t="n">
        <x:v>3417</x:v>
      </x:c>
      <x:c r="F113" s="18" t="n">
        <x:v>26033.96</x:v>
      </x:c>
    </x:row>
    <x:row r="114">
      <x:c r="A114" s="14" t="str">
        <x:v>站点</x:v>
      </x:c>
      <x:c r="B114" s="15" t="str">
        <x:v>印度尼西亚</x:v>
      </x:c>
      <x:c r="C114" s="16" t="n">
        <x:v>46135</x:v>
      </x:c>
      <x:c r="D114" s="17" t="n">
        <x:v>2665</x:v>
      </x:c>
      <x:c r="E114" s="17" t="n">
        <x:v>4562</x:v>
      </x:c>
      <x:c r="F114" s="18" t="n">
        <x:v>33657.75</x:v>
      </x:c>
    </x:row>
    <x:row r="115">
      <x:c r="A115" s="14" t="str">
        <x:v>站点</x:v>
      </x:c>
      <x:c r="B115" s="15" t="str">
        <x:v>印度尼西亚</x:v>
      </x:c>
      <x:c r="C115" s="16" t="n">
        <x:v>46136</x:v>
      </x:c>
      <x:c r="D115" s="17" t="n">
        <x:v>1832</x:v>
      </x:c>
      <x:c r="E115" s="17" t="n">
        <x:v>2815</x:v>
      </x:c>
      <x:c r="F115" s="18" t="n">
        <x:v>23322.66</x:v>
      </x:c>
    </x:row>
    <x:row r="116">
      <x:c r="A116" s="14" t="str">
        <x:v>站点</x:v>
      </x:c>
      <x:c r="B116" s="15" t="str">
        <x:v>印度尼西亚</x:v>
      </x:c>
      <x:c r="C116" s="16" t="n">
        <x:v>46137</x:v>
      </x:c>
      <x:c r="D116" s="17" t="n">
        <x:v>2108</x:v>
      </x:c>
      <x:c r="E116" s="17" t="n">
        <x:v>3343</x:v>
      </x:c>
      <x:c r="F116" s="18" t="n">
        <x:v>27827.01</x:v>
      </x:c>
    </x:row>
    <x:row r="117">
      <x:c r="A117" s="14" t="str">
        <x:v>站点</x:v>
      </x:c>
      <x:c r="B117" s="15" t="str">
        <x:v>印度尼西亚</x:v>
      </x:c>
      <x:c r="C117" s="16" t="n">
        <x:v>46138</x:v>
      </x:c>
      <x:c r="D117" s="17" t="n">
        <x:v>1745</x:v>
      </x:c>
      <x:c r="E117" s="17" t="n">
        <x:v>2676</x:v>
      </x:c>
      <x:c r="F117" s="18" t="n">
        <x:v>22207.28</x:v>
      </x:c>
    </x:row>
    <x:row r="118">
      <x:c r="A118" s="14" t="str">
        <x:v>站点</x:v>
      </x:c>
      <x:c r="B118" s="15" t="str">
        <x:v>印度尼西亚</x:v>
      </x:c>
      <x:c r="C118" s="16" t="n">
        <x:v>46139</x:v>
      </x:c>
      <x:c r="D118" s="17" t="n">
        <x:v>1861</x:v>
      </x:c>
      <x:c r="E118" s="17" t="n">
        <x:v>2630</x:v>
      </x:c>
      <x:c r="F118" s="18" t="n">
        <x:v>22969.82</x:v>
      </x:c>
    </x:row>
    <x:row r="119">
      <x:c r="A119" s="14" t="str">
        <x:v>站点</x:v>
      </x:c>
      <x:c r="B119" s="15" t="str">
        <x:v>印度尼西亚</x:v>
      </x:c>
      <x:c r="C119" s="16" t="n">
        <x:v>46140</x:v>
      </x:c>
      <x:c r="D119" s="17" t="n">
        <x:v>1914</x:v>
      </x:c>
      <x:c r="E119" s="17" t="n">
        <x:v>3510</x:v>
      </x:c>
      <x:c r="F119" s="18" t="n">
        <x:v>29091.72</x:v>
      </x:c>
    </x:row>
    <x:row r="120">
      <x:c r="A120" s="14" t="str">
        <x:v>站点</x:v>
      </x:c>
      <x:c r="B120" s="15" t="str">
        <x:v>印度尼西亚</x:v>
      </x:c>
      <x:c r="C120" s="16" t="n">
        <x:v>46141</x:v>
      </x:c>
      <x:c r="D120" s="17" t="n">
        <x:v>1833</x:v>
      </x:c>
      <x:c r="E120" s="17" t="n">
        <x:v>2818</x:v>
      </x:c>
      <x:c r="F120" s="18" t="n">
        <x:v>23711.33</x:v>
      </x:c>
    </x:row>
    <x:row r="121">
      <x:c r="A121" s="14" t="str">
        <x:v>站点</x:v>
      </x:c>
      <x:c r="B121" s="15" t="str">
        <x:v>印度尼西亚</x:v>
      </x:c>
      <x:c r="C121" s="16" t="n">
        <x:v>46142</x:v>
      </x:c>
      <x:c r="D121" s="17" t="n">
        <x:v>1681</x:v>
      </x:c>
      <x:c r="E121" s="17" t="n">
        <x:v>2680</x:v>
      </x:c>
      <x:c r="F121" s="18" t="n">
        <x:v>23838.95</x:v>
      </x:c>
    </x:row>
    <x:row r="122">
      <x:c r="A122" s="14" t="str">
        <x:v>站点</x:v>
      </x:c>
      <x:c r="B122" s="15" t="str">
        <x:v>印度尼西亚</x:v>
      </x:c>
      <x:c r="C122" s="16" t="n">
        <x:v>46143</x:v>
      </x:c>
      <x:c r="D122" s="17" t="n">
        <x:v>2243</x:v>
      </x:c>
      <x:c r="E122" s="17" t="n">
        <x:v>4103</x:v>
      </x:c>
      <x:c r="F122" s="18" t="n">
        <x:v>35054.66</x:v>
      </x:c>
    </x:row>
    <x:row r="123">
      <x:c r="A123" s="14" t="str">
        <x:v>站点</x:v>
      </x:c>
      <x:c r="B123" s="15" t="str">
        <x:v>印度尼西亚</x:v>
      </x:c>
      <x:c r="C123" s="16" t="n">
        <x:v>46144</x:v>
      </x:c>
      <x:c r="D123" s="17" t="n">
        <x:v>2237</x:v>
      </x:c>
      <x:c r="E123" s="17" t="n">
        <x:v>3441</x:v>
      </x:c>
      <x:c r="F123" s="18" t="n">
        <x:v>28679.24</x:v>
      </x:c>
    </x:row>
    <x:row r="124">
      <x:c r="A124" s="14" t="str">
        <x:v>站点</x:v>
      </x:c>
      <x:c r="B124" s="15" t="str">
        <x:v>印度尼西亚</x:v>
      </x:c>
      <x:c r="C124" s="16" t="n">
        <x:v>46145</x:v>
      </x:c>
      <x:c r="D124" s="17" t="n">
        <x:v>1678</x:v>
      </x:c>
      <x:c r="E124" s="17" t="n">
        <x:v>2517</x:v>
      </x:c>
      <x:c r="F124" s="18" t="n">
        <x:v>21262.42</x:v>
      </x:c>
    </x:row>
    <x:row r="125">
      <x:c r="A125" s="14" t="str">
        <x:v>站点</x:v>
      </x:c>
      <x:c r="B125" s="15" t="str">
        <x:v>印度尼西亚</x:v>
      </x:c>
      <x:c r="C125" s="16" t="n">
        <x:v>46146</x:v>
      </x:c>
      <x:c r="D125" s="17" t="n">
        <x:v>1723</x:v>
      </x:c>
      <x:c r="E125" s="17" t="n">
        <x:v>2742</x:v>
      </x:c>
      <x:c r="F125" s="18" t="n">
        <x:v>21373.28</x:v>
      </x:c>
    </x:row>
    <x:row r="126">
      <x:c r="A126" s="14" t="str">
        <x:v>站点</x:v>
      </x:c>
      <x:c r="B126" s="15" t="str">
        <x:v>印度尼西亚</x:v>
      </x:c>
      <x:c r="C126" s="16" t="n">
        <x:v>46147</x:v>
      </x:c>
      <x:c r="D126" s="17" t="n">
        <x:v>2153</x:v>
      </x:c>
      <x:c r="E126" s="17" t="n">
        <x:v>3325</x:v>
      </x:c>
      <x:c r="F126" s="18" t="n">
        <x:v>29045.34</x:v>
      </x:c>
    </x:row>
    <x:row r="127">
      <x:c r="A127" s="14" t="str">
        <x:v>站点</x:v>
      </x:c>
      <x:c r="B127" s="15" t="str">
        <x:v>印度尼西亚</x:v>
      </x:c>
      <x:c r="C127" s="16" t="n">
        <x:v>46148</x:v>
      </x:c>
      <x:c r="D127" s="17" t="n">
        <x:v>2416</x:v>
      </x:c>
      <x:c r="E127" s="17" t="n">
        <x:v>3722</x:v>
      </x:c>
      <x:c r="F127" s="18" t="n">
        <x:v>30779.28</x:v>
      </x:c>
    </x:row>
    <x:row r="128">
      <x:c r="A128" s="14" t="str">
        <x:v>站点</x:v>
      </x:c>
      <x:c r="B128" s="15" t="str">
        <x:v>印度尼西亚</x:v>
      </x:c>
      <x:c r="C128" s="16" t="n">
        <x:v>46149</x:v>
      </x:c>
      <x:c r="D128" s="17" t="n">
        <x:v>1994</x:v>
      </x:c>
      <x:c r="E128" s="17" t="n">
        <x:v>2991</x:v>
      </x:c>
      <x:c r="F128" s="18" t="n">
        <x:v>24931.8</x:v>
      </x:c>
    </x:row>
    <x:row r="129">
      <x:c r="A129" s="14" t="str">
        <x:v>站点</x:v>
      </x:c>
      <x:c r="B129" s="15" t="str">
        <x:v>印度尼西亚</x:v>
      </x:c>
      <x:c r="C129" s="16" t="n">
        <x:v>46150</x:v>
      </x:c>
      <x:c r="D129" s="17" t="n">
        <x:v>1833</x:v>
      </x:c>
      <x:c r="E129" s="17" t="n">
        <x:v>3013</x:v>
      </x:c>
      <x:c r="F129" s="18" t="n">
        <x:v>24843.05</x:v>
      </x:c>
    </x:row>
    <x:row r="130">
      <x:c r="A130" s="14" t="str">
        <x:v>站点</x:v>
      </x:c>
      <x:c r="B130" s="15" t="str">
        <x:v>印度尼西亚</x:v>
      </x:c>
      <x:c r="C130" s="16" t="n">
        <x:v>46151</x:v>
      </x:c>
      <x:c r="D130" s="17" t="n">
        <x:v>1894</x:v>
      </x:c>
      <x:c r="E130" s="17" t="n">
        <x:v>2918</x:v>
      </x:c>
      <x:c r="F130" s="18" t="n">
        <x:v>24850.42</x:v>
      </x:c>
    </x:row>
    <x:row r="131">
      <x:c r="A131" s="14" t="str">
        <x:v>站点</x:v>
      </x:c>
      <x:c r="B131" s="15" t="str">
        <x:v>印度尼西亚</x:v>
      </x:c>
      <x:c r="C131" s="16" t="n">
        <x:v>46152</x:v>
      </x:c>
      <x:c r="D131" s="17" t="n">
        <x:v>1515</x:v>
      </x:c>
      <x:c r="E131" s="17" t="n">
        <x:v>2157</x:v>
      </x:c>
      <x:c r="F131" s="18" t="n">
        <x:v>18500.16</x:v>
      </x:c>
    </x:row>
    <x:row r="132">
      <x:c r="A132" s="14" t="str">
        <x:v>站点</x:v>
      </x:c>
      <x:c r="B132" s="15" t="str">
        <x:v>印度尼西亚</x:v>
      </x:c>
      <x:c r="C132" s="16" t="n">
        <x:v>46153</x:v>
      </x:c>
      <x:c r="D132" s="17" t="n">
        <x:v>1792</x:v>
      </x:c>
      <x:c r="E132" s="17" t="n">
        <x:v>2638</x:v>
      </x:c>
      <x:c r="F132" s="18" t="n">
        <x:v>22663.67</x:v>
      </x:c>
    </x:row>
    <x:row r="133">
      <x:c r="A133" s="14" t="str">
        <x:v>站点</x:v>
      </x:c>
      <x:c r="B133" s="15" t="str">
        <x:v>印度尼西亚</x:v>
      </x:c>
      <x:c r="C133" s="16" t="n">
        <x:v>46154</x:v>
      </x:c>
      <x:c r="D133" s="17" t="n">
        <x:v>1655</x:v>
      </x:c>
      <x:c r="E133" s="17" t="n">
        <x:v>2433</x:v>
      </x:c>
      <x:c r="F133" s="18" t="n">
        <x:v>20786.5</x:v>
      </x:c>
    </x:row>
    <x:row r="134">
      <x:c r="A134" s="14" t="str">
        <x:v>站点</x:v>
      </x:c>
      <x:c r="B134" s="15" t="str">
        <x:v>印度尼西亚</x:v>
      </x:c>
      <x:c r="C134" s="16" t="n">
        <x:v>46155</x:v>
      </x:c>
      <x:c r="D134" s="17" t="n">
        <x:v>1712</x:v>
      </x:c>
      <x:c r="E134" s="17" t="n">
        <x:v>2498</x:v>
      </x:c>
      <x:c r="F134" s="18" t="n">
        <x:v>20821.04</x:v>
      </x:c>
    </x:row>
    <x:row r="135">
      <x:c r="A135" s="14" t="str">
        <x:v>站点</x:v>
      </x:c>
      <x:c r="B135" s="15" t="str">
        <x:v>印度尼西亚</x:v>
      </x:c>
      <x:c r="C135" s="16" t="n">
        <x:v>46156</x:v>
      </x:c>
      <x:c r="D135" s="17" t="n">
        <x:v>1800</x:v>
      </x:c>
      <x:c r="E135" s="17" t="n">
        <x:v>2561</x:v>
      </x:c>
      <x:c r="F135" s="18" t="n">
        <x:v>21916.35</x:v>
      </x:c>
    </x:row>
    <x:row r="136">
      <x:c r="A136" s="14" t="str">
        <x:v>站点</x:v>
      </x:c>
      <x:c r="B136" s="15" t="str">
        <x:v>印度尼西亚</x:v>
      </x:c>
      <x:c r="C136" s="16" t="n">
        <x:v>46157</x:v>
      </x:c>
      <x:c r="D136" s="17" t="n">
        <x:v>1843</x:v>
      </x:c>
      <x:c r="E136" s="17" t="n">
        <x:v>2588</x:v>
      </x:c>
      <x:c r="F136" s="18" t="n">
        <x:v>22327.8</x:v>
      </x:c>
    </x:row>
    <x:row r="137">
      <x:c r="A137" s="14" t="str">
        <x:v>站点</x:v>
      </x:c>
      <x:c r="B137" s="15" t="str">
        <x:v>印度尼西亚</x:v>
      </x:c>
      <x:c r="C137" s="16" t="n">
        <x:v>46158</x:v>
      </x:c>
      <x:c r="D137" s="17" t="n">
        <x:v>1527</x:v>
      </x:c>
      <x:c r="E137" s="17" t="n">
        <x:v>2073</x:v>
      </x:c>
      <x:c r="F137" s="18" t="n">
        <x:v>18604.64</x:v>
      </x:c>
    </x:row>
    <x:row r="138">
      <x:c r="A138" s="14" t="str">
        <x:v>站点</x:v>
      </x:c>
      <x:c r="B138" s="15" t="str">
        <x:v>印度尼西亚</x:v>
      </x:c>
      <x:c r="C138" s="16" t="n">
        <x:v>46159</x:v>
      </x:c>
      <x:c r="D138" s="17" t="n">
        <x:v>1957</x:v>
      </x:c>
      <x:c r="E138" s="17" t="n">
        <x:v>2920</x:v>
      </x:c>
      <x:c r="F138" s="18" t="n">
        <x:v>24376.3</x:v>
      </x:c>
    </x:row>
    <x:row r="139">
      <x:c r="A139" s="14" t="str">
        <x:v>站点</x:v>
      </x:c>
      <x:c r="B139" s="15" t="str">
        <x:v>印度尼西亚</x:v>
      </x:c>
      <x:c r="C139" s="16" t="n">
        <x:v>46160</x:v>
      </x:c>
      <x:c r="D139" s="17" t="n">
        <x:v>1377</x:v>
      </x:c>
      <x:c r="E139" s="17" t="n">
        <x:v>1983</x:v>
      </x:c>
      <x:c r="F139" s="18" t="n">
        <x:v>17224.22</x:v>
      </x:c>
    </x:row>
    <x:row r="140">
      <x:c r="A140" s="14" t="str">
        <x:v>站点</x:v>
      </x:c>
      <x:c r="B140" s="15" t="str">
        <x:v>印度尼西亚</x:v>
      </x:c>
      <x:c r="C140" s="16" t="n">
        <x:v>46161</x:v>
      </x:c>
      <x:c r="D140" s="17" t="n">
        <x:v>1908</x:v>
      </x:c>
      <x:c r="E140" s="17" t="n">
        <x:v>2702</x:v>
      </x:c>
      <x:c r="F140" s="18" t="n">
        <x:v>23239.8</x:v>
      </x:c>
    </x:row>
    <x:row r="141">
      <x:c r="A141" s="14" t="str">
        <x:v>站点</x:v>
      </x:c>
      <x:c r="B141" s="15" t="str">
        <x:v>印度尼西亚</x:v>
      </x:c>
      <x:c r="C141" s="16" t="n">
        <x:v>46162</x:v>
      </x:c>
      <x:c r="D141" s="17" t="n">
        <x:v>1812</x:v>
      </x:c>
      <x:c r="E141" s="17" t="n">
        <x:v>3047</x:v>
      </x:c>
      <x:c r="F141" s="18" t="n">
        <x:v>24070.31</x:v>
      </x:c>
    </x:row>
    <x:row r="142">
      <x:c r="A142" s="14" t="str">
        <x:v>站点</x:v>
      </x:c>
      <x:c r="B142" s="15" t="str">
        <x:v>印度尼西亚</x:v>
      </x:c>
      <x:c r="C142" s="16" t="n">
        <x:v>46163</x:v>
      </x:c>
      <x:c r="D142" s="17" t="n">
        <x:v>1724</x:v>
      </x:c>
      <x:c r="E142" s="17" t="n">
        <x:v>2386</x:v>
      </x:c>
      <x:c r="F142" s="18" t="n">
        <x:v>20102.91</x:v>
      </x:c>
    </x:row>
    <x:row r="143">
      <x:c r="A143" s="14" t="str">
        <x:v>站点</x:v>
      </x:c>
      <x:c r="B143" s="15" t="str">
        <x:v>印度尼西亚</x:v>
      </x:c>
      <x:c r="C143" s="16" t="n">
        <x:v>46164</x:v>
      </x:c>
      <x:c r="D143" s="17" t="n">
        <x:v>1781</x:v>
      </x:c>
      <x:c r="E143" s="17" t="n">
        <x:v>2542</x:v>
      </x:c>
      <x:c r="F143" s="18" t="n">
        <x:v>21725.14</x:v>
      </x:c>
    </x:row>
    <x:row r="144">
      <x:c r="A144" s="14" t="str">
        <x:v>站点</x:v>
      </x:c>
      <x:c r="B144" s="15" t="str">
        <x:v>印度尼西亚</x:v>
      </x:c>
      <x:c r="C144" s="16" t="n">
        <x:v>46165</x:v>
      </x:c>
      <x:c r="D144" s="17" t="n">
        <x:v>1840</x:v>
      </x:c>
      <x:c r="E144" s="17" t="n">
        <x:v>2522</x:v>
      </x:c>
      <x:c r="F144" s="18" t="n">
        <x:v>21818.56</x:v>
      </x:c>
    </x:row>
    <x:row r="145">
      <x:c r="A145" s="14" t="str">
        <x:v>站点</x:v>
      </x:c>
      <x:c r="B145" s="15" t="str">
        <x:v>印度尼西亚</x:v>
      </x:c>
      <x:c r="C145" s="16" t="n">
        <x:v>46166</x:v>
      </x:c>
      <x:c r="D145" s="17" t="n">
        <x:v>1720</x:v>
      </x:c>
      <x:c r="E145" s="17" t="n">
        <x:v>2447</x:v>
      </x:c>
      <x:c r="F145" s="18" t="n">
        <x:v>20264.62</x:v>
      </x:c>
    </x:row>
    <x:row r="146">
      <x:c r="A146" s="14" t="str">
        <x:v>站点</x:v>
      </x:c>
      <x:c r="B146" s="15" t="str">
        <x:v>印度尼西亚</x:v>
      </x:c>
      <x:c r="C146" s="16" t="n">
        <x:v>46167</x:v>
      </x:c>
      <x:c r="D146" s="17" t="n">
        <x:v>2180</x:v>
      </x:c>
      <x:c r="E146" s="17" t="n">
        <x:v>2913</x:v>
      </x:c>
      <x:c r="F146" s="18" t="n">
        <x:v>25102.88</x:v>
      </x:c>
    </x:row>
    <x:row r="147">
      <x:c r="A147" s="14" t="str">
        <x:v>站点</x:v>
      </x:c>
      <x:c r="B147" s="15" t="str">
        <x:v>印度尼西亚</x:v>
      </x:c>
      <x:c r="C147" s="16" t="n">
        <x:v>46168</x:v>
      </x:c>
      <x:c r="D147" s="17" t="n">
        <x:v>2073</x:v>
      </x:c>
      <x:c r="E147" s="17" t="n">
        <x:v>3343</x:v>
      </x:c>
      <x:c r="F147" s="18" t="n">
        <x:v>27232.44</x:v>
      </x:c>
    </x:row>
    <x:row r="148">
      <x:c r="A148" s="14" t="str">
        <x:v>站点</x:v>
      </x:c>
      <x:c r="B148" s="15" t="str">
        <x:v>印度尼西亚</x:v>
      </x:c>
      <x:c r="C148" s="16" t="n">
        <x:v>46169</x:v>
      </x:c>
      <x:c r="D148" s="17" t="n">
        <x:v>1888</x:v>
      </x:c>
      <x:c r="E148" s="17" t="n">
        <x:v>2679</x:v>
      </x:c>
      <x:c r="F148" s="18" t="n">
        <x:v>22127.85</x:v>
      </x:c>
    </x:row>
    <x:row r="149">
      <x:c r="A149" s="14" t="str">
        <x:v>站点</x:v>
      </x:c>
      <x:c r="B149" s="15" t="str">
        <x:v>印度尼西亚</x:v>
      </x:c>
      <x:c r="C149" s="16" t="n">
        <x:v>46170</x:v>
      </x:c>
      <x:c r="D149" s="17" t="n">
        <x:v>2093</x:v>
      </x:c>
      <x:c r="E149" s="17" t="n">
        <x:v>3105</x:v>
      </x:c>
      <x:c r="F149" s="18" t="n">
        <x:v>25601.25</x:v>
      </x:c>
    </x:row>
    <x:row r="150">
      <x:c r="A150" s="14" t="str">
        <x:v>站点</x:v>
      </x:c>
      <x:c r="B150" s="15" t="str">
        <x:v>印度尼西亚</x:v>
      </x:c>
      <x:c r="C150" s="16" t="n">
        <x:v>46171</x:v>
      </x:c>
      <x:c r="D150" s="17" t="n">
        <x:v>2309</x:v>
      </x:c>
      <x:c r="E150" s="17" t="n">
        <x:v>3371</x:v>
      </x:c>
      <x:c r="F150" s="18" t="n">
        <x:v>27065.75</x:v>
      </x:c>
    </x:row>
    <x:row r="151">
      <x:c r="A151" s="14" t="str">
        <x:v>站点</x:v>
      </x:c>
      <x:c r="B151" s="15" t="str">
        <x:v>印度尼西亚</x:v>
      </x:c>
      <x:c r="C151" s="16" t="n">
        <x:v>46172</x:v>
      </x:c>
      <x:c r="D151" s="17" t="n">
        <x:v>2262</x:v>
      </x:c>
      <x:c r="E151" s="17" t="n">
        <x:v>3355</x:v>
      </x:c>
      <x:c r="F151" s="18" t="n">
        <x:v>26797.36</x:v>
      </x:c>
    </x:row>
    <x:row r="152">
      <x:c r="A152" s="14" t="str">
        <x:v>站点</x:v>
      </x:c>
      <x:c r="B152" s="15" t="str">
        <x:v>印度尼西亚</x:v>
      </x:c>
      <x:c r="C152" s="16" t="n">
        <x:v>46173</x:v>
      </x:c>
      <x:c r="D152" s="17" t="n">
        <x:v>2140</x:v>
      </x:c>
      <x:c r="E152" s="17" t="n">
        <x:v>3150</x:v>
      </x:c>
      <x:c r="F152" s="18" t="n">
        <x:v>25522.68</x:v>
      </x:c>
    </x:row>
    <x:row r="153">
      <x:c r="A153" s="14" t="str">
        <x:v>站点</x:v>
      </x:c>
      <x:c r="B153" s="15" t="str">
        <x:v>印度尼西亚</x:v>
      </x:c>
      <x:c r="C153" s="16" t="n">
        <x:v>46174</x:v>
      </x:c>
      <x:c r="D153" s="17" t="n">
        <x:v>2198</x:v>
      </x:c>
      <x:c r="E153" s="17" t="n">
        <x:v>3291</x:v>
      </x:c>
      <x:c r="F153" s="18" t="n">
        <x:v>27647.51</x:v>
      </x:c>
    </x:row>
    <x:row r="154">
      <x:c r="A154" s="14" t="str">
        <x:v>站点</x:v>
      </x:c>
      <x:c r="B154" s="15" t="str">
        <x:v>印度尼西亚</x:v>
      </x:c>
      <x:c r="C154" s="16" t="n">
        <x:v>46175</x:v>
      </x:c>
      <x:c r="D154" s="17" t="n">
        <x:v>2151</x:v>
      </x:c>
      <x:c r="E154" s="17" t="n">
        <x:v>3105</x:v>
      </x:c>
      <x:c r="F154" s="18" t="n">
        <x:v>26511.49</x:v>
      </x:c>
    </x:row>
    <x:row r="155">
      <x:c r="A155" s="14" t="str">
        <x:v>站点</x:v>
      </x:c>
      <x:c r="B155" s="15" t="str">
        <x:v>印度尼西亚</x:v>
      </x:c>
      <x:c r="C155" s="16" t="n">
        <x:v>46176</x:v>
      </x:c>
      <x:c r="D155" s="17" t="n">
        <x:v>1992</x:v>
      </x:c>
      <x:c r="E155" s="17" t="n">
        <x:v>2968</x:v>
      </x:c>
      <x:c r="F155" s="18" t="n">
        <x:v>24432.26</x:v>
      </x:c>
    </x:row>
    <x:row r="156">
      <x:c r="A156" s="14" t="str">
        <x:v>站点</x:v>
      </x:c>
      <x:c r="B156" s="15" t="str">
        <x:v>印度尼西亚</x:v>
      </x:c>
      <x:c r="C156" s="16" t="n">
        <x:v>46177</x:v>
      </x:c>
      <x:c r="D156" s="17" t="n">
        <x:v>2501</x:v>
      </x:c>
      <x:c r="E156" s="17" t="n">
        <x:v>3946</x:v>
      </x:c>
      <x:c r="F156" s="18" t="n">
        <x:v>31353.73</x:v>
      </x:c>
    </x:row>
    <x:row r="157">
      <x:c r="A157" s="14" t="str">
        <x:v>站点</x:v>
      </x:c>
      <x:c r="B157" s="15" t="str">
        <x:v>印度尼西亚</x:v>
      </x:c>
      <x:c r="C157" s="16" t="n">
        <x:v>46178</x:v>
      </x:c>
      <x:c r="D157" s="17" t="n">
        <x:v>1951</x:v>
      </x:c>
      <x:c r="E157" s="17" t="n">
        <x:v>3320</x:v>
      </x:c>
      <x:c r="F157" s="18" t="n">
        <x:v>24711</x:v>
      </x:c>
    </x:row>
    <x:row r="158">
      <x:c r="A158" s="14" t="str">
        <x:v>站点</x:v>
      </x:c>
      <x:c r="B158" s="15" t="str">
        <x:v>印度尼西亚</x:v>
      </x:c>
      <x:c r="C158" s="16" t="n">
        <x:v>46179</x:v>
      </x:c>
      <x:c r="D158" s="17" t="n">
        <x:v>2784</x:v>
      </x:c>
      <x:c r="E158" s="17" t="n">
        <x:v>4843</x:v>
      </x:c>
      <x:c r="F158" s="18" t="n">
        <x:v>34627.96</x:v>
      </x:c>
    </x:row>
    <x:row r="159">
      <x:c r="A159" s="14" t="str">
        <x:v>站点</x:v>
      </x:c>
      <x:c r="B159" s="15" t="str">
        <x:v>印度尼西亚</x:v>
      </x:c>
      <x:c r="C159" s="16" t="n">
        <x:v>46180</x:v>
      </x:c>
      <x:c r="D159" s="17" t="n">
        <x:v>2829</x:v>
      </x:c>
      <x:c r="E159" s="17" t="n">
        <x:v>5292</x:v>
      </x:c>
      <x:c r="F159" s="18" t="n">
        <x:v>36913.42</x:v>
      </x:c>
    </x:row>
    <x:row r="160">
      <x:c r="A160" s="14" t="str">
        <x:v>站点</x:v>
      </x:c>
      <x:c r="B160" s="15" t="str">
        <x:v>印度尼西亚</x:v>
      </x:c>
      <x:c r="C160" s="16" t="n">
        <x:v>46181</x:v>
      </x:c>
      <x:c r="D160" s="17" t="n">
        <x:v>2624</x:v>
      </x:c>
      <x:c r="E160" s="17" t="n">
        <x:v>4844</x:v>
      </x:c>
      <x:c r="F160" s="18" t="n">
        <x:v>32693.98</x:v>
      </x:c>
    </x:row>
    <x:row r="161">
      <x:c r="A161" s="14" t="str">
        <x:v>站点</x:v>
      </x:c>
      <x:c r="B161" s="15" t="str">
        <x:v>印度尼西亚</x:v>
      </x:c>
      <x:c r="C161" s="16" t="n">
        <x:v>46182</x:v>
      </x:c>
      <x:c r="D161" s="17" t="n">
        <x:v>2696</x:v>
      </x:c>
      <x:c r="E161" s="17" t="n">
        <x:v>5031</x:v>
      </x:c>
      <x:c r="F161" s="18" t="n">
        <x:v>35798.01</x:v>
      </x:c>
    </x:row>
    <x:row r="162">
      <x:c r="A162" s="14" t="str">
        <x:v>站点</x:v>
      </x:c>
      <x:c r="B162" s="15" t="str">
        <x:v>印度尼西亚</x:v>
      </x:c>
      <x:c r="C162" s="16" t="n">
        <x:v>46183</x:v>
      </x:c>
      <x:c r="D162" s="17" t="n">
        <x:v>2482</x:v>
      </x:c>
      <x:c r="E162" s="17" t="n">
        <x:v>4637</x:v>
      </x:c>
      <x:c r="F162" s="18" t="n">
        <x:v>32242.84</x:v>
      </x:c>
    </x:row>
    <x:row r="163">
      <x:c r="A163" s="14" t="str">
        <x:v>站点</x:v>
      </x:c>
      <x:c r="B163" s="15" t="str">
        <x:v>印度尼西亚</x:v>
      </x:c>
      <x:c r="C163" s="16" t="n">
        <x:v>46184</x:v>
      </x:c>
      <x:c r="D163" s="17" t="n">
        <x:v>2354</x:v>
      </x:c>
      <x:c r="E163" s="17" t="n">
        <x:v>4260</x:v>
      </x:c>
      <x:c r="F163" s="18" t="n">
        <x:v>30970.72</x:v>
      </x:c>
    </x:row>
    <x:row r="164">
      <x:c r="A164" s="14" t="str">
        <x:v>站点</x:v>
      </x:c>
      <x:c r="B164" s="15" t="str">
        <x:v>印度尼西亚</x:v>
      </x:c>
      <x:c r="C164" s="16" t="n">
        <x:v>46185</x:v>
      </x:c>
      <x:c r="D164" s="17" t="n">
        <x:v>2473</x:v>
      </x:c>
      <x:c r="E164" s="17" t="n">
        <x:v>4408</x:v>
      </x:c>
      <x:c r="F164" s="18" t="n">
        <x:v>33269.83</x:v>
      </x:c>
    </x:row>
    <x:row r="165">
      <x:c r="A165" s="14" t="str">
        <x:v>站点</x:v>
      </x:c>
      <x:c r="B165" s="15" t="str">
        <x:v>印度尼西亚</x:v>
      </x:c>
      <x:c r="C165" s="16" t="n">
        <x:v>46186</x:v>
      </x:c>
      <x:c r="D165" s="17" t="n">
        <x:v>2516</x:v>
      </x:c>
      <x:c r="E165" s="17" t="n">
        <x:v>4529</x:v>
      </x:c>
      <x:c r="F165" s="18" t="n">
        <x:v>33521.43</x:v>
      </x:c>
    </x:row>
    <x:row r="166">
      <x:c r="A166" s="14" t="str">
        <x:v>站点</x:v>
      </x:c>
      <x:c r="B166" s="15" t="str">
        <x:v>印度尼西亚</x:v>
      </x:c>
      <x:c r="C166" s="16" t="n">
        <x:v>46187</x:v>
      </x:c>
      <x:c r="D166" s="17" t="n">
        <x:v>2379</x:v>
      </x:c>
      <x:c r="E166" s="17" t="n">
        <x:v>4254</x:v>
      </x:c>
      <x:c r="F166" s="18" t="n">
        <x:v>30721.27</x:v>
      </x:c>
    </x:row>
    <x:row r="167">
      <x:c r="A167" s="14" t="str">
        <x:v>站点</x:v>
      </x:c>
      <x:c r="B167" s="15" t="str">
        <x:v>印度尼西亚</x:v>
      </x:c>
      <x:c r="C167" s="16" t="n">
        <x:v>46188</x:v>
      </x:c>
      <x:c r="D167" s="17" t="n">
        <x:v>2385</x:v>
      </x:c>
      <x:c r="E167" s="17" t="n">
        <x:v>4261</x:v>
      </x:c>
      <x:c r="F167" s="18" t="n">
        <x:v>31639.47</x:v>
      </x:c>
    </x:row>
    <x:row r="168">
      <x:c r="A168" s="14" t="str">
        <x:v>站点</x:v>
      </x:c>
      <x:c r="B168" s="15" t="str">
        <x:v>印度尼西亚</x:v>
      </x:c>
      <x:c r="C168" s="16" t="n">
        <x:v>46189</x:v>
      </x:c>
      <x:c r="D168" s="17" t="n">
        <x:v>2461</x:v>
      </x:c>
      <x:c r="E168" s="17" t="n">
        <x:v>4419</x:v>
      </x:c>
      <x:c r="F168" s="18" t="n">
        <x:v>33054.63</x:v>
      </x:c>
    </x:row>
    <x:row r="169">
      <x:c r="A169" s="14" t="str">
        <x:v>站点</x:v>
      </x:c>
      <x:c r="B169" s="15" t="str">
        <x:v>印度尼西亚</x:v>
      </x:c>
      <x:c r="C169" s="16" t="n">
        <x:v>46190</x:v>
      </x:c>
      <x:c r="D169" s="17" t="n">
        <x:v>2377</x:v>
      </x:c>
      <x:c r="E169" s="17" t="n">
        <x:v>4496</x:v>
      </x:c>
      <x:c r="F169" s="18" t="n">
        <x:v>32617.08</x:v>
      </x:c>
    </x:row>
    <x:row r="170">
      <x:c r="A170" s="14" t="str">
        <x:v>站点</x:v>
      </x:c>
      <x:c r="B170" s="15" t="str">
        <x:v>印度尼西亚</x:v>
      </x:c>
      <x:c r="C170" s="16" t="n">
        <x:v>46191</x:v>
      </x:c>
      <x:c r="D170" s="17" t="n">
        <x:v>2403</x:v>
      </x:c>
      <x:c r="E170" s="17" t="n">
        <x:v>4621</x:v>
      </x:c>
      <x:c r="F170" s="18" t="n">
        <x:v>32426.15</x:v>
      </x:c>
    </x:row>
    <x:row r="171">
      <x:c r="A171" s="14" t="str">
        <x:v>站点</x:v>
      </x:c>
      <x:c r="B171" s="15" t="str">
        <x:v>印度尼西亚</x:v>
      </x:c>
      <x:c r="C171" s="16" t="n">
        <x:v>46192</x:v>
      </x:c>
      <x:c r="D171" s="17" t="n">
        <x:v>2166</x:v>
      </x:c>
      <x:c r="E171" s="17" t="n">
        <x:v>4130</x:v>
      </x:c>
      <x:c r="F171" s="18" t="n">
        <x:v>29422.88</x:v>
      </x:c>
    </x:row>
    <x:row r="172">
      <x:c r="A172" s="14" t="str">
        <x:v>站点</x:v>
      </x:c>
      <x:c r="B172" s="15" t="str">
        <x:v>印度尼西亚</x:v>
      </x:c>
      <x:c r="C172" s="16" t="n">
        <x:v>46193</x:v>
      </x:c>
      <x:c r="D172" s="17" t="n">
        <x:v>2154</x:v>
      </x:c>
      <x:c r="E172" s="17" t="n">
        <x:v>4238</x:v>
      </x:c>
      <x:c r="F172" s="18" t="n">
        <x:v>28956.69</x:v>
      </x:c>
    </x:row>
    <x:row r="173">
      <x:c r="A173" s="14" t="str">
        <x:v>站点</x:v>
      </x:c>
      <x:c r="B173" s="15" t="str">
        <x:v>印度尼西亚</x:v>
      </x:c>
      <x:c r="C173" s="16" t="n">
        <x:v>46194</x:v>
      </x:c>
      <x:c r="D173" s="17" t="n">
        <x:v>2450</x:v>
      </x:c>
      <x:c r="E173" s="17" t="n">
        <x:v>4826</x:v>
      </x:c>
      <x:c r="F173" s="18" t="n">
        <x:v>33030.12</x:v>
      </x:c>
    </x:row>
    <x:row r="174">
      <x:c r="A174" s="14" t="str">
        <x:v>站点</x:v>
      </x:c>
      <x:c r="B174" s="15" t="str">
        <x:v>印度尼西亚</x:v>
      </x:c>
      <x:c r="C174" s="16" t="n">
        <x:v>46195</x:v>
      </x:c>
      <x:c r="D174" s="17" t="n">
        <x:v>2087</x:v>
      </x:c>
      <x:c r="E174" s="17" t="n">
        <x:v>4065</x:v>
      </x:c>
      <x:c r="F174" s="18" t="n">
        <x:v>28680.31</x:v>
      </x:c>
    </x:row>
    <x:row r="175">
      <x:c r="A175" s="14" t="str">
        <x:v>站点</x:v>
      </x:c>
      <x:c r="B175" s="15" t="str">
        <x:v>印度尼西亚</x:v>
      </x:c>
      <x:c r="C175" s="16" t="n">
        <x:v>46196</x:v>
      </x:c>
      <x:c r="D175" s="17" t="n">
        <x:v>2008</x:v>
      </x:c>
      <x:c r="E175" s="17" t="n">
        <x:v>3893</x:v>
      </x:c>
      <x:c r="F175" s="18" t="n">
        <x:v>27738.42</x:v>
      </x:c>
    </x:row>
    <x:row r="176">
      <x:c r="A176" s="14" t="str">
        <x:v>站点</x:v>
      </x:c>
      <x:c r="B176" s="15" t="str">
        <x:v>印度尼西亚</x:v>
      </x:c>
      <x:c r="C176" s="16" t="n">
        <x:v>46197</x:v>
      </x:c>
      <x:c r="D176" s="17" t="n">
        <x:v>1993</x:v>
      </x:c>
      <x:c r="E176" s="17" t="n">
        <x:v>3813</x:v>
      </x:c>
      <x:c r="F176" s="18" t="n">
        <x:v>27460.59</x:v>
      </x:c>
    </x:row>
    <x:row r="177">
      <x:c r="A177" s="14" t="str">
        <x:v>站点</x:v>
      </x:c>
      <x:c r="B177" s="15" t="str">
        <x:v>印度尼西亚</x:v>
      </x:c>
      <x:c r="C177" s="16" t="n">
        <x:v>46198</x:v>
      </x:c>
      <x:c r="D177" s="17" t="n">
        <x:v>1823</x:v>
      </x:c>
      <x:c r="E177" s="17" t="n">
        <x:v>3430</x:v>
      </x:c>
      <x:c r="F177" s="18" t="n">
        <x:v>24589.04</x:v>
      </x:c>
    </x:row>
    <x:row r="178">
      <x:c r="A178" s="14" t="str">
        <x:v>站点</x:v>
      </x:c>
      <x:c r="B178" s="15" t="str">
        <x:v>印度尼西亚</x:v>
      </x:c>
      <x:c r="C178" s="16" t="n">
        <x:v>46199</x:v>
      </x:c>
      <x:c r="D178" s="17" t="n">
        <x:v>2077</x:v>
      </x:c>
      <x:c r="E178" s="17" t="n">
        <x:v>3893</x:v>
      </x:c>
      <x:c r="F178" s="18" t="n">
        <x:v>28868.18</x:v>
      </x:c>
    </x:row>
    <x:row r="179">
      <x:c r="A179" s="14" t="str">
        <x:v>站点</x:v>
      </x:c>
      <x:c r="B179" s="15" t="str">
        <x:v>印度尼西亚</x:v>
      </x:c>
      <x:c r="C179" s="16" t="n">
        <x:v>46200</x:v>
      </x:c>
      <x:c r="D179" s="17" t="n">
        <x:v>1760</x:v>
      </x:c>
      <x:c r="E179" s="17" t="n">
        <x:v>3305</x:v>
      </x:c>
      <x:c r="F179" s="18" t="n">
        <x:v>23695.63</x:v>
      </x:c>
    </x:row>
    <x:row r="180">
      <x:c r="A180" s="14" t="str">
        <x:v>站点</x:v>
      </x:c>
      <x:c r="B180" s="15" t="str">
        <x:v>印度尼西亚</x:v>
      </x:c>
      <x:c r="C180" s="16" t="n">
        <x:v>46201</x:v>
      </x:c>
      <x:c r="D180" s="17" t="n">
        <x:v>1626</x:v>
      </x:c>
      <x:c r="E180" s="17" t="n">
        <x:v>3011</x:v>
      </x:c>
      <x:c r="F180" s="18" t="n">
        <x:v>21646.77</x:v>
      </x:c>
    </x:row>
    <x:row r="181">
      <x:c r="A181" s="14" t="str">
        <x:v>站点</x:v>
      </x:c>
      <x:c r="B181" s="15" t="str">
        <x:v>印度尼西亚</x:v>
      </x:c>
      <x:c r="C181" s="16" t="n">
        <x:v>46202</x:v>
      </x:c>
      <x:c r="D181" s="17" t="n">
        <x:v>1796</x:v>
      </x:c>
      <x:c r="E181" s="17" t="n">
        <x:v>3334</x:v>
      </x:c>
      <x:c r="F181" s="18" t="n">
        <x:v>24370.94</x:v>
      </x:c>
    </x:row>
    <x:row r="182">
      <x:c r="A182" s="14" t="str">
        <x:v>站点</x:v>
      </x:c>
      <x:c r="B182" s="15" t="str">
        <x:v>印度尼西亚</x:v>
      </x:c>
      <x:c r="C182" s="16" t="n">
        <x:v>46203</x:v>
      </x:c>
      <x:c r="D182" s="17" t="n">
        <x:v>1845</x:v>
      </x:c>
      <x:c r="E182" s="17" t="n">
        <x:v>3481</x:v>
      </x:c>
      <x:c r="F182" s="18" t="n">
        <x:v>26567.79</x:v>
      </x:c>
    </x:row>
    <x:row r="183">
      <x:c r="A183" s="14" t="str">
        <x:v>站点</x:v>
      </x:c>
      <x:c r="B183" s="15" t="str">
        <x:v>印度尼西亚</x:v>
      </x:c>
      <x:c r="C183" s="16" t="n">
        <x:v>46204</x:v>
      </x:c>
      <x:c r="D183" s="17" t="n">
        <x:v>1782</x:v>
      </x:c>
      <x:c r="E183" s="17" t="n">
        <x:v>3178</x:v>
      </x:c>
      <x:c r="F183" s="18" t="n">
        <x:v>24741</x:v>
      </x:c>
    </x:row>
    <x:row r="184">
      <x:c r="A184" s="14" t="str">
        <x:v>站点</x:v>
      </x:c>
      <x:c r="B184" s="15" t="str">
        <x:v>印度尼西亚</x:v>
      </x:c>
      <x:c r="C184" s="16" t="n">
        <x:v>46205</x:v>
      </x:c>
      <x:c r="D184" s="17" t="n">
        <x:v>2090</x:v>
      </x:c>
      <x:c r="E184" s="17" t="n">
        <x:v>3898</x:v>
      </x:c>
      <x:c r="F184" s="18" t="n">
        <x:v>27986.14</x:v>
      </x:c>
    </x:row>
    <x:row r="185">
      <x:c r="A185" s="14" t="str">
        <x:v>站点</x:v>
      </x:c>
      <x:c r="B185" s="15" t="str">
        <x:v>印度尼西亚</x:v>
      </x:c>
      <x:c r="C185" s="16" t="n">
        <x:v>46206</x:v>
      </x:c>
      <x:c r="D185" s="17" t="n">
        <x:v>1954</x:v>
      </x:c>
      <x:c r="E185" s="17" t="n">
        <x:v>3531</x:v>
      </x:c>
      <x:c r="F185" s="18" t="n">
        <x:v>26083.27</x:v>
      </x:c>
    </x:row>
    <x:row r="186">
      <x:c r="A186" s="14" t="str">
        <x:v>站点</x:v>
      </x:c>
      <x:c r="B186" s="15" t="str">
        <x:v>印度尼西亚</x:v>
      </x:c>
      <x:c r="C186" s="16" t="n">
        <x:v>46207</x:v>
      </x:c>
      <x:c r="D186" s="17" t="n">
        <x:v>2290</x:v>
      </x:c>
      <x:c r="E186" s="17" t="n">
        <x:v>4237</x:v>
      </x:c>
      <x:c r="F186" s="18" t="n">
        <x:v>30714.93</x:v>
      </x:c>
    </x:row>
    <x:row r="187">
      <x:c r="A187" s="14" t="str">
        <x:v>站点</x:v>
      </x:c>
      <x:c r="B187" s="15" t="str">
        <x:v>印度尼西亚</x:v>
      </x:c>
      <x:c r="C187" s="16" t="n">
        <x:v>46208</x:v>
      </x:c>
      <x:c r="D187" s="17" t="n">
        <x:v>1903</x:v>
      </x:c>
      <x:c r="E187" s="17" t="n">
        <x:v>3410</x:v>
      </x:c>
      <x:c r="F187" s="18" t="n">
        <x:v>24710.66</x:v>
      </x:c>
    </x:row>
    <x:row r="188">
      <x:c r="A188" s="14" t="str">
        <x:v>站点</x:v>
      </x:c>
      <x:c r="B188" s="15" t="str">
        <x:v>印度尼西亚</x:v>
      </x:c>
      <x:c r="C188" s="16" t="n">
        <x:v>46209</x:v>
      </x:c>
      <x:c r="D188" s="17" t="n">
        <x:v>1828</x:v>
      </x:c>
      <x:c r="E188" s="17" t="n">
        <x:v>3237</x:v>
      </x:c>
      <x:c r="F188" s="18" t="n">
        <x:v>24313.45</x:v>
      </x:c>
    </x:row>
    <x:row r="189">
      <x:c r="A189" s="14" t="str">
        <x:v>站点</x:v>
      </x:c>
      <x:c r="B189" s="15" t="str">
        <x:v>印度尼西亚</x:v>
      </x:c>
      <x:c r="C189" s="16" t="n">
        <x:v>46210</x:v>
      </x:c>
      <x:c r="D189" s="17" t="n">
        <x:v>2499</x:v>
      </x:c>
      <x:c r="E189" s="17" t="n">
        <x:v>4593</x:v>
      </x:c>
      <x:c r="F189" s="18" t="n">
        <x:v>32559.99</x:v>
      </x:c>
    </x:row>
    <x:row r="190">
      <x:c r="A190" s="14" t="str">
        <x:v>站点</x:v>
      </x:c>
      <x:c r="B190" s="15" t="str">
        <x:v>印度尼西亚</x:v>
      </x:c>
      <x:c r="C190" s="16" t="n">
        <x:v>46211</x:v>
      </x:c>
      <x:c r="D190" s="17" t="n">
        <x:v>1918</x:v>
      </x:c>
      <x:c r="E190" s="17" t="n">
        <x:v>3668</x:v>
      </x:c>
      <x:c r="F190" s="18" t="n">
        <x:v>24886.51</x:v>
      </x:c>
    </x:row>
    <x:row r="191">
      <x:c r="A191" s="14" t="str">
        <x:v>站点</x:v>
      </x:c>
      <x:c r="B191" s="15" t="str">
        <x:v>印度尼西亚</x:v>
      </x:c>
      <x:c r="C191" s="16" t="n">
        <x:v>46212</x:v>
      </x:c>
      <x:c r="D191" s="17" t="n">
        <x:v>1939</x:v>
      </x:c>
      <x:c r="E191" s="17" t="n">
        <x:v>3595</x:v>
      </x:c>
      <x:c r="F191" s="18" t="n">
        <x:v>25169.89</x:v>
      </x:c>
    </x:row>
    <x:row r="192">
      <x:c r="A192" s="14" t="str">
        <x:v>站点</x:v>
      </x:c>
      <x:c r="B192" s="15" t="str">
        <x:v>印度尼西亚</x:v>
      </x:c>
      <x:c r="C192" s="16" t="n">
        <x:v>46213</x:v>
      </x:c>
      <x:c r="D192" s="17" t="n">
        <x:v>1724</x:v>
      </x:c>
      <x:c r="E192" s="17" t="n">
        <x:v>3404</x:v>
      </x:c>
      <x:c r="F192" s="18" t="n">
        <x:v>22340.15</x:v>
      </x:c>
    </x:row>
    <x:row r="193">
      <x:c r="A193" s="14" t="str">
        <x:v>站点</x:v>
      </x:c>
      <x:c r="B193" s="15" t="str">
        <x:v>印度尼西亚</x:v>
      </x:c>
      <x:c r="C193" s="16" t="n">
        <x:v>46214</x:v>
      </x:c>
      <x:c r="D193" s="17" t="n">
        <x:v>1626</x:v>
      </x:c>
      <x:c r="E193" s="17" t="n">
        <x:v>3186</x:v>
      </x:c>
      <x:c r="F193" s="18" t="n">
        <x:v>21313.36</x:v>
      </x:c>
    </x:row>
    <x:row r="194">
      <x:c r="A194" s="14" t="str">
        <x:v>站点</x:v>
      </x:c>
      <x:c r="B194" s="15" t="str">
        <x:v>印度尼西亚</x:v>
      </x:c>
      <x:c r="C194" s="16" t="n">
        <x:v>46215</x:v>
      </x:c>
      <x:c r="D194" s="17" t="n">
        <x:v>1435</x:v>
      </x:c>
      <x:c r="E194" s="17" t="n">
        <x:v>2807</x:v>
      </x:c>
      <x:c r="F194" s="18" t="n">
        <x:v>18575.94</x:v>
      </x:c>
    </x:row>
    <x:row r="195">
      <x:c r="A195" s="14" t="str">
        <x:v>站点</x:v>
      </x:c>
      <x:c r="B195" s="15" t="str">
        <x:v>印度尼西亚</x:v>
      </x:c>
      <x:c r="C195" s="16" t="n">
        <x:v>46216</x:v>
      </x:c>
      <x:c r="D195" s="17" t="n">
        <x:v>1556</x:v>
      </x:c>
      <x:c r="E195" s="17" t="n">
        <x:v>3029</x:v>
      </x:c>
      <x:c r="F195" s="18" t="n">
        <x:v>20049.36</x:v>
      </x:c>
    </x:row>
    <x:row r="196">
      <x:c r="A196" s="14" t="str">
        <x:v>站点</x:v>
      </x:c>
      <x:c r="B196" s="15" t="str">
        <x:v>印度尼西亚</x:v>
      </x:c>
      <x:c r="C196" s="16" t="n">
        <x:v>46217</x:v>
      </x:c>
      <x:c r="D196" s="17" t="n">
        <x:v>1351</x:v>
      </x:c>
      <x:c r="E196" s="17" t="n">
        <x:v>2547</x:v>
      </x:c>
      <x:c r="F196" s="18" t="n">
        <x:v>17274.44</x:v>
      </x:c>
    </x:row>
    <x:row r="197">
      <x:c r="A197" s="14" t="str">
        <x:v>站点</x:v>
      </x:c>
      <x:c r="B197" s="15" t="str">
        <x:v>印度尼西亚</x:v>
      </x:c>
      <x:c r="C197" s="16" t="n">
        <x:v>46218</x:v>
      </x:c>
      <x:c r="D197" s="17" t="n">
        <x:v>1421</x:v>
      </x:c>
      <x:c r="E197" s="17" t="n">
        <x:v>2685</x:v>
      </x:c>
      <x:c r="F197" s="18" t="n">
        <x:v>18283.43</x:v>
      </x:c>
    </x:row>
    <x:row r="198">
      <x:c r="A198" s="14" t="str">
        <x:v>站点</x:v>
      </x:c>
      <x:c r="B198" s="15" t="str">
        <x:v>印度尼西亚</x:v>
      </x:c>
      <x:c r="C198" s="16" t="n">
        <x:v>46219</x:v>
      </x:c>
      <x:c r="D198" s="17" t="n">
        <x:v>1366</x:v>
      </x:c>
      <x:c r="E198" s="17" t="n">
        <x:v>2666</x:v>
      </x:c>
      <x:c r="F198" s="18" t="n">
        <x:v>16375.43</x:v>
      </x:c>
    </x:row>
    <x:row r="199">
      <x:c r="A199" s="14" t="str">
        <x:v>站点</x:v>
      </x:c>
      <x:c r="B199" s="15" t="str">
        <x:v>印度尼西亚</x:v>
      </x:c>
      <x:c r="C199" s="16" t="n">
        <x:v>46220</x:v>
      </x:c>
      <x:c r="D199" s="17" t="n">
        <x:v>1454</x:v>
      </x:c>
      <x:c r="E199" s="17" t="n">
        <x:v>2883</x:v>
      </x:c>
      <x:c r="F199" s="18" t="n">
        <x:v>18171.7</x:v>
      </x:c>
    </x:row>
    <x:row r="200">
      <x:c r="A200" s="14" t="str">
        <x:v>站点</x:v>
      </x:c>
      <x:c r="B200" s="15" t="str">
        <x:v>印度尼西亚</x:v>
      </x:c>
      <x:c r="C200" s="16" t="n">
        <x:v>46221</x:v>
      </x:c>
      <x:c r="D200" s="17" t="n">
        <x:v>1303</x:v>
      </x:c>
      <x:c r="E200" s="17" t="n">
        <x:v>2496</x:v>
      </x:c>
      <x:c r="F200" s="18" t="n">
        <x:v>15706.6</x:v>
      </x:c>
    </x:row>
    <x:row r="201">
      <x:c r="A201" s="14" t="str">
        <x:v>站点</x:v>
      </x:c>
      <x:c r="B201" s="15" t="str">
        <x:v>印度尼西亚</x:v>
      </x:c>
      <x:c r="C201" s="16" t="n">
        <x:v>46222</x:v>
      </x:c>
      <x:c r="D201" s="17" t="n">
        <x:v>1390</x:v>
      </x:c>
      <x:c r="E201" s="17" t="n">
        <x:v>2625</x:v>
      </x:c>
      <x:c r="F201" s="18" t="n">
        <x:v>16798.03</x:v>
      </x:c>
    </x:row>
    <x:row r="202">
      <x:c r="A202" s="14" t="str">
        <x:v>站点</x:v>
      </x:c>
      <x:c r="B202" s="15" t="str">
        <x:v>印度尼西亚</x:v>
      </x:c>
      <x:c r="C202" s="16" t="n">
        <x:v>46223</x:v>
      </x:c>
      <x:c r="D202" s="17" t="n">
        <x:v>1410</x:v>
      </x:c>
      <x:c r="E202" s="17" t="n">
        <x:v>2679</x:v>
      </x:c>
      <x:c r="F202" s="18" t="n">
        <x:v>16972.03</x:v>
      </x:c>
    </x:row>
    <x:row r="203">
      <x:c r="A203" s="14" t="str">
        <x:v>站点</x:v>
      </x:c>
      <x:c r="B203" s="15" t="str">
        <x:v>印度尼西亚</x:v>
      </x:c>
      <x:c r="C203" s="16" t="n">
        <x:v>46224</x:v>
      </x:c>
      <x:c r="D203" s="17" t="n">
        <x:v>1234</x:v>
      </x:c>
      <x:c r="E203" s="17" t="n">
        <x:v>2399</x:v>
      </x:c>
      <x:c r="F203" s="18" t="n">
        <x:v>14844.14</x:v>
      </x:c>
    </x:row>
    <x:row r="204">
      <x:c r="A204" s="14" t="str">
        <x:v>站点</x:v>
      </x:c>
      <x:c r="B204" s="15" t="str">
        <x:v>印度尼西亚</x:v>
      </x:c>
      <x:c r="C204" s="16" t="n">
        <x:v>46225</x:v>
      </x:c>
      <x:c r="D204" s="17" t="n">
        <x:v>1475</x:v>
      </x:c>
      <x:c r="E204" s="17" t="n">
        <x:v>2920</x:v>
      </x:c>
      <x:c r="F204" s="18" t="n">
        <x:v>18547.83</x:v>
      </x:c>
    </x:row>
    <x:row r="205">
      <x:c r="A205" s="14" t="str">
        <x:v>站点</x:v>
      </x:c>
      <x:c r="B205" s="15" t="str">
        <x:v>印度尼西亚</x:v>
      </x:c>
      <x:c r="C205" s="16" t="n">
        <x:v>46226</x:v>
      </x:c>
      <x:c r="D205" s="17" t="n">
        <x:v>1551</x:v>
      </x:c>
      <x:c r="E205" s="17" t="n">
        <x:v>2902</x:v>
      </x:c>
      <x:c r="F205" s="18" t="n">
        <x:v>19229.2</x:v>
      </x:c>
    </x:row>
    <x:row r="206">
      <x:c r="A206" s="14" t="str">
        <x:v>站点</x:v>
      </x:c>
      <x:c r="B206" s="15" t="str">
        <x:v>印度尼西亚</x:v>
      </x:c>
      <x:c r="C206" s="16" t="n">
        <x:v>46227</x:v>
      </x:c>
      <x:c r="D206" s="17" t="n">
        <x:v>2586</x:v>
      </x:c>
      <x:c r="E206" s="17" t="n">
        <x:v>5146</x:v>
      </x:c>
      <x:c r="F206" s="18" t="n">
        <x:v>33700.36</x:v>
      </x:c>
    </x:row>
    <x:row r="207">
      <x:c r="A207" s="14" t="str">
        <x:v>站点</x:v>
      </x:c>
      <x:c r="B207" s="15" t="str">
        <x:v>印度尼西亚</x:v>
      </x:c>
      <x:c r="C207" s="16" t="n">
        <x:v>46228</x:v>
      </x:c>
      <x:c r="D207" s="17" t="n">
        <x:v>1636</x:v>
      </x:c>
      <x:c r="E207" s="17" t="n">
        <x:v>2849</x:v>
      </x:c>
      <x:c r="F207" s="18" t="n">
        <x:v>20623.63</x:v>
      </x:c>
    </x:row>
    <x:row r="208">
      <x:c r="A208" s="14" t="str">
        <x:v>站点</x:v>
      </x:c>
      <x:c r="B208" s="15" t="str">
        <x:v>印度尼西亚</x:v>
      </x:c>
      <x:c r="C208" s="16" t="n">
        <x:v>46229</x:v>
      </x:c>
      <x:c r="D208" s="17" t="n">
        <x:v>2108</x:v>
      </x:c>
      <x:c r="E208" s="17" t="n">
        <x:v>4133</x:v>
      </x:c>
      <x:c r="F208" s="18" t="n">
        <x:v>26447.7</x:v>
      </x:c>
    </x:row>
    <x:row r="209">
      <x:c r="A209" s="14" t="str">
        <x:v>站点</x:v>
      </x:c>
      <x:c r="B209" s="15" t="str">
        <x:v>印度尼西亚</x:v>
      </x:c>
      <x:c r="C209" s="16" t="n">
        <x:v>46230</x:v>
      </x:c>
      <x:c r="D209" s="17" t="n">
        <x:v>2321</x:v>
      </x:c>
      <x:c r="E209" s="17" t="n">
        <x:v>4445</x:v>
      </x:c>
      <x:c r="F209" s="18" t="n">
        <x:v>32254.81</x:v>
      </x:c>
    </x:row>
    <x:row r="210">
      <x:c r="A210" s="14" t="str">
        <x:v>站点</x:v>
      </x:c>
      <x:c r="B210" s="15" t="str">
        <x:v>印度尼西亚</x:v>
      </x:c>
      <x:c r="C210" s="16" t="n">
        <x:v>46231</x:v>
      </x:c>
      <x:c r="D210" s="17" t="n">
        <x:v>1699</x:v>
      </x:c>
      <x:c r="E210" s="17" t="n">
        <x:v>3262</x:v>
      </x:c>
      <x:c r="F210" s="18" t="n">
        <x:v>22298.36</x:v>
      </x:c>
    </x:row>
    <x:row r="211">
      <x:c r="A211" s="14" t="str">
        <x:v>站点</x:v>
      </x:c>
      <x:c r="B211" s="15" t="str">
        <x:v>印度尼西亚</x:v>
      </x:c>
      <x:c r="C211" s="16" t="n">
        <x:v>46232</x:v>
      </x:c>
      <x:c r="D211" s="17" t="n">
        <x:v>1866</x:v>
      </x:c>
      <x:c r="E211" s="17" t="n">
        <x:v>3473</x:v>
      </x:c>
      <x:c r="F211" s="18" t="n">
        <x:v>23494.91</x:v>
      </x:c>
    </x:row>
    <x:row r="212">
      <x:c r="A212" s="14" t="str">
        <x:v>站点</x:v>
      </x:c>
      <x:c r="B212" s="15" t="str">
        <x:v>印度尼西亚</x:v>
      </x:c>
      <x:c r="C212" s="16" t="n">
        <x:v>46233</x:v>
      </x:c>
      <x:c r="D212" s="17" t="n">
        <x:v>1813</x:v>
      </x:c>
      <x:c r="E212" s="17" t="n">
        <x:v>3471</x:v>
      </x:c>
      <x:c r="F212" s="18" t="n">
        <x:v>23729.47</x:v>
      </x:c>
    </x:row>
    <x:row r="213">
      <x:c r="A213" s="14" t="str">
        <x:v>站点</x:v>
      </x:c>
      <x:c r="B213" s="15" t="str">
        <x:v>印度尼西亚</x:v>
      </x:c>
      <x:c r="C213" s="16" t="n">
        <x:v>46234</x:v>
      </x:c>
      <x:c r="D213" s="17" t="n">
        <x:v>2030</x:v>
      </x:c>
      <x:c r="E213" s="17" t="n">
        <x:v>3875</x:v>
      </x:c>
      <x:c r="F213" s="18" t="n">
        <x:v>26384.38</x:v>
      </x:c>
    </x:row>
    <x:row r="214">
      <x:c r="A214" s="14" t="str">
        <x:v>站点</x:v>
      </x:c>
      <x:c r="B214" s="15" t="str">
        <x:v>印度尼西亚</x:v>
      </x:c>
      <x:c r="C214" s="16" t="n">
        <x:v>46235</x:v>
      </x:c>
      <x:c r="D214" s="17" t="n">
        <x:v>2058</x:v>
      </x:c>
      <x:c r="E214" s="17" t="n">
        <x:v>3870</x:v>
      </x:c>
      <x:c r="F214" s="18" t="n">
        <x:v>26126.3</x:v>
      </x:c>
    </x:row>
    <x:row r="215">
      <x:c r="A215" s="14" t="str">
        <x:v>站点</x:v>
      </x:c>
      <x:c r="B215" s="15" t="str">
        <x:v>印度尼西亚</x:v>
      </x:c>
      <x:c r="C215" s="16" t="n">
        <x:v>46236</x:v>
      </x:c>
      <x:c r="D215" s="17" t="n">
        <x:v>2106</x:v>
      </x:c>
      <x:c r="E215" s="17" t="n">
        <x:v>3998</x:v>
      </x:c>
      <x:c r="F215" s="18" t="n">
        <x:v>27473.83</x:v>
      </x:c>
    </x:row>
    <x:row r="216">
      <x:c r="A216" s="14" t="str">
        <x:v>站点</x:v>
      </x:c>
      <x:c r="B216" s="15" t="str">
        <x:v>印度尼西亚</x:v>
      </x:c>
      <x:c r="C216" s="16" t="n">
        <x:v>46237</x:v>
      </x:c>
      <x:c r="D216" s="17" t="n">
        <x:v>2216</x:v>
      </x:c>
      <x:c r="E216" s="17" t="n">
        <x:v>4308</x:v>
      </x:c>
      <x:c r="F216" s="18" t="n">
        <x:v>28671.2</x:v>
      </x:c>
    </x:row>
    <x:row r="217">
      <x:c r="A217" s="14" t="str">
        <x:v>站点</x:v>
      </x:c>
      <x:c r="B217" s="15" t="str">
        <x:v>印度尼西亚</x:v>
      </x:c>
      <x:c r="C217" s="16" t="n">
        <x:v>46238</x:v>
      </x:c>
      <x:c r="D217" s="17" t="n">
        <x:v>1664</x:v>
      </x:c>
      <x:c r="E217" s="17" t="n">
        <x:v>3298</x:v>
      </x:c>
      <x:c r="F217" s="18" t="n">
        <x:v>22145.3</x:v>
      </x:c>
    </x:row>
    <x:row r="218">
      <x:c r="A218" s="14" t="str">
        <x:v>站点</x:v>
      </x:c>
      <x:c r="B218" s="15" t="str">
        <x:v>印度尼西亚</x:v>
      </x:c>
      <x:c r="C218" s="16" t="n">
        <x:v>46239</x:v>
      </x:c>
      <x:c r="D218" s="17" t="n">
        <x:v>1943</x:v>
      </x:c>
      <x:c r="E218" s="17" t="n">
        <x:v>3677</x:v>
      </x:c>
      <x:c r="F218" s="18" t="n">
        <x:v>25995.98</x:v>
      </x:c>
    </x:row>
    <x:row r="219">
      <x:c r="A219" s="14" t="str">
        <x:v>站点</x:v>
      </x:c>
      <x:c r="B219" s="15" t="str">
        <x:v>印度尼西亚</x:v>
      </x:c>
      <x:c r="C219" s="16" t="n">
        <x:v>46240</x:v>
      </x:c>
      <x:c r="D219" s="17" t="n">
        <x:v>1867</x:v>
      </x:c>
      <x:c r="E219" s="17" t="n">
        <x:v>3563</x:v>
      </x:c>
      <x:c r="F219" s="18" t="n">
        <x:v>24847.91</x:v>
      </x:c>
    </x:row>
    <x:row r="220">
      <x:c r="A220" s="14" t="str">
        <x:v>站点</x:v>
      </x:c>
      <x:c r="B220" s="15" t="str">
        <x:v>印度尼西亚</x:v>
      </x:c>
      <x:c r="C220" s="16" t="n">
        <x:v>46241</x:v>
      </x:c>
      <x:c r="D220" s="17" t="n">
        <x:v>2314</x:v>
      </x:c>
      <x:c r="E220" s="17" t="n">
        <x:v>4400</x:v>
      </x:c>
      <x:c r="F220" s="18" t="n">
        <x:v>29988.98</x:v>
      </x:c>
    </x:row>
    <x:row r="221">
      <x:c r="A221" s="14" t="str">
        <x:v>站点</x:v>
      </x:c>
      <x:c r="B221" s="15" t="str">
        <x:v>印度尼西亚</x:v>
      </x:c>
      <x:c r="C221" s="16" t="n">
        <x:v>46242</x:v>
      </x:c>
      <x:c r="D221" s="17" t="n">
        <x:v>2541</x:v>
      </x:c>
      <x:c r="E221" s="17" t="n">
        <x:v>4771</x:v>
      </x:c>
      <x:c r="F221" s="18" t="n">
        <x:v>33611.22</x:v>
      </x:c>
    </x:row>
    <x:row r="222">
      <x:c r="A222" s="14" t="str">
        <x:v>站点</x:v>
      </x:c>
      <x:c r="B222" s="15" t="str">
        <x:v>印度尼西亚</x:v>
      </x:c>
      <x:c r="C222" s="16" t="n">
        <x:v>46243</x:v>
      </x:c>
      <x:c r="D222" s="17" t="n">
        <x:v>2254</x:v>
      </x:c>
      <x:c r="E222" s="17" t="n">
        <x:v>4088</x:v>
      </x:c>
      <x:c r="F222" s="18" t="n">
        <x:v>30773.04</x:v>
      </x:c>
    </x:row>
    <x:row r="223">
      <x:c r="A223" s="14" t="str">
        <x:v>站点</x:v>
      </x:c>
      <x:c r="B223" s="15" t="str">
        <x:v>印度尼西亚</x:v>
      </x:c>
      <x:c r="C223" s="16" t="n">
        <x:v>46244</x:v>
      </x:c>
      <x:c r="D223" s="17" t="n">
        <x:v>1555</x:v>
      </x:c>
      <x:c r="E223" s="17" t="n">
        <x:v>2748</x:v>
      </x:c>
      <x:c r="F223" s="18" t="n">
        <x:v>20812.78</x:v>
      </x:c>
    </x:row>
    <x:row r="224">
      <x:c r="A224" s="14" t="str">
        <x:v>站点</x:v>
      </x:c>
      <x:c r="B224" s="15" t="str">
        <x:v>印度尼西亚</x:v>
      </x:c>
      <x:c r="C224" s="16" t="n">
        <x:v>46245</x:v>
      </x:c>
      <x:c r="D224" s="17" t="n">
        <x:v>2041</x:v>
      </x:c>
      <x:c r="E224" s="17" t="n">
        <x:v>3715</x:v>
      </x:c>
      <x:c r="F224" s="18" t="n">
        <x:v>27086.08</x:v>
      </x:c>
    </x:row>
    <x:row r="225">
      <x:c r="A225" s="14" t="str">
        <x:v>站点</x:v>
      </x:c>
      <x:c r="B225" s="15" t="str">
        <x:v>印度尼西亚</x:v>
      </x:c>
      <x:c r="C225" s="16" t="n">
        <x:v>46246</x:v>
      </x:c>
      <x:c r="D225" s="17" t="n">
        <x:v>1937</x:v>
      </x:c>
      <x:c r="E225" s="17" t="n">
        <x:v>3520</x:v>
      </x:c>
      <x:c r="F225" s="18" t="n">
        <x:v>25097.93</x:v>
      </x:c>
    </x:row>
    <x:row r="226">
      <x:c r="A226" s="14" t="str">
        <x:v>站点</x:v>
      </x:c>
      <x:c r="B226" s="15" t="str">
        <x:v>印度尼西亚</x:v>
      </x:c>
      <x:c r="C226" s="16" t="n">
        <x:v>46247</x:v>
      </x:c>
      <x:c r="D226" s="17" t="n">
        <x:v>1737</x:v>
      </x:c>
      <x:c r="E226" s="17" t="n">
        <x:v>3082</x:v>
      </x:c>
      <x:c r="F226" s="18" t="n">
        <x:v>22469.55</x:v>
      </x:c>
    </x:row>
    <x:row r="227">
      <x:c r="A227" s="14" t="str">
        <x:v>站点</x:v>
      </x:c>
      <x:c r="B227" s="15" t="str">
        <x:v>印度尼西亚</x:v>
      </x:c>
      <x:c r="C227" s="16" t="n">
        <x:v>46248</x:v>
      </x:c>
      <x:c r="D227" s="17" t="n">
        <x:v>2070</x:v>
      </x:c>
      <x:c r="E227" s="17" t="n">
        <x:v>3787</x:v>
      </x:c>
      <x:c r="F227" s="18" t="n">
        <x:v>26724.97</x:v>
      </x:c>
    </x:row>
    <x:row r="228">
      <x:c r="A228" s="14" t="str">
        <x:v>站点</x:v>
      </x:c>
      <x:c r="B228" s="15" t="str">
        <x:v>印度尼西亚</x:v>
      </x:c>
      <x:c r="C228" s="16" t="n">
        <x:v>46249</x:v>
      </x:c>
      <x:c r="D228" s="17" t="n">
        <x:v>1711</x:v>
      </x:c>
      <x:c r="E228" s="17" t="n">
        <x:v>3131</x:v>
      </x:c>
      <x:c r="F228" s="18" t="n">
        <x:v>22333.53</x:v>
      </x:c>
    </x:row>
    <x:row r="229">
      <x:c r="A229" s="14" t="str">
        <x:v>站点</x:v>
      </x:c>
      <x:c r="B229" s="15" t="str">
        <x:v>印度尼西亚</x:v>
      </x:c>
      <x:c r="C229" s="16" t="n">
        <x:v>46250</x:v>
      </x:c>
      <x:c r="D229" s="17" t="n">
        <x:v>1201</x:v>
      </x:c>
      <x:c r="E229" s="17" t="n">
        <x:v>2348</x:v>
      </x:c>
      <x:c r="F229" s="18" t="n">
        <x:v>16005.22</x:v>
      </x:c>
    </x:row>
    <x:row r="230">
      <x:c r="A230" s="14" t="str">
        <x:v>站点</x:v>
      </x:c>
      <x:c r="B230" s="15" t="str">
        <x:v>印度尼西亚</x:v>
      </x:c>
      <x:c r="C230" s="16" t="n">
        <x:v>46251</x:v>
      </x:c>
      <x:c r="D230" s="17" t="n">
        <x:v>1727</x:v>
      </x:c>
      <x:c r="E230" s="17" t="n">
        <x:v>3376</x:v>
      </x:c>
      <x:c r="F230" s="18" t="n">
        <x:v>23722.7</x:v>
      </x:c>
    </x:row>
    <x:row r="231">
      <x:c r="A231" s="14" t="str">
        <x:v>站点</x:v>
      </x:c>
      <x:c r="B231" s="15" t="str">
        <x:v>印度尼西亚</x:v>
      </x:c>
      <x:c r="C231" s="16" t="n">
        <x:v>46252</x:v>
      </x:c>
      <x:c r="D231" s="17" t="n">
        <x:v>1830</x:v>
      </x:c>
      <x:c r="E231" s="17" t="n">
        <x:v>3466</x:v>
      </x:c>
      <x:c r="F231" s="18" t="n">
        <x:v>24837.62</x:v>
      </x:c>
    </x:row>
    <x:row r="232">
      <x:c r="A232" s="14" t="str">
        <x:v>站点</x:v>
      </x:c>
      <x:c r="B232" s="15" t="str">
        <x:v>印度尼西亚</x:v>
      </x:c>
      <x:c r="C232" s="16" t="n">
        <x:v>46253</x:v>
      </x:c>
      <x:c r="D232" s="17" t="n">
        <x:v>1634</x:v>
      </x:c>
      <x:c r="E232" s="17" t="n">
        <x:v>3119</x:v>
      </x:c>
      <x:c r="F232" s="18" t="n">
        <x:v>21723.39</x:v>
      </x:c>
    </x:row>
    <x:row r="233">
      <x:c r="A233" s="14" t="str">
        <x:v>站点</x:v>
      </x:c>
      <x:c r="B233" s="15" t="str">
        <x:v>印度尼西亚</x:v>
      </x:c>
      <x:c r="C233" s="16" t="n">
        <x:v>46254</x:v>
      </x:c>
      <x:c r="D233" s="17" t="n">
        <x:v>1192</x:v>
      </x:c>
      <x:c r="E233" s="17" t="n">
        <x:v>2223</x:v>
      </x:c>
      <x:c r="F233" s="18" t="n">
        <x:v>16246.32</x:v>
      </x:c>
    </x:row>
    <x:row r="234">
      <x:c r="A234" s="14" t="str">
        <x:v>站点</x:v>
      </x:c>
      <x:c r="B234" s="15" t="str">
        <x:v>菲律宾</x:v>
      </x:c>
      <x:c r="C234" s="16" t="n">
        <x:v>46023</x:v>
      </x:c>
      <x:c r="D234" s="17" t="n">
        <x:v>0</x:v>
      </x:c>
      <x:c r="E234" s="17" t="n">
        <x:v>0</x:v>
      </x:c>
      <x:c r="F234" s="18" t="n">
        <x:v>0</x:v>
      </x:c>
    </x:row>
    <x:row r="235">
      <x:c r="A235" s="14" t="str">
        <x:v>站点</x:v>
      </x:c>
      <x:c r="B235" s="15" t="str">
        <x:v>菲律宾</x:v>
      </x:c>
      <x:c r="C235" s="16" t="n">
        <x:v>46024</x:v>
      </x:c>
      <x:c r="D235" s="17" t="n">
        <x:v>1199</x:v>
      </x:c>
      <x:c r="E235" s="17" t="n">
        <x:v>2692</x:v>
      </x:c>
      <x:c r="F235" s="18" t="n">
        <x:v>26702.23</x:v>
      </x:c>
    </x:row>
    <x:row r="236">
      <x:c r="A236" s="14" t="str">
        <x:v>站点</x:v>
      </x:c>
      <x:c r="B236" s="15" t="str">
        <x:v>菲律宾</x:v>
      </x:c>
      <x:c r="C236" s="16" t="n">
        <x:v>46025</x:v>
      </x:c>
      <x:c r="D236" s="17" t="n">
        <x:v>586</x:v>
      </x:c>
      <x:c r="E236" s="17" t="n">
        <x:v>1331</x:v>
      </x:c>
      <x:c r="F236" s="18" t="n">
        <x:v>13335.26</x:v>
      </x:c>
    </x:row>
    <x:row r="237">
      <x:c r="A237" s="14" t="str">
        <x:v>站点</x:v>
      </x:c>
      <x:c r="B237" s="15" t="str">
        <x:v>菲律宾</x:v>
      </x:c>
      <x:c r="C237" s="16" t="n">
        <x:v>46026</x:v>
      </x:c>
      <x:c r="D237" s="17" t="n">
        <x:v>553</x:v>
      </x:c>
      <x:c r="E237" s="17" t="n">
        <x:v>1293</x:v>
      </x:c>
      <x:c r="F237" s="18" t="n">
        <x:v>13731.39</x:v>
      </x:c>
    </x:row>
    <x:row r="238">
      <x:c r="A238" s="14" t="str">
        <x:v>站点</x:v>
      </x:c>
      <x:c r="B238" s="15" t="str">
        <x:v>菲律宾</x:v>
      </x:c>
      <x:c r="C238" s="16" t="n">
        <x:v>46027</x:v>
      </x:c>
      <x:c r="D238" s="17" t="n">
        <x:v>722</x:v>
      </x:c>
      <x:c r="E238" s="17" t="n">
        <x:v>1669</x:v>
      </x:c>
      <x:c r="F238" s="18" t="n">
        <x:v>16397.18</x:v>
      </x:c>
    </x:row>
    <x:row r="239">
      <x:c r="A239" s="14" t="str">
        <x:v>站点</x:v>
      </x:c>
      <x:c r="B239" s="15" t="str">
        <x:v>菲律宾</x:v>
      </x:c>
      <x:c r="C239" s="16" t="n">
        <x:v>46028</x:v>
      </x:c>
      <x:c r="D239" s="17" t="n">
        <x:v>762</x:v>
      </x:c>
      <x:c r="E239" s="17" t="n">
        <x:v>1810</x:v>
      </x:c>
      <x:c r="F239" s="18" t="n">
        <x:v>16824.57</x:v>
      </x:c>
    </x:row>
    <x:row r="240">
      <x:c r="A240" s="14" t="str">
        <x:v>站点</x:v>
      </x:c>
      <x:c r="B240" s="15" t="str">
        <x:v>菲律宾</x:v>
      </x:c>
      <x:c r="C240" s="16" t="n">
        <x:v>46029</x:v>
      </x:c>
      <x:c r="D240" s="17" t="n">
        <x:v>727</x:v>
      </x:c>
      <x:c r="E240" s="17" t="n">
        <x:v>1712</x:v>
      </x:c>
      <x:c r="F240" s="18" t="n">
        <x:v>16072.43</x:v>
      </x:c>
    </x:row>
    <x:row r="241">
      <x:c r="A241" s="14" t="str">
        <x:v>站点</x:v>
      </x:c>
      <x:c r="B241" s="15" t="str">
        <x:v>菲律宾</x:v>
      </x:c>
      <x:c r="C241" s="16" t="n">
        <x:v>46030</x:v>
      </x:c>
      <x:c r="D241" s="17" t="n">
        <x:v>645</x:v>
      </x:c>
      <x:c r="E241" s="17" t="n">
        <x:v>1538</x:v>
      </x:c>
      <x:c r="F241" s="18" t="n">
        <x:v>14222.57</x:v>
      </x:c>
    </x:row>
    <x:row r="242">
      <x:c r="A242" s="14" t="str">
        <x:v>站点</x:v>
      </x:c>
      <x:c r="B242" s="15" t="str">
        <x:v>菲律宾</x:v>
      </x:c>
      <x:c r="C242" s="16" t="n">
        <x:v>46031</x:v>
      </x:c>
      <x:c r="D242" s="17" t="n">
        <x:v>723</x:v>
      </x:c>
      <x:c r="E242" s="17" t="n">
        <x:v>1724</x:v>
      </x:c>
      <x:c r="F242" s="18" t="n">
        <x:v>15432.45</x:v>
      </x:c>
    </x:row>
    <x:row r="243">
      <x:c r="A243" s="14" t="str">
        <x:v>站点</x:v>
      </x:c>
      <x:c r="B243" s="15" t="str">
        <x:v>菲律宾</x:v>
      </x:c>
      <x:c r="C243" s="16" t="n">
        <x:v>46032</x:v>
      </x:c>
      <x:c r="D243" s="17" t="n">
        <x:v>704</x:v>
      </x:c>
      <x:c r="E243" s="17" t="n">
        <x:v>1634</x:v>
      </x:c>
      <x:c r="F243" s="18" t="n">
        <x:v>15095.55</x:v>
      </x:c>
    </x:row>
    <x:row r="244">
      <x:c r="A244" s="14" t="str">
        <x:v>站点</x:v>
      </x:c>
      <x:c r="B244" s="15" t="str">
        <x:v>菲律宾</x:v>
      </x:c>
      <x:c r="C244" s="16" t="n">
        <x:v>46033</x:v>
      </x:c>
      <x:c r="D244" s="17" t="n">
        <x:v>734</x:v>
      </x:c>
      <x:c r="E244" s="17" t="n">
        <x:v>1654</x:v>
      </x:c>
      <x:c r="F244" s="18" t="n">
        <x:v>15253.51</x:v>
      </x:c>
    </x:row>
    <x:row r="245">
      <x:c r="A245" s="14" t="str">
        <x:v>站点</x:v>
      </x:c>
      <x:c r="B245" s="15" t="str">
        <x:v>菲律宾</x:v>
      </x:c>
      <x:c r="C245" s="16" t="n">
        <x:v>46034</x:v>
      </x:c>
      <x:c r="D245" s="17" t="n">
        <x:v>678</x:v>
      </x:c>
      <x:c r="E245" s="17" t="n">
        <x:v>1518</x:v>
      </x:c>
      <x:c r="F245" s="18" t="n">
        <x:v>14356.69</x:v>
      </x:c>
    </x:row>
    <x:row r="246">
      <x:c r="A246" s="14" t="str">
        <x:v>站点</x:v>
      </x:c>
      <x:c r="B246" s="15" t="str">
        <x:v>菲律宾</x:v>
      </x:c>
      <x:c r="C246" s="16" t="n">
        <x:v>46035</x:v>
      </x:c>
      <x:c r="D246" s="17" t="n">
        <x:v>718</x:v>
      </x:c>
      <x:c r="E246" s="17" t="n">
        <x:v>1622</x:v>
      </x:c>
      <x:c r="F246" s="18" t="n">
        <x:v>14501.87</x:v>
      </x:c>
    </x:row>
    <x:row r="247">
      <x:c r="A247" s="14" t="str">
        <x:v>站点</x:v>
      </x:c>
      <x:c r="B247" s="15" t="str">
        <x:v>菲律宾</x:v>
      </x:c>
      <x:c r="C247" s="16" t="n">
        <x:v>46036</x:v>
      </x:c>
      <x:c r="D247" s="17" t="n">
        <x:v>775</x:v>
      </x:c>
      <x:c r="E247" s="17" t="n">
        <x:v>1731</x:v>
      </x:c>
      <x:c r="F247" s="18" t="n">
        <x:v>15593.3</x:v>
      </x:c>
    </x:row>
    <x:row r="248">
      <x:c r="A248" s="14" t="str">
        <x:v>站点</x:v>
      </x:c>
      <x:c r="B248" s="15" t="str">
        <x:v>菲律宾</x:v>
      </x:c>
      <x:c r="C248" s="16" t="n">
        <x:v>46037</x:v>
      </x:c>
      <x:c r="D248" s="17" t="n">
        <x:v>819</x:v>
      </x:c>
      <x:c r="E248" s="17" t="n">
        <x:v>1972</x:v>
      </x:c>
      <x:c r="F248" s="18" t="n">
        <x:v>16302.38</x:v>
      </x:c>
    </x:row>
    <x:row r="249">
      <x:c r="A249" s="14" t="str">
        <x:v>站点</x:v>
      </x:c>
      <x:c r="B249" s="15" t="str">
        <x:v>菲律宾</x:v>
      </x:c>
      <x:c r="C249" s="16" t="n">
        <x:v>46038</x:v>
      </x:c>
      <x:c r="D249" s="17" t="n">
        <x:v>684</x:v>
      </x:c>
      <x:c r="E249" s="17" t="n">
        <x:v>1574</x:v>
      </x:c>
      <x:c r="F249" s="18" t="n">
        <x:v>12557.07</x:v>
      </x:c>
    </x:row>
    <x:row r="250">
      <x:c r="A250" s="14" t="str">
        <x:v>站点</x:v>
      </x:c>
      <x:c r="B250" s="15" t="str">
        <x:v>菲律宾</x:v>
      </x:c>
      <x:c r="C250" s="16" t="n">
        <x:v>46039</x:v>
      </x:c>
      <x:c r="D250" s="17" t="n">
        <x:v>671</x:v>
      </x:c>
      <x:c r="E250" s="17" t="n">
        <x:v>1607</x:v>
      </x:c>
      <x:c r="F250" s="18" t="n">
        <x:v>13353.65</x:v>
      </x:c>
    </x:row>
    <x:row r="251">
      <x:c r="A251" s="14" t="str">
        <x:v>站点</x:v>
      </x:c>
      <x:c r="B251" s="15" t="str">
        <x:v>菲律宾</x:v>
      </x:c>
      <x:c r="C251" s="16" t="n">
        <x:v>46040</x:v>
      </x:c>
      <x:c r="D251" s="17" t="n">
        <x:v>643</x:v>
      </x:c>
      <x:c r="E251" s="17" t="n">
        <x:v>1436</x:v>
      </x:c>
      <x:c r="F251" s="18" t="n">
        <x:v>13372.65</x:v>
      </x:c>
    </x:row>
    <x:row r="252">
      <x:c r="A252" s="14" t="str">
        <x:v>站点</x:v>
      </x:c>
      <x:c r="B252" s="15" t="str">
        <x:v>菲律宾</x:v>
      </x:c>
      <x:c r="C252" s="16" t="n">
        <x:v>46041</x:v>
      </x:c>
      <x:c r="D252" s="17" t="n">
        <x:v>676</x:v>
      </x:c>
      <x:c r="E252" s="17" t="n">
        <x:v>1588</x:v>
      </x:c>
      <x:c r="F252" s="18" t="n">
        <x:v>13848.12</x:v>
      </x:c>
    </x:row>
    <x:row r="253">
      <x:c r="A253" s="14" t="str">
        <x:v>站点</x:v>
      </x:c>
      <x:c r="B253" s="15" t="str">
        <x:v>菲律宾</x:v>
      </x:c>
      <x:c r="C253" s="16" t="n">
        <x:v>46042</x:v>
      </x:c>
      <x:c r="D253" s="17" t="n">
        <x:v>680</x:v>
      </x:c>
      <x:c r="E253" s="17" t="n">
        <x:v>1482</x:v>
      </x:c>
      <x:c r="F253" s="18" t="n">
        <x:v>13815.93</x:v>
      </x:c>
    </x:row>
    <x:row r="254">
      <x:c r="A254" s="14" t="str">
        <x:v>站点</x:v>
      </x:c>
      <x:c r="B254" s="15" t="str">
        <x:v>菲律宾</x:v>
      </x:c>
      <x:c r="C254" s="16" t="n">
        <x:v>46043</x:v>
      </x:c>
      <x:c r="D254" s="17" t="n">
        <x:v>630</x:v>
      </x:c>
      <x:c r="E254" s="17" t="n">
        <x:v>1381</x:v>
      </x:c>
      <x:c r="F254" s="18" t="n">
        <x:v>13102.12</x:v>
      </x:c>
    </x:row>
    <x:row r="255">
      <x:c r="A255" s="14" t="str">
        <x:v>站点</x:v>
      </x:c>
      <x:c r="B255" s="15" t="str">
        <x:v>菲律宾</x:v>
      </x:c>
      <x:c r="C255" s="16" t="n">
        <x:v>46044</x:v>
      </x:c>
      <x:c r="D255" s="17" t="n">
        <x:v>599</x:v>
      </x:c>
      <x:c r="E255" s="17" t="n">
        <x:v>1248</x:v>
      </x:c>
      <x:c r="F255" s="18" t="n">
        <x:v>11827.64</x:v>
      </x:c>
    </x:row>
    <x:row r="256">
      <x:c r="A256" s="14" t="str">
        <x:v>站点</x:v>
      </x:c>
      <x:c r="B256" s="15" t="str">
        <x:v>菲律宾</x:v>
      </x:c>
      <x:c r="C256" s="16" t="n">
        <x:v>46045</x:v>
      </x:c>
      <x:c r="D256" s="17" t="n">
        <x:v>735</x:v>
      </x:c>
      <x:c r="E256" s="17" t="n">
        <x:v>1559</x:v>
      </x:c>
      <x:c r="F256" s="18" t="n">
        <x:v>14839.36</x:v>
      </x:c>
    </x:row>
    <x:row r="257">
      <x:c r="A257" s="14" t="str">
        <x:v>站点</x:v>
      </x:c>
      <x:c r="B257" s="15" t="str">
        <x:v>菲律宾</x:v>
      </x:c>
      <x:c r="C257" s="16" t="n">
        <x:v>46046</x:v>
      </x:c>
      <x:c r="D257" s="17" t="n">
        <x:v>824</x:v>
      </x:c>
      <x:c r="E257" s="17" t="n">
        <x:v>1799</x:v>
      </x:c>
      <x:c r="F257" s="18" t="n">
        <x:v>15571.86</x:v>
      </x:c>
    </x:row>
    <x:row r="258">
      <x:c r="A258" s="14" t="str">
        <x:v>站点</x:v>
      </x:c>
      <x:c r="B258" s="15" t="str">
        <x:v>菲律宾</x:v>
      </x:c>
      <x:c r="C258" s="16" t="n">
        <x:v>46047</x:v>
      </x:c>
      <x:c r="D258" s="17" t="n">
        <x:v>805</x:v>
      </x:c>
      <x:c r="E258" s="17" t="n">
        <x:v>1776</x:v>
      </x:c>
      <x:c r="F258" s="18" t="n">
        <x:v>15743.18</x:v>
      </x:c>
    </x:row>
    <x:row r="259">
      <x:c r="A259" s="14" t="str">
        <x:v>站点</x:v>
      </x:c>
      <x:c r="B259" s="15" t="str">
        <x:v>菲律宾</x:v>
      </x:c>
      <x:c r="C259" s="16" t="n">
        <x:v>46048</x:v>
      </x:c>
      <x:c r="D259" s="17" t="n">
        <x:v>785</x:v>
      </x:c>
      <x:c r="E259" s="17" t="n">
        <x:v>1591</x:v>
      </x:c>
      <x:c r="F259" s="18" t="n">
        <x:v>15980.76</x:v>
      </x:c>
    </x:row>
    <x:row r="260">
      <x:c r="A260" s="14" t="str">
        <x:v>站点</x:v>
      </x:c>
      <x:c r="B260" s="15" t="str">
        <x:v>菲律宾</x:v>
      </x:c>
      <x:c r="C260" s="16" t="n">
        <x:v>46049</x:v>
      </x:c>
      <x:c r="D260" s="17" t="n">
        <x:v>740</x:v>
      </x:c>
      <x:c r="E260" s="17" t="n">
        <x:v>1474</x:v>
      </x:c>
      <x:c r="F260" s="18" t="n">
        <x:v>14441.56</x:v>
      </x:c>
    </x:row>
    <x:row r="261">
      <x:c r="A261" s="14" t="str">
        <x:v>站点</x:v>
      </x:c>
      <x:c r="B261" s="15" t="str">
        <x:v>菲律宾</x:v>
      </x:c>
      <x:c r="C261" s="16" t="n">
        <x:v>46050</x:v>
      </x:c>
      <x:c r="D261" s="17" t="n">
        <x:v>758</x:v>
      </x:c>
      <x:c r="E261" s="17" t="n">
        <x:v>1577</x:v>
      </x:c>
      <x:c r="F261" s="18" t="n">
        <x:v>15352.43</x:v>
      </x:c>
    </x:row>
    <x:row r="262">
      <x:c r="A262" s="14" t="str">
        <x:v>站点</x:v>
      </x:c>
      <x:c r="B262" s="15" t="str">
        <x:v>菲律宾</x:v>
      </x:c>
      <x:c r="C262" s="16" t="n">
        <x:v>46051</x:v>
      </x:c>
      <x:c r="D262" s="17" t="n">
        <x:v>827</x:v>
      </x:c>
      <x:c r="E262" s="17" t="n">
        <x:v>1618</x:v>
      </x:c>
      <x:c r="F262" s="18" t="n">
        <x:v>16386.27</x:v>
      </x:c>
    </x:row>
    <x:row r="263">
      <x:c r="A263" s="14" t="str">
        <x:v>站点</x:v>
      </x:c>
      <x:c r="B263" s="15" t="str">
        <x:v>菲律宾</x:v>
      </x:c>
      <x:c r="C263" s="16" t="n">
        <x:v>46052</x:v>
      </x:c>
      <x:c r="D263" s="17" t="n">
        <x:v>898</x:v>
      </x:c>
      <x:c r="E263" s="17" t="n">
        <x:v>1713</x:v>
      </x:c>
      <x:c r="F263" s="18" t="n">
        <x:v>17491.33</x:v>
      </x:c>
    </x:row>
    <x:row r="264">
      <x:c r="A264" s="14" t="str">
        <x:v>站点</x:v>
      </x:c>
      <x:c r="B264" s="15" t="str">
        <x:v>菲律宾</x:v>
      </x:c>
      <x:c r="C264" s="16" t="n">
        <x:v>46053</x:v>
      </x:c>
      <x:c r="D264" s="17" t="n">
        <x:v>951</x:v>
      </x:c>
      <x:c r="E264" s="17" t="n">
        <x:v>1876</x:v>
      </x:c>
      <x:c r="F264" s="18" t="n">
        <x:v>20137.17</x:v>
      </x:c>
    </x:row>
    <x:row r="265">
      <x:c r="A265" s="14" t="str">
        <x:v>站点</x:v>
      </x:c>
      <x:c r="B265" s="15" t="str">
        <x:v>菲律宾</x:v>
      </x:c>
      <x:c r="C265" s="16" t="n">
        <x:v>46054</x:v>
      </x:c>
      <x:c r="D265" s="17" t="n">
        <x:v>875</x:v>
      </x:c>
      <x:c r="E265" s="17" t="n">
        <x:v>1690</x:v>
      </x:c>
      <x:c r="F265" s="18" t="n">
        <x:v>17865.31</x:v>
      </x:c>
    </x:row>
    <x:row r="266">
      <x:c r="A266" s="14" t="str">
        <x:v>站点</x:v>
      </x:c>
      <x:c r="B266" s="15" t="str">
        <x:v>菲律宾</x:v>
      </x:c>
      <x:c r="C266" s="16" t="n">
        <x:v>46055</x:v>
      </x:c>
      <x:c r="D266" s="17" t="n">
        <x:v>1079</x:v>
      </x:c>
      <x:c r="E266" s="17" t="n">
        <x:v>2034</x:v>
      </x:c>
      <x:c r="F266" s="18" t="n">
        <x:v>22527.73</x:v>
      </x:c>
    </x:row>
    <x:row r="267">
      <x:c r="A267" s="14" t="str">
        <x:v>站点</x:v>
      </x:c>
      <x:c r="B267" s="15" t="str">
        <x:v>菲律宾</x:v>
      </x:c>
      <x:c r="C267" s="16" t="n">
        <x:v>46056</x:v>
      </x:c>
      <x:c r="D267" s="17" t="n">
        <x:v>989</x:v>
      </x:c>
      <x:c r="E267" s="17" t="n">
        <x:v>2173</x:v>
      </x:c>
      <x:c r="F267" s="18" t="n">
        <x:v>19899.69</x:v>
      </x:c>
    </x:row>
    <x:row r="268">
      <x:c r="A268" s="14" t="str">
        <x:v>站点</x:v>
      </x:c>
      <x:c r="B268" s="15" t="str">
        <x:v>菲律宾</x:v>
      </x:c>
      <x:c r="C268" s="16" t="n">
        <x:v>46057</x:v>
      </x:c>
      <x:c r="D268" s="17" t="n">
        <x:v>859</x:v>
      </x:c>
      <x:c r="E268" s="17" t="n">
        <x:v>1901</x:v>
      </x:c>
      <x:c r="F268" s="18" t="n">
        <x:v>17324</x:v>
      </x:c>
    </x:row>
    <x:row r="269">
      <x:c r="A269" s="14" t="str">
        <x:v>站点</x:v>
      </x:c>
      <x:c r="B269" s="15" t="str">
        <x:v>菲律宾</x:v>
      </x:c>
      <x:c r="C269" s="16" t="n">
        <x:v>46058</x:v>
      </x:c>
      <x:c r="D269" s="17" t="n">
        <x:v>913</x:v>
      </x:c>
      <x:c r="E269" s="17" t="n">
        <x:v>1991</x:v>
      </x:c>
      <x:c r="F269" s="18" t="n">
        <x:v>18195.65</x:v>
      </x:c>
    </x:row>
    <x:row r="270">
      <x:c r="A270" s="14" t="str">
        <x:v>站点</x:v>
      </x:c>
      <x:c r="B270" s="15" t="str">
        <x:v>菲律宾</x:v>
      </x:c>
      <x:c r="C270" s="16" t="n">
        <x:v>46059</x:v>
      </x:c>
      <x:c r="D270" s="17" t="n">
        <x:v>969</x:v>
      </x:c>
      <x:c r="E270" s="17" t="n">
        <x:v>2217</x:v>
      </x:c>
      <x:c r="F270" s="18" t="n">
        <x:v>18577.19</x:v>
      </x:c>
    </x:row>
    <x:row r="271">
      <x:c r="A271" s="14" t="str">
        <x:v>站点</x:v>
      </x:c>
      <x:c r="B271" s="15" t="str">
        <x:v>菲律宾</x:v>
      </x:c>
      <x:c r="C271" s="16" t="n">
        <x:v>46060</x:v>
      </x:c>
      <x:c r="D271" s="17" t="n">
        <x:v>938</x:v>
      </x:c>
      <x:c r="E271" s="17" t="n">
        <x:v>2169</x:v>
      </x:c>
      <x:c r="F271" s="18" t="n">
        <x:v>18298.79</x:v>
      </x:c>
    </x:row>
    <x:row r="272">
      <x:c r="A272" s="14" t="str">
        <x:v>站点</x:v>
      </x:c>
      <x:c r="B272" s="15" t="str">
        <x:v>菲律宾</x:v>
      </x:c>
      <x:c r="C272" s="16" t="n">
        <x:v>46061</x:v>
      </x:c>
      <x:c r="D272" s="17" t="n">
        <x:v>902</x:v>
      </x:c>
      <x:c r="E272" s="17" t="n">
        <x:v>1846</x:v>
      </x:c>
      <x:c r="F272" s="18" t="n">
        <x:v>18317.02</x:v>
      </x:c>
    </x:row>
    <x:row r="273">
      <x:c r="A273" s="14" t="str">
        <x:v>站点</x:v>
      </x:c>
      <x:c r="B273" s="15" t="str">
        <x:v>菲律宾</x:v>
      </x:c>
      <x:c r="C273" s="16" t="n">
        <x:v>46062</x:v>
      </x:c>
      <x:c r="D273" s="17" t="n">
        <x:v>825</x:v>
      </x:c>
      <x:c r="E273" s="17" t="n">
        <x:v>1735</x:v>
      </x:c>
      <x:c r="F273" s="18" t="n">
        <x:v>16697.09</x:v>
      </x:c>
    </x:row>
    <x:row r="274">
      <x:c r="A274" s="14" t="str">
        <x:v>站点</x:v>
      </x:c>
      <x:c r="B274" s="15" t="str">
        <x:v>菲律宾</x:v>
      </x:c>
      <x:c r="C274" s="16" t="n">
        <x:v>46063</x:v>
      </x:c>
      <x:c r="D274" s="17" t="n">
        <x:v>2021</x:v>
      </x:c>
      <x:c r="E274" s="17" t="n">
        <x:v>3511</x:v>
      </x:c>
      <x:c r="F274" s="18" t="n">
        <x:v>33648.71</x:v>
      </x:c>
    </x:row>
    <x:row r="275">
      <x:c r="A275" s="14" t="str">
        <x:v>站点</x:v>
      </x:c>
      <x:c r="B275" s="15" t="str">
        <x:v>菲律宾</x:v>
      </x:c>
      <x:c r="C275" s="16" t="n">
        <x:v>46064</x:v>
      </x:c>
      <x:c r="D275" s="17" t="n">
        <x:v>1666</x:v>
      </x:c>
      <x:c r="E275" s="17" t="n">
        <x:v>2869</x:v>
      </x:c>
      <x:c r="F275" s="18" t="n">
        <x:v>28774.64</x:v>
      </x:c>
    </x:row>
    <x:row r="276">
      <x:c r="A276" s="14" t="str">
        <x:v>站点</x:v>
      </x:c>
      <x:c r="B276" s="15" t="str">
        <x:v>菲律宾</x:v>
      </x:c>
      <x:c r="C276" s="16" t="n">
        <x:v>46065</x:v>
      </x:c>
      <x:c r="D276" s="17" t="n">
        <x:v>1423</x:v>
      </x:c>
      <x:c r="E276" s="17" t="n">
        <x:v>2464</x:v>
      </x:c>
      <x:c r="F276" s="18" t="n">
        <x:v>25928.56</x:v>
      </x:c>
    </x:row>
    <x:row r="277">
      <x:c r="A277" s="14" t="str">
        <x:v>站点</x:v>
      </x:c>
      <x:c r="B277" s="15" t="str">
        <x:v>菲律宾</x:v>
      </x:c>
      <x:c r="C277" s="16" t="n">
        <x:v>46066</x:v>
      </x:c>
      <x:c r="D277" s="17" t="n">
        <x:v>1492</x:v>
      </x:c>
      <x:c r="E277" s="17" t="n">
        <x:v>2535</x:v>
      </x:c>
      <x:c r="F277" s="18" t="n">
        <x:v>25816.28</x:v>
      </x:c>
    </x:row>
    <x:row r="278">
      <x:c r="A278" s="14" t="str">
        <x:v>站点</x:v>
      </x:c>
      <x:c r="B278" s="15" t="str">
        <x:v>菲律宾</x:v>
      </x:c>
      <x:c r="C278" s="16" t="n">
        <x:v>46067</x:v>
      </x:c>
      <x:c r="D278" s="17" t="n">
        <x:v>1450</x:v>
      </x:c>
      <x:c r="E278" s="17" t="n">
        <x:v>2516</x:v>
      </x:c>
      <x:c r="F278" s="18" t="n">
        <x:v>25968.18</x:v>
      </x:c>
    </x:row>
    <x:row r="279">
      <x:c r="A279" s="14" t="str">
        <x:v>站点</x:v>
      </x:c>
      <x:c r="B279" s="15" t="str">
        <x:v>菲律宾</x:v>
      </x:c>
      <x:c r="C279" s="16" t="n">
        <x:v>46068</x:v>
      </x:c>
      <x:c r="D279" s="17" t="n">
        <x:v>1237</x:v>
      </x:c>
      <x:c r="E279" s="17" t="n">
        <x:v>2089</x:v>
      </x:c>
      <x:c r="F279" s="18" t="n">
        <x:v>21538.14</x:v>
      </x:c>
    </x:row>
    <x:row r="280">
      <x:c r="A280" s="14" t="str">
        <x:v>站点</x:v>
      </x:c>
      <x:c r="B280" s="15" t="str">
        <x:v>菲律宾</x:v>
      </x:c>
      <x:c r="C280" s="16" t="n">
        <x:v>46069</x:v>
      </x:c>
      <x:c r="D280" s="17" t="n">
        <x:v>1351</x:v>
      </x:c>
      <x:c r="E280" s="17" t="n">
        <x:v>2333</x:v>
      </x:c>
      <x:c r="F280" s="18" t="n">
        <x:v>23473.43</x:v>
      </x:c>
    </x:row>
    <x:row r="281">
      <x:c r="A281" s="14" t="str">
        <x:v>站点</x:v>
      </x:c>
      <x:c r="B281" s="15" t="str">
        <x:v>菲律宾</x:v>
      </x:c>
      <x:c r="C281" s="16" t="n">
        <x:v>46070</x:v>
      </x:c>
      <x:c r="D281" s="17" t="n">
        <x:v>751</x:v>
      </x:c>
      <x:c r="E281" s="17" t="n">
        <x:v>1283</x:v>
      </x:c>
      <x:c r="F281" s="18" t="n">
        <x:v>13257.2</x:v>
      </x:c>
    </x:row>
    <x:row r="282">
      <x:c r="A282" s="14" t="str">
        <x:v>站点</x:v>
      </x:c>
      <x:c r="B282" s="15" t="str">
        <x:v>菲律宾</x:v>
      </x:c>
      <x:c r="C282" s="16" t="n">
        <x:v>46071</x:v>
      </x:c>
      <x:c r="D282" s="17" t="n">
        <x:v>1538</x:v>
      </x:c>
      <x:c r="E282" s="17" t="n">
        <x:v>2723</x:v>
      </x:c>
      <x:c r="F282" s="18" t="n">
        <x:v>28703.14</x:v>
      </x:c>
    </x:row>
    <x:row r="283">
      <x:c r="A283" s="14" t="str">
        <x:v>站点</x:v>
      </x:c>
      <x:c r="B283" s="15" t="str">
        <x:v>菲律宾</x:v>
      </x:c>
      <x:c r="C283" s="16" t="n">
        <x:v>46072</x:v>
      </x:c>
      <x:c r="D283" s="17" t="n">
        <x:v>880</x:v>
      </x:c>
      <x:c r="E283" s="17" t="n">
        <x:v>1574</x:v>
      </x:c>
      <x:c r="F283" s="18" t="n">
        <x:v>17642.66</x:v>
      </x:c>
    </x:row>
    <x:row r="284">
      <x:c r="A284" s="14" t="str">
        <x:v>站点</x:v>
      </x:c>
      <x:c r="B284" s="15" t="str">
        <x:v>菲律宾</x:v>
      </x:c>
      <x:c r="C284" s="16" t="n">
        <x:v>46073</x:v>
      </x:c>
      <x:c r="D284" s="17" t="n">
        <x:v>888</x:v>
      </x:c>
      <x:c r="E284" s="17" t="n">
        <x:v>1559</x:v>
      </x:c>
      <x:c r="F284" s="18" t="n">
        <x:v>16850.3</x:v>
      </x:c>
    </x:row>
    <x:row r="285">
      <x:c r="A285" s="14" t="str">
        <x:v>站点</x:v>
      </x:c>
      <x:c r="B285" s="15" t="str">
        <x:v>菲律宾</x:v>
      </x:c>
      <x:c r="C285" s="16" t="n">
        <x:v>46074</x:v>
      </x:c>
      <x:c r="D285" s="17" t="n">
        <x:v>814</x:v>
      </x:c>
      <x:c r="E285" s="17" t="n">
        <x:v>1473</x:v>
      </x:c>
      <x:c r="F285" s="18" t="n">
        <x:v>15385.07</x:v>
      </x:c>
    </x:row>
    <x:row r="286">
      <x:c r="A286" s="14" t="str">
        <x:v>站点</x:v>
      </x:c>
      <x:c r="B286" s="15" t="str">
        <x:v>菲律宾</x:v>
      </x:c>
      <x:c r="C286" s="16" t="n">
        <x:v>46075</x:v>
      </x:c>
      <x:c r="D286" s="17" t="n">
        <x:v>876</x:v>
      </x:c>
      <x:c r="E286" s="17" t="n">
        <x:v>1589</x:v>
      </x:c>
      <x:c r="F286" s="18" t="n">
        <x:v>16522.46</x:v>
      </x:c>
    </x:row>
    <x:row r="287">
      <x:c r="A287" s="14" t="str">
        <x:v>站点</x:v>
      </x:c>
      <x:c r="B287" s="15" t="str">
        <x:v>菲律宾</x:v>
      </x:c>
      <x:c r="C287" s="16" t="n">
        <x:v>46076</x:v>
      </x:c>
      <x:c r="D287" s="17" t="n">
        <x:v>1014</x:v>
      </x:c>
      <x:c r="E287" s="17" t="n">
        <x:v>1861</x:v>
      </x:c>
      <x:c r="F287" s="18" t="n">
        <x:v>18234.91</x:v>
      </x:c>
    </x:row>
    <x:row r="288">
      <x:c r="A288" s="14" t="str">
        <x:v>站点</x:v>
      </x:c>
      <x:c r="B288" s="15" t="str">
        <x:v>菲律宾</x:v>
      </x:c>
      <x:c r="C288" s="16" t="n">
        <x:v>46077</x:v>
      </x:c>
      <x:c r="D288" s="17" t="n">
        <x:v>823</x:v>
      </x:c>
      <x:c r="E288" s="17" t="n">
        <x:v>1451</x:v>
      </x:c>
      <x:c r="F288" s="18" t="n">
        <x:v>14642.46</x:v>
      </x:c>
    </x:row>
    <x:row r="289">
      <x:c r="A289" s="14" t="str">
        <x:v>站点</x:v>
      </x:c>
      <x:c r="B289" s="15" t="str">
        <x:v>菲律宾</x:v>
      </x:c>
      <x:c r="C289" s="16" t="n">
        <x:v>46078</x:v>
      </x:c>
      <x:c r="D289" s="17" t="n">
        <x:v>784</x:v>
      </x:c>
      <x:c r="E289" s="17" t="n">
        <x:v>1326</x:v>
      </x:c>
      <x:c r="F289" s="18" t="n">
        <x:v>14839.94</x:v>
      </x:c>
    </x:row>
    <x:row r="290">
      <x:c r="A290" s="14" t="str">
        <x:v>站点</x:v>
      </x:c>
      <x:c r="B290" s="15" t="str">
        <x:v>菲律宾</x:v>
      </x:c>
      <x:c r="C290" s="16" t="n">
        <x:v>46079</x:v>
      </x:c>
      <x:c r="D290" s="17" t="n">
        <x:v>652</x:v>
      </x:c>
      <x:c r="E290" s="17" t="n">
        <x:v>1051</x:v>
      </x:c>
      <x:c r="F290" s="18" t="n">
        <x:v>16253.34</x:v>
      </x:c>
    </x:row>
    <x:row r="291">
      <x:c r="A291" s="14" t="str">
        <x:v>站点</x:v>
      </x:c>
      <x:c r="B291" s="15" t="str">
        <x:v>菲律宾</x:v>
      </x:c>
      <x:c r="C291" s="16" t="n">
        <x:v>46080</x:v>
      </x:c>
      <x:c r="D291" s="17" t="n">
        <x:v>707</x:v>
      </x:c>
      <x:c r="E291" s="17" t="n">
        <x:v>1033</x:v>
      </x:c>
      <x:c r="F291" s="18" t="n">
        <x:v>13184.25</x:v>
      </x:c>
    </x:row>
    <x:row r="292">
      <x:c r="A292" s="14" t="str">
        <x:v>站点</x:v>
      </x:c>
      <x:c r="B292" s="15" t="str">
        <x:v>菲律宾</x:v>
      </x:c>
      <x:c r="C292" s="16" t="n">
        <x:v>46081</x:v>
      </x:c>
      <x:c r="D292" s="17" t="n">
        <x:v>774</x:v>
      </x:c>
      <x:c r="E292" s="17" t="n">
        <x:v>1018</x:v>
      </x:c>
      <x:c r="F292" s="18" t="n">
        <x:v>14173.79</x:v>
      </x:c>
    </x:row>
    <x:row r="293">
      <x:c r="A293" s="14" t="str">
        <x:v>站点</x:v>
      </x:c>
      <x:c r="B293" s="15" t="str">
        <x:v>菲律宾</x:v>
      </x:c>
      <x:c r="C293" s="16" t="n">
        <x:v>46082</x:v>
      </x:c>
      <x:c r="D293" s="17" t="n">
        <x:v>681</x:v>
      </x:c>
      <x:c r="E293" s="17" t="n">
        <x:v>979</x:v>
      </x:c>
      <x:c r="F293" s="18" t="n">
        <x:v>13643.32</x:v>
      </x:c>
    </x:row>
    <x:row r="294">
      <x:c r="A294" s="14" t="str">
        <x:v>站点</x:v>
      </x:c>
      <x:c r="B294" s="15" t="str">
        <x:v>菲律宾</x:v>
      </x:c>
      <x:c r="C294" s="16" t="n">
        <x:v>46083</x:v>
      </x:c>
      <x:c r="D294" s="17" t="n">
        <x:v>727</x:v>
      </x:c>
      <x:c r="E294" s="17" t="n">
        <x:v>1048</x:v>
      </x:c>
      <x:c r="F294" s="18" t="n">
        <x:v>14111.61</x:v>
      </x:c>
    </x:row>
    <x:row r="295">
      <x:c r="A295" s="14" t="str">
        <x:v>站点</x:v>
      </x:c>
      <x:c r="B295" s="15" t="str">
        <x:v>菲律宾</x:v>
      </x:c>
      <x:c r="C295" s="16" t="n">
        <x:v>46084</x:v>
      </x:c>
      <x:c r="D295" s="17" t="n">
        <x:v>745</x:v>
      </x:c>
      <x:c r="E295" s="17" t="n">
        <x:v>1061</x:v>
      </x:c>
      <x:c r="F295" s="18" t="n">
        <x:v>15187.45</x:v>
      </x:c>
    </x:row>
    <x:row r="296">
      <x:c r="A296" s="14" t="str">
        <x:v>站点</x:v>
      </x:c>
      <x:c r="B296" s="15" t="str">
        <x:v>菲律宾</x:v>
      </x:c>
      <x:c r="C296" s="16" t="n">
        <x:v>46085</x:v>
      </x:c>
      <x:c r="D296" s="17" t="n">
        <x:v>782</x:v>
      </x:c>
      <x:c r="E296" s="17" t="n">
        <x:v>1183</x:v>
      </x:c>
      <x:c r="F296" s="18" t="n">
        <x:v>16043.73</x:v>
      </x:c>
    </x:row>
    <x:row r="297">
      <x:c r="A297" s="14" t="str">
        <x:v>站点</x:v>
      </x:c>
      <x:c r="B297" s="15" t="str">
        <x:v>菲律宾</x:v>
      </x:c>
      <x:c r="C297" s="16" t="n">
        <x:v>46086</x:v>
      </x:c>
      <x:c r="D297" s="17" t="n">
        <x:v>807</x:v>
      </x:c>
      <x:c r="E297" s="17" t="n">
        <x:v>1267</x:v>
      </x:c>
      <x:c r="F297" s="18" t="n">
        <x:v>16373</x:v>
      </x:c>
    </x:row>
    <x:row r="298">
      <x:c r="A298" s="14" t="str">
        <x:v>站点</x:v>
      </x:c>
      <x:c r="B298" s="15" t="str">
        <x:v>菲律宾</x:v>
      </x:c>
      <x:c r="C298" s="16" t="n">
        <x:v>46087</x:v>
      </x:c>
      <x:c r="D298" s="17" t="n">
        <x:v>691</x:v>
      </x:c>
      <x:c r="E298" s="17" t="n">
        <x:v>1134</x:v>
      </x:c>
      <x:c r="F298" s="18" t="n">
        <x:v>14339.72</x:v>
      </x:c>
    </x:row>
    <x:row r="299">
      <x:c r="A299" s="14" t="str">
        <x:v>站点</x:v>
      </x:c>
      <x:c r="B299" s="15" t="str">
        <x:v>菲律宾</x:v>
      </x:c>
      <x:c r="C299" s="16" t="n">
        <x:v>46088</x:v>
      </x:c>
      <x:c r="D299" s="17" t="n">
        <x:v>544</x:v>
      </x:c>
      <x:c r="E299" s="17" t="n">
        <x:v>863</x:v>
      </x:c>
      <x:c r="F299" s="18" t="n">
        <x:v>11861.24</x:v>
      </x:c>
    </x:row>
    <x:row r="300">
      <x:c r="A300" s="14" t="str">
        <x:v>站点</x:v>
      </x:c>
      <x:c r="B300" s="15" t="str">
        <x:v>菲律宾</x:v>
      </x:c>
      <x:c r="C300" s="16" t="n">
        <x:v>46089</x:v>
      </x:c>
      <x:c r="D300" s="17" t="n">
        <x:v>476</x:v>
      </x:c>
      <x:c r="E300" s="17" t="n">
        <x:v>734</x:v>
      </x:c>
      <x:c r="F300" s="18" t="n">
        <x:v>9741.65</x:v>
      </x:c>
    </x:row>
    <x:row r="301">
      <x:c r="A301" s="14" t="str">
        <x:v>站点</x:v>
      </x:c>
      <x:c r="B301" s="15" t="str">
        <x:v>菲律宾</x:v>
      </x:c>
      <x:c r="C301" s="16" t="n">
        <x:v>46090</x:v>
      </x:c>
      <x:c r="D301" s="17" t="n">
        <x:v>643</x:v>
      </x:c>
      <x:c r="E301" s="17" t="n">
        <x:v>978</x:v>
      </x:c>
      <x:c r="F301" s="18" t="n">
        <x:v>14598.39</x:v>
      </x:c>
    </x:row>
    <x:row r="302">
      <x:c r="A302" s="14" t="str">
        <x:v>站点</x:v>
      </x:c>
      <x:c r="B302" s="15" t="str">
        <x:v>菲律宾</x:v>
      </x:c>
      <x:c r="C302" s="16" t="n">
        <x:v>46091</x:v>
      </x:c>
      <x:c r="D302" s="17" t="n">
        <x:v>717</x:v>
      </x:c>
      <x:c r="E302" s="17" t="n">
        <x:v>1291</x:v>
      </x:c>
      <x:c r="F302" s="18" t="n">
        <x:v>13725.77</x:v>
      </x:c>
    </x:row>
    <x:row r="303">
      <x:c r="A303" s="14" t="str">
        <x:v>站点</x:v>
      </x:c>
      <x:c r="B303" s="15" t="str">
        <x:v>菲律宾</x:v>
      </x:c>
      <x:c r="C303" s="16" t="n">
        <x:v>46092</x:v>
      </x:c>
      <x:c r="D303" s="17" t="n">
        <x:v>750</x:v>
      </x:c>
      <x:c r="E303" s="17" t="n">
        <x:v>1559</x:v>
      </x:c>
      <x:c r="F303" s="18" t="n">
        <x:v>16344.49</x:v>
      </x:c>
    </x:row>
    <x:row r="304">
      <x:c r="A304" s="14" t="str">
        <x:v>站点</x:v>
      </x:c>
      <x:c r="B304" s="15" t="str">
        <x:v>菲律宾</x:v>
      </x:c>
      <x:c r="C304" s="16" t="n">
        <x:v>46093</x:v>
      </x:c>
      <x:c r="D304" s="17" t="n">
        <x:v>910</x:v>
      </x:c>
      <x:c r="E304" s="17" t="n">
        <x:v>1831</x:v>
      </x:c>
      <x:c r="F304" s="18" t="n">
        <x:v>17904.34</x:v>
      </x:c>
    </x:row>
    <x:row r="305">
      <x:c r="A305" s="14" t="str">
        <x:v>站点</x:v>
      </x:c>
      <x:c r="B305" s="15" t="str">
        <x:v>菲律宾</x:v>
      </x:c>
      <x:c r="C305" s="16" t="n">
        <x:v>46094</x:v>
      </x:c>
      <x:c r="D305" s="17" t="n">
        <x:v>846</x:v>
      </x:c>
      <x:c r="E305" s="17" t="n">
        <x:v>1513</x:v>
      </x:c>
      <x:c r="F305" s="18" t="n">
        <x:v>16654.92</x:v>
      </x:c>
    </x:row>
    <x:row r="306">
      <x:c r="A306" s="14" t="str">
        <x:v>站点</x:v>
      </x:c>
      <x:c r="B306" s="15" t="str">
        <x:v>菲律宾</x:v>
      </x:c>
      <x:c r="C306" s="16" t="n">
        <x:v>46095</x:v>
      </x:c>
      <x:c r="D306" s="17" t="n">
        <x:v>972</x:v>
      </x:c>
      <x:c r="E306" s="17" t="n">
        <x:v>1905</x:v>
      </x:c>
      <x:c r="F306" s="18" t="n">
        <x:v>19148.88</x:v>
      </x:c>
    </x:row>
    <x:row r="307">
      <x:c r="A307" s="14" t="str">
        <x:v>站点</x:v>
      </x:c>
      <x:c r="B307" s="15" t="str">
        <x:v>菲律宾</x:v>
      </x:c>
      <x:c r="C307" s="16" t="n">
        <x:v>46096</x:v>
      </x:c>
      <x:c r="D307" s="17" t="n">
        <x:v>1072</x:v>
      </x:c>
      <x:c r="E307" s="17" t="n">
        <x:v>1955</x:v>
      </x:c>
      <x:c r="F307" s="18" t="n">
        <x:v>20637.52</x:v>
      </x:c>
    </x:row>
    <x:row r="308">
      <x:c r="A308" s="14" t="str">
        <x:v>站点</x:v>
      </x:c>
      <x:c r="B308" s="15" t="str">
        <x:v>菲律宾</x:v>
      </x:c>
      <x:c r="C308" s="16" t="n">
        <x:v>46097</x:v>
      </x:c>
      <x:c r="D308" s="17" t="n">
        <x:v>1292</x:v>
      </x:c>
      <x:c r="E308" s="17" t="n">
        <x:v>2315</x:v>
      </x:c>
      <x:c r="F308" s="18" t="n">
        <x:v>23023.55</x:v>
      </x:c>
    </x:row>
    <x:row r="309">
      <x:c r="A309" s="14" t="str">
        <x:v>站点</x:v>
      </x:c>
      <x:c r="B309" s="15" t="str">
        <x:v>菲律宾</x:v>
      </x:c>
      <x:c r="C309" s="16" t="n">
        <x:v>46098</x:v>
      </x:c>
      <x:c r="D309" s="17" t="n">
        <x:v>1423</x:v>
      </x:c>
      <x:c r="E309" s="17" t="n">
        <x:v>2617</x:v>
      </x:c>
      <x:c r="F309" s="18" t="n">
        <x:v>26769.83</x:v>
      </x:c>
    </x:row>
    <x:row r="310">
      <x:c r="A310" s="14" t="str">
        <x:v>站点</x:v>
      </x:c>
      <x:c r="B310" s="15" t="str">
        <x:v>菲律宾</x:v>
      </x:c>
      <x:c r="C310" s="16" t="n">
        <x:v>46099</x:v>
      </x:c>
      <x:c r="D310" s="17" t="n">
        <x:v>1254</x:v>
      </x:c>
      <x:c r="E310" s="17" t="n">
        <x:v>2269</x:v>
      </x:c>
      <x:c r="F310" s="18" t="n">
        <x:v>22834.29</x:v>
      </x:c>
    </x:row>
    <x:row r="311">
      <x:c r="A311" s="14" t="str">
        <x:v>站点</x:v>
      </x:c>
      <x:c r="B311" s="15" t="str">
        <x:v>菲律宾</x:v>
      </x:c>
      <x:c r="C311" s="16" t="n">
        <x:v>46100</x:v>
      </x:c>
      <x:c r="D311" s="17" t="n">
        <x:v>1226</x:v>
      </x:c>
      <x:c r="E311" s="17" t="n">
        <x:v>2222</x:v>
      </x:c>
      <x:c r="F311" s="18" t="n">
        <x:v>23279.22</x:v>
      </x:c>
    </x:row>
    <x:row r="312">
      <x:c r="A312" s="14" t="str">
        <x:v>站点</x:v>
      </x:c>
      <x:c r="B312" s="15" t="str">
        <x:v>菲律宾</x:v>
      </x:c>
      <x:c r="C312" s="16" t="n">
        <x:v>46101</x:v>
      </x:c>
      <x:c r="D312" s="17" t="n">
        <x:v>1314</x:v>
      </x:c>
      <x:c r="E312" s="17" t="n">
        <x:v>2420</x:v>
      </x:c>
      <x:c r="F312" s="18" t="n">
        <x:v>23631.11</x:v>
      </x:c>
    </x:row>
    <x:row r="313">
      <x:c r="A313" s="14" t="str">
        <x:v>站点</x:v>
      </x:c>
      <x:c r="B313" s="15" t="str">
        <x:v>菲律宾</x:v>
      </x:c>
      <x:c r="C313" s="16" t="n">
        <x:v>46102</x:v>
      </x:c>
      <x:c r="D313" s="17" t="n">
        <x:v>1189</x:v>
      </x:c>
      <x:c r="E313" s="17" t="n">
        <x:v>2040</x:v>
      </x:c>
      <x:c r="F313" s="18" t="n">
        <x:v>21768.57</x:v>
      </x:c>
    </x:row>
    <x:row r="314">
      <x:c r="A314" s="14" t="str">
        <x:v>站点</x:v>
      </x:c>
      <x:c r="B314" s="15" t="str">
        <x:v>菲律宾</x:v>
      </x:c>
      <x:c r="C314" s="16" t="n">
        <x:v>46103</x:v>
      </x:c>
      <x:c r="D314" s="17" t="n">
        <x:v>956</x:v>
      </x:c>
      <x:c r="E314" s="17" t="n">
        <x:v>1766</x:v>
      </x:c>
      <x:c r="F314" s="18" t="n">
        <x:v>17202.7</x:v>
      </x:c>
    </x:row>
    <x:row r="315">
      <x:c r="A315" s="14" t="str">
        <x:v>站点</x:v>
      </x:c>
      <x:c r="B315" s="15" t="str">
        <x:v>菲律宾</x:v>
      </x:c>
      <x:c r="C315" s="16" t="n">
        <x:v>46104</x:v>
      </x:c>
      <x:c r="D315" s="17" t="n">
        <x:v>1114</x:v>
      </x:c>
      <x:c r="E315" s="17" t="n">
        <x:v>2069</x:v>
      </x:c>
      <x:c r="F315" s="18" t="n">
        <x:v>20774.63</x:v>
      </x:c>
    </x:row>
    <x:row r="316">
      <x:c r="A316" s="14" t="str">
        <x:v>站点</x:v>
      </x:c>
      <x:c r="B316" s="15" t="str">
        <x:v>菲律宾</x:v>
      </x:c>
      <x:c r="C316" s="16" t="n">
        <x:v>46105</x:v>
      </x:c>
      <x:c r="D316" s="17" t="n">
        <x:v>935</x:v>
      </x:c>
      <x:c r="E316" s="17" t="n">
        <x:v>1947</x:v>
      </x:c>
      <x:c r="F316" s="18" t="n">
        <x:v>17410.62</x:v>
      </x:c>
    </x:row>
    <x:row r="317">
      <x:c r="A317" s="14" t="str">
        <x:v>站点</x:v>
      </x:c>
      <x:c r="B317" s="15" t="str">
        <x:v>菲律宾</x:v>
      </x:c>
      <x:c r="C317" s="16" t="n">
        <x:v>46106</x:v>
      </x:c>
      <x:c r="D317" s="17" t="n">
        <x:v>906</x:v>
      </x:c>
      <x:c r="E317" s="17" t="n">
        <x:v>1827</x:v>
      </x:c>
      <x:c r="F317" s="18" t="n">
        <x:v>15965.51</x:v>
      </x:c>
    </x:row>
    <x:row r="318">
      <x:c r="A318" s="14" t="str">
        <x:v>站点</x:v>
      </x:c>
      <x:c r="B318" s="15" t="str">
        <x:v>菲律宾</x:v>
      </x:c>
      <x:c r="C318" s="16" t="n">
        <x:v>46107</x:v>
      </x:c>
      <x:c r="D318" s="17" t="n">
        <x:v>829</x:v>
      </x:c>
      <x:c r="E318" s="17" t="n">
        <x:v>1533</x:v>
      </x:c>
      <x:c r="F318" s="18" t="n">
        <x:v>15477.65</x:v>
      </x:c>
    </x:row>
    <x:row r="319">
      <x:c r="A319" s="14" t="str">
        <x:v>站点</x:v>
      </x:c>
      <x:c r="B319" s="15" t="str">
        <x:v>菲律宾</x:v>
      </x:c>
      <x:c r="C319" s="16" t="n">
        <x:v>46108</x:v>
      </x:c>
      <x:c r="D319" s="17" t="n">
        <x:v>772</x:v>
      </x:c>
      <x:c r="E319" s="17" t="n">
        <x:v>1449</x:v>
      </x:c>
      <x:c r="F319" s="18" t="n">
        <x:v>14479.55</x:v>
      </x:c>
    </x:row>
    <x:row r="320">
      <x:c r="A320" s="14" t="str">
        <x:v>站点</x:v>
      </x:c>
      <x:c r="B320" s="15" t="str">
        <x:v>菲律宾</x:v>
      </x:c>
      <x:c r="C320" s="16" t="n">
        <x:v>46109</x:v>
      </x:c>
      <x:c r="D320" s="17" t="n">
        <x:v>720</x:v>
      </x:c>
      <x:c r="E320" s="17" t="n">
        <x:v>1380</x:v>
      </x:c>
      <x:c r="F320" s="18" t="n">
        <x:v>12579.57</x:v>
      </x:c>
    </x:row>
    <x:row r="321">
      <x:c r="A321" s="14" t="str">
        <x:v>站点</x:v>
      </x:c>
      <x:c r="B321" s="15" t="str">
        <x:v>菲律宾</x:v>
      </x:c>
      <x:c r="C321" s="16" t="n">
        <x:v>46110</x:v>
      </x:c>
      <x:c r="D321" s="17" t="n">
        <x:v>713</x:v>
      </x:c>
      <x:c r="E321" s="17" t="n">
        <x:v>1363</x:v>
      </x:c>
      <x:c r="F321" s="18" t="n">
        <x:v>12774.35</x:v>
      </x:c>
    </x:row>
    <x:row r="322">
      <x:c r="A322" s="14" t="str">
        <x:v>站点</x:v>
      </x:c>
      <x:c r="B322" s="15" t="str">
        <x:v>菲律宾</x:v>
      </x:c>
      <x:c r="C322" s="16" t="n">
        <x:v>46111</x:v>
      </x:c>
      <x:c r="D322" s="17" t="n">
        <x:v>776</x:v>
      </x:c>
      <x:c r="E322" s="17" t="n">
        <x:v>1528</x:v>
      </x:c>
      <x:c r="F322" s="18" t="n">
        <x:v>14741.37</x:v>
      </x:c>
    </x:row>
    <x:row r="323">
      <x:c r="A323" s="14" t="str">
        <x:v>站点</x:v>
      </x:c>
      <x:c r="B323" s="15" t="str">
        <x:v>菲律宾</x:v>
      </x:c>
      <x:c r="C323" s="16" t="n">
        <x:v>46112</x:v>
      </x:c>
      <x:c r="D323" s="17" t="n">
        <x:v>814</x:v>
      </x:c>
      <x:c r="E323" s="17" t="n">
        <x:v>1709</x:v>
      </x:c>
      <x:c r="F323" s="18" t="n">
        <x:v>15004.59</x:v>
      </x:c>
    </x:row>
    <x:row r="324">
      <x:c r="A324" s="14" t="str">
        <x:v>站点</x:v>
      </x:c>
      <x:c r="B324" s="15" t="str">
        <x:v>菲律宾</x:v>
      </x:c>
      <x:c r="C324" s="16" t="n">
        <x:v>46113</x:v>
      </x:c>
      <x:c r="D324" s="17" t="n">
        <x:v>760</x:v>
      </x:c>
      <x:c r="E324" s="17" t="n">
        <x:v>1700</x:v>
      </x:c>
      <x:c r="F324" s="18" t="n">
        <x:v>13943.64</x:v>
      </x:c>
    </x:row>
    <x:row r="325">
      <x:c r="A325" s="14" t="str">
        <x:v>站点</x:v>
      </x:c>
      <x:c r="B325" s="15" t="str">
        <x:v>菲律宾</x:v>
      </x:c>
      <x:c r="C325" s="16" t="n">
        <x:v>46114</x:v>
      </x:c>
      <x:c r="D325" s="17" t="n">
        <x:v>0</x:v>
      </x:c>
      <x:c r="E325" s="17" t="n">
        <x:v>0</x:v>
      </x:c>
      <x:c r="F325" s="18" t="n">
        <x:v>0</x:v>
      </x:c>
    </x:row>
    <x:row r="326">
      <x:c r="A326" s="14" t="str">
        <x:v>站点</x:v>
      </x:c>
      <x:c r="B326" s="15" t="str">
        <x:v>菲律宾</x:v>
      </x:c>
      <x:c r="C326" s="16" t="n">
        <x:v>46115</x:v>
      </x:c>
      <x:c r="D326" s="17" t="n">
        <x:v>0</x:v>
      </x:c>
      <x:c r="E326" s="17" t="n">
        <x:v>0</x:v>
      </x:c>
      <x:c r="F326" s="18" t="n">
        <x:v>0</x:v>
      </x:c>
    </x:row>
    <x:row r="327">
      <x:c r="A327" s="14" t="str">
        <x:v>站点</x:v>
      </x:c>
      <x:c r="B327" s="15" t="str">
        <x:v>菲律宾</x:v>
      </x:c>
      <x:c r="C327" s="16" t="n">
        <x:v>46116</x:v>
      </x:c>
      <x:c r="D327" s="17" t="n">
        <x:v>1792</x:v>
      </x:c>
      <x:c r="E327" s="17" t="n">
        <x:v>3984</x:v>
      </x:c>
      <x:c r="F327" s="18" t="n">
        <x:v>33084.82</x:v>
      </x:c>
    </x:row>
    <x:row r="328">
      <x:c r="A328" s="14" t="str">
        <x:v>站点</x:v>
      </x:c>
      <x:c r="B328" s="15" t="str">
        <x:v>菲律宾</x:v>
      </x:c>
      <x:c r="C328" s="16" t="n">
        <x:v>46117</x:v>
      </x:c>
      <x:c r="D328" s="17" t="n">
        <x:v>1052</x:v>
      </x:c>
      <x:c r="E328" s="17" t="n">
        <x:v>2397</x:v>
      </x:c>
      <x:c r="F328" s="18" t="n">
        <x:v>21877.94</x:v>
      </x:c>
    </x:row>
    <x:row r="329">
      <x:c r="A329" s="14" t="str">
        <x:v>站点</x:v>
      </x:c>
      <x:c r="B329" s="15" t="str">
        <x:v>菲律宾</x:v>
      </x:c>
      <x:c r="C329" s="16" t="n">
        <x:v>46118</x:v>
      </x:c>
      <x:c r="D329" s="17" t="n">
        <x:v>715</x:v>
      </x:c>
      <x:c r="E329" s="17" t="n">
        <x:v>1604</x:v>
      </x:c>
      <x:c r="F329" s="18" t="n">
        <x:v>14691.5</x:v>
      </x:c>
    </x:row>
    <x:row r="330">
      <x:c r="A330" s="14" t="str">
        <x:v>站点</x:v>
      </x:c>
      <x:c r="B330" s="15" t="str">
        <x:v>菲律宾</x:v>
      </x:c>
      <x:c r="C330" s="16" t="n">
        <x:v>46119</x:v>
      </x:c>
      <x:c r="D330" s="17" t="n">
        <x:v>705</x:v>
      </x:c>
      <x:c r="E330" s="17" t="n">
        <x:v>1584</x:v>
      </x:c>
      <x:c r="F330" s="18" t="n">
        <x:v>13459.4</x:v>
      </x:c>
    </x:row>
    <x:row r="331">
      <x:c r="A331" s="14" t="str">
        <x:v>站点</x:v>
      </x:c>
      <x:c r="B331" s="15" t="str">
        <x:v>菲律宾</x:v>
      </x:c>
      <x:c r="C331" s="16" t="n">
        <x:v>46120</x:v>
      </x:c>
      <x:c r="D331" s="17" t="n">
        <x:v>640</x:v>
      </x:c>
      <x:c r="E331" s="17" t="n">
        <x:v>1408</x:v>
      </x:c>
      <x:c r="F331" s="18" t="n">
        <x:v>13064.02</x:v>
      </x:c>
    </x:row>
    <x:row r="332">
      <x:c r="A332" s="14" t="str">
        <x:v>站点</x:v>
      </x:c>
      <x:c r="B332" s="15" t="str">
        <x:v>菲律宾</x:v>
      </x:c>
      <x:c r="C332" s="16" t="n">
        <x:v>46121</x:v>
      </x:c>
      <x:c r="D332" s="17" t="n">
        <x:v>643</x:v>
      </x:c>
      <x:c r="E332" s="17" t="n">
        <x:v>1357</x:v>
      </x:c>
      <x:c r="F332" s="18" t="n">
        <x:v>12542.25</x:v>
      </x:c>
    </x:row>
    <x:row r="333">
      <x:c r="A333" s="14" t="str">
        <x:v>站点</x:v>
      </x:c>
      <x:c r="B333" s="15" t="str">
        <x:v>菲律宾</x:v>
      </x:c>
      <x:c r="C333" s="16" t="n">
        <x:v>46122</x:v>
      </x:c>
      <x:c r="D333" s="17" t="n">
        <x:v>749</x:v>
      </x:c>
      <x:c r="E333" s="17" t="n">
        <x:v>1592</x:v>
      </x:c>
      <x:c r="F333" s="18" t="n">
        <x:v>14970.02</x:v>
      </x:c>
    </x:row>
    <x:row r="334">
      <x:c r="A334" s="14" t="str">
        <x:v>站点</x:v>
      </x:c>
      <x:c r="B334" s="15" t="str">
        <x:v>菲律宾</x:v>
      </x:c>
      <x:c r="C334" s="16" t="n">
        <x:v>46123</x:v>
      </x:c>
      <x:c r="D334" s="17" t="n">
        <x:v>645</x:v>
      </x:c>
      <x:c r="E334" s="17" t="n">
        <x:v>1349</x:v>
      </x:c>
      <x:c r="F334" s="18" t="n">
        <x:v>13385.71</x:v>
      </x:c>
    </x:row>
    <x:row r="335">
      <x:c r="A335" s="14" t="str">
        <x:v>站点</x:v>
      </x:c>
      <x:c r="B335" s="15" t="str">
        <x:v>菲律宾</x:v>
      </x:c>
      <x:c r="C335" s="16" t="n">
        <x:v>46124</x:v>
      </x:c>
      <x:c r="D335" s="17" t="n">
        <x:v>621</x:v>
      </x:c>
      <x:c r="E335" s="17" t="n">
        <x:v>1294</x:v>
      </x:c>
      <x:c r="F335" s="18" t="n">
        <x:v>12550.49</x:v>
      </x:c>
    </x:row>
    <x:row r="336">
      <x:c r="A336" s="14" t="str">
        <x:v>站点</x:v>
      </x:c>
      <x:c r="B336" s="15" t="str">
        <x:v>菲律宾</x:v>
      </x:c>
      <x:c r="C336" s="16" t="n">
        <x:v>46125</x:v>
      </x:c>
      <x:c r="D336" s="17" t="n">
        <x:v>689</x:v>
      </x:c>
      <x:c r="E336" s="17" t="n">
        <x:v>1452</x:v>
      </x:c>
      <x:c r="F336" s="18" t="n">
        <x:v>11874.34</x:v>
      </x:c>
    </x:row>
    <x:row r="337">
      <x:c r="A337" s="14" t="str">
        <x:v>站点</x:v>
      </x:c>
      <x:c r="B337" s="15" t="str">
        <x:v>菲律宾</x:v>
      </x:c>
      <x:c r="C337" s="16" t="n">
        <x:v>46126</x:v>
      </x:c>
      <x:c r="D337" s="17" t="n">
        <x:v>797</x:v>
      </x:c>
      <x:c r="E337" s="17" t="n">
        <x:v>1570</x:v>
      </x:c>
      <x:c r="F337" s="18" t="n">
        <x:v>12626.92</x:v>
      </x:c>
    </x:row>
    <x:row r="338">
      <x:c r="A338" s="14" t="str">
        <x:v>站点</x:v>
      </x:c>
      <x:c r="B338" s="15" t="str">
        <x:v>菲律宾</x:v>
      </x:c>
      <x:c r="C338" s="16" t="n">
        <x:v>46127</x:v>
      </x:c>
      <x:c r="D338" s="17" t="n">
        <x:v>661</x:v>
      </x:c>
      <x:c r="E338" s="17" t="n">
        <x:v>1403</x:v>
      </x:c>
      <x:c r="F338" s="18" t="n">
        <x:v>14209.88</x:v>
      </x:c>
    </x:row>
    <x:row r="339">
      <x:c r="A339" s="14" t="str">
        <x:v>站点</x:v>
      </x:c>
      <x:c r="B339" s="15" t="str">
        <x:v>菲律宾</x:v>
      </x:c>
      <x:c r="C339" s="16" t="n">
        <x:v>46128</x:v>
      </x:c>
      <x:c r="D339" s="17" t="n">
        <x:v>736</x:v>
      </x:c>
      <x:c r="E339" s="17" t="n">
        <x:v>1456</x:v>
      </x:c>
      <x:c r="F339" s="18" t="n">
        <x:v>14464.19</x:v>
      </x:c>
    </x:row>
    <x:row r="340">
      <x:c r="A340" s="14" t="str">
        <x:v>站点</x:v>
      </x:c>
      <x:c r="B340" s="15" t="str">
        <x:v>菲律宾</x:v>
      </x:c>
      <x:c r="C340" s="16" t="n">
        <x:v>46129</x:v>
      </x:c>
      <x:c r="D340" s="17" t="n">
        <x:v>710</x:v>
      </x:c>
      <x:c r="E340" s="17" t="n">
        <x:v>1451</x:v>
      </x:c>
      <x:c r="F340" s="18" t="n">
        <x:v>13151.33</x:v>
      </x:c>
    </x:row>
    <x:row r="341">
      <x:c r="A341" s="14" t="str">
        <x:v>站点</x:v>
      </x:c>
      <x:c r="B341" s="15" t="str">
        <x:v>菲律宾</x:v>
      </x:c>
      <x:c r="C341" s="16" t="n">
        <x:v>46130</x:v>
      </x:c>
      <x:c r="D341" s="17" t="n">
        <x:v>617</x:v>
      </x:c>
      <x:c r="E341" s="17" t="n">
        <x:v>1334</x:v>
      </x:c>
      <x:c r="F341" s="18" t="n">
        <x:v>12376.98</x:v>
      </x:c>
    </x:row>
    <x:row r="342">
      <x:c r="A342" s="14" t="str">
        <x:v>站点</x:v>
      </x:c>
      <x:c r="B342" s="15" t="str">
        <x:v>菲律宾</x:v>
      </x:c>
      <x:c r="C342" s="16" t="n">
        <x:v>46131</x:v>
      </x:c>
      <x:c r="D342" s="17" t="n">
        <x:v>545</x:v>
      </x:c>
      <x:c r="E342" s="17" t="n">
        <x:v>1144</x:v>
      </x:c>
      <x:c r="F342" s="18" t="n">
        <x:v>10047.01</x:v>
      </x:c>
    </x:row>
    <x:row r="343">
      <x:c r="A343" s="14" t="str">
        <x:v>站点</x:v>
      </x:c>
      <x:c r="B343" s="15" t="str">
        <x:v>菲律宾</x:v>
      </x:c>
      <x:c r="C343" s="16" t="n">
        <x:v>46132</x:v>
      </x:c>
      <x:c r="D343" s="17" t="n">
        <x:v>610</x:v>
      </x:c>
      <x:c r="E343" s="17" t="n">
        <x:v>1277</x:v>
      </x:c>
      <x:c r="F343" s="18" t="n">
        <x:v>11503</x:v>
      </x:c>
    </x:row>
    <x:row r="344">
      <x:c r="A344" s="14" t="str">
        <x:v>站点</x:v>
      </x:c>
      <x:c r="B344" s="15" t="str">
        <x:v>菲律宾</x:v>
      </x:c>
      <x:c r="C344" s="16" t="n">
        <x:v>46133</x:v>
      </x:c>
      <x:c r="D344" s="17" t="n">
        <x:v>637</x:v>
      </x:c>
      <x:c r="E344" s="17" t="n">
        <x:v>1359</x:v>
      </x:c>
      <x:c r="F344" s="18" t="n">
        <x:v>12057.55</x:v>
      </x:c>
    </x:row>
    <x:row r="345">
      <x:c r="A345" s="14" t="str">
        <x:v>站点</x:v>
      </x:c>
      <x:c r="B345" s="15" t="str">
        <x:v>菲律宾</x:v>
      </x:c>
      <x:c r="C345" s="16" t="n">
        <x:v>46134</x:v>
      </x:c>
      <x:c r="D345" s="17" t="n">
        <x:v>656</x:v>
      </x:c>
      <x:c r="E345" s="17" t="n">
        <x:v>1432</x:v>
      </x:c>
      <x:c r="F345" s="18" t="n">
        <x:v>12600.44</x:v>
      </x:c>
    </x:row>
    <x:row r="346">
      <x:c r="A346" s="14" t="str">
        <x:v>站点</x:v>
      </x:c>
      <x:c r="B346" s="15" t="str">
        <x:v>菲律宾</x:v>
      </x:c>
      <x:c r="C346" s="16" t="n">
        <x:v>46135</x:v>
      </x:c>
      <x:c r="D346" s="17" t="n">
        <x:v>663</x:v>
      </x:c>
      <x:c r="E346" s="17" t="n">
        <x:v>1405</x:v>
      </x:c>
      <x:c r="F346" s="18" t="n">
        <x:v>11839.25</x:v>
      </x:c>
    </x:row>
    <x:row r="347">
      <x:c r="A347" s="14" t="str">
        <x:v>站点</x:v>
      </x:c>
      <x:c r="B347" s="15" t="str">
        <x:v>菲律宾</x:v>
      </x:c>
      <x:c r="C347" s="16" t="n">
        <x:v>46136</x:v>
      </x:c>
      <x:c r="D347" s="17" t="n">
        <x:v>627</x:v>
      </x:c>
      <x:c r="E347" s="17" t="n">
        <x:v>1328</x:v>
      </x:c>
      <x:c r="F347" s="18" t="n">
        <x:v>12003.44</x:v>
      </x:c>
    </x:row>
    <x:row r="348">
      <x:c r="A348" s="14" t="str">
        <x:v>站点</x:v>
      </x:c>
      <x:c r="B348" s="15" t="str">
        <x:v>菲律宾</x:v>
      </x:c>
      <x:c r="C348" s="16" t="n">
        <x:v>46137</x:v>
      </x:c>
      <x:c r="D348" s="17" t="n">
        <x:v>586</x:v>
      </x:c>
      <x:c r="E348" s="17" t="n">
        <x:v>1314</x:v>
      </x:c>
      <x:c r="F348" s="18" t="n">
        <x:v>10848.06</x:v>
      </x:c>
    </x:row>
    <x:row r="349">
      <x:c r="A349" s="14" t="str">
        <x:v>站点</x:v>
      </x:c>
      <x:c r="B349" s="15" t="str">
        <x:v>菲律宾</x:v>
      </x:c>
      <x:c r="C349" s="16" t="n">
        <x:v>46138</x:v>
      </x:c>
      <x:c r="D349" s="17" t="n">
        <x:v>537</x:v>
      </x:c>
      <x:c r="E349" s="17" t="n">
        <x:v>1019</x:v>
      </x:c>
      <x:c r="F349" s="18" t="n">
        <x:v>9887.67</x:v>
      </x:c>
    </x:row>
    <x:row r="350">
      <x:c r="A350" s="14" t="str">
        <x:v>站点</x:v>
      </x:c>
      <x:c r="B350" s="15" t="str">
        <x:v>菲律宾</x:v>
      </x:c>
      <x:c r="C350" s="16" t="n">
        <x:v>46139</x:v>
      </x:c>
      <x:c r="D350" s="17" t="n">
        <x:v>546</x:v>
      </x:c>
      <x:c r="E350" s="17" t="n">
        <x:v>1058</x:v>
      </x:c>
      <x:c r="F350" s="18" t="n">
        <x:v>11155.72</x:v>
      </x:c>
    </x:row>
    <x:row r="351">
      <x:c r="A351" s="14" t="str">
        <x:v>站点</x:v>
      </x:c>
      <x:c r="B351" s="15" t="str">
        <x:v>菲律宾</x:v>
      </x:c>
      <x:c r="C351" s="16" t="n">
        <x:v>46140</x:v>
      </x:c>
      <x:c r="D351" s="17" t="n">
        <x:v>482</x:v>
      </x:c>
      <x:c r="E351" s="17" t="n">
        <x:v>960</x:v>
      </x:c>
      <x:c r="F351" s="18" t="n">
        <x:v>9981.44</x:v>
      </x:c>
    </x:row>
    <x:row r="352">
      <x:c r="A352" s="14" t="str">
        <x:v>站点</x:v>
      </x:c>
      <x:c r="B352" s="15" t="str">
        <x:v>菲律宾</x:v>
      </x:c>
      <x:c r="C352" s="16" t="n">
        <x:v>46141</x:v>
      </x:c>
      <x:c r="D352" s="17" t="n">
        <x:v>795</x:v>
      </x:c>
      <x:c r="E352" s="17" t="n">
        <x:v>1359</x:v>
      </x:c>
      <x:c r="F352" s="18" t="n">
        <x:v>14104.17</x:v>
      </x:c>
    </x:row>
    <x:row r="353">
      <x:c r="A353" s="14" t="str">
        <x:v>站点</x:v>
      </x:c>
      <x:c r="B353" s="15" t="str">
        <x:v>菲律宾</x:v>
      </x:c>
      <x:c r="C353" s="16" t="n">
        <x:v>46142</x:v>
      </x:c>
      <x:c r="D353" s="17" t="n">
        <x:v>568</x:v>
      </x:c>
      <x:c r="E353" s="17" t="n">
        <x:v>1026</x:v>
      </x:c>
      <x:c r="F353" s="18" t="n">
        <x:v>11348.11</x:v>
      </x:c>
    </x:row>
    <x:row r="354">
      <x:c r="A354" s="14" t="str">
        <x:v>站点</x:v>
      </x:c>
      <x:c r="B354" s="15" t="str">
        <x:v>菲律宾</x:v>
      </x:c>
      <x:c r="C354" s="16" t="n">
        <x:v>46143</x:v>
      </x:c>
      <x:c r="D354" s="17" t="n">
        <x:v>554</x:v>
      </x:c>
      <x:c r="E354" s="17" t="n">
        <x:v>969</x:v>
      </x:c>
      <x:c r="F354" s="18" t="n">
        <x:v>11093.8</x:v>
      </x:c>
    </x:row>
    <x:row r="355">
      <x:c r="A355" s="14" t="str">
        <x:v>站点</x:v>
      </x:c>
      <x:c r="B355" s="15" t="str">
        <x:v>菲律宾</x:v>
      </x:c>
      <x:c r="C355" s="16" t="n">
        <x:v>46144</x:v>
      </x:c>
      <x:c r="D355" s="17" t="n">
        <x:v>634</x:v>
      </x:c>
      <x:c r="E355" s="17" t="n">
        <x:v>1119</x:v>
      </x:c>
      <x:c r="F355" s="18" t="n">
        <x:v>12225.04</x:v>
      </x:c>
    </x:row>
    <x:row r="356">
      <x:c r="A356" s="14" t="str">
        <x:v>站点</x:v>
      </x:c>
      <x:c r="B356" s="15" t="str">
        <x:v>菲律宾</x:v>
      </x:c>
      <x:c r="C356" s="16" t="n">
        <x:v>46145</x:v>
      </x:c>
      <x:c r="D356" s="17" t="n">
        <x:v>502</x:v>
      </x:c>
      <x:c r="E356" s="17" t="n">
        <x:v>930</x:v>
      </x:c>
      <x:c r="F356" s="18" t="n">
        <x:v>9387.91</x:v>
      </x:c>
    </x:row>
    <x:row r="357">
      <x:c r="A357" s="14" t="str">
        <x:v>站点</x:v>
      </x:c>
      <x:c r="B357" s="15" t="str">
        <x:v>菲律宾</x:v>
      </x:c>
      <x:c r="C357" s="16" t="n">
        <x:v>46146</x:v>
      </x:c>
      <x:c r="D357" s="17" t="n">
        <x:v>601</x:v>
      </x:c>
      <x:c r="E357" s="17" t="n">
        <x:v>1072</x:v>
      </x:c>
      <x:c r="F357" s="18" t="n">
        <x:v>11716.9</x:v>
      </x:c>
    </x:row>
    <x:row r="358">
      <x:c r="A358" s="14" t="str">
        <x:v>站点</x:v>
      </x:c>
      <x:c r="B358" s="15" t="str">
        <x:v>菲律宾</x:v>
      </x:c>
      <x:c r="C358" s="16" t="n">
        <x:v>46147</x:v>
      </x:c>
      <x:c r="D358" s="17" t="n">
        <x:v>871</x:v>
      </x:c>
      <x:c r="E358" s="17" t="n">
        <x:v>1480</x:v>
      </x:c>
      <x:c r="F358" s="18" t="n">
        <x:v>16094.24</x:v>
      </x:c>
    </x:row>
    <x:row r="359">
      <x:c r="A359" s="14" t="str">
        <x:v>站点</x:v>
      </x:c>
      <x:c r="B359" s="15" t="str">
        <x:v>菲律宾</x:v>
      </x:c>
      <x:c r="C359" s="16" t="n">
        <x:v>46148</x:v>
      </x:c>
      <x:c r="D359" s="17" t="n">
        <x:v>757</x:v>
      </x:c>
      <x:c r="E359" s="17" t="n">
        <x:v>1498</x:v>
      </x:c>
      <x:c r="F359" s="18" t="n">
        <x:v>14238.3</x:v>
      </x:c>
    </x:row>
    <x:row r="360">
      <x:c r="A360" s="14" t="str">
        <x:v>站点</x:v>
      </x:c>
      <x:c r="B360" s="15" t="str">
        <x:v>菲律宾</x:v>
      </x:c>
      <x:c r="C360" s="16" t="n">
        <x:v>46149</x:v>
      </x:c>
      <x:c r="D360" s="17" t="n">
        <x:v>613</x:v>
      </x:c>
      <x:c r="E360" s="17" t="n">
        <x:v>1186</x:v>
      </x:c>
      <x:c r="F360" s="18" t="n">
        <x:v>11814.5</x:v>
      </x:c>
    </x:row>
    <x:row r="361">
      <x:c r="A361" s="14" t="str">
        <x:v>站点</x:v>
      </x:c>
      <x:c r="B361" s="15" t="str">
        <x:v>菲律宾</x:v>
      </x:c>
      <x:c r="C361" s="16" t="n">
        <x:v>46150</x:v>
      </x:c>
      <x:c r="D361" s="17" t="n">
        <x:v>618</x:v>
      </x:c>
      <x:c r="E361" s="17" t="n">
        <x:v>1155</x:v>
      </x:c>
      <x:c r="F361" s="18" t="n">
        <x:v>11560.65</x:v>
      </x:c>
    </x:row>
    <x:row r="362">
      <x:c r="A362" s="14" t="str">
        <x:v>站点</x:v>
      </x:c>
      <x:c r="B362" s="15" t="str">
        <x:v>菲律宾</x:v>
      </x:c>
      <x:c r="C362" s="16" t="n">
        <x:v>46151</x:v>
      </x:c>
      <x:c r="D362" s="17" t="n">
        <x:v>684</x:v>
      </x:c>
      <x:c r="E362" s="17" t="n">
        <x:v>1354</x:v>
      </x:c>
      <x:c r="F362" s="18" t="n">
        <x:v>12781.13</x:v>
      </x:c>
    </x:row>
    <x:row r="363">
      <x:c r="A363" s="14" t="str">
        <x:v>站点</x:v>
      </x:c>
      <x:c r="B363" s="15" t="str">
        <x:v>菲律宾</x:v>
      </x:c>
      <x:c r="C363" s="16" t="n">
        <x:v>46152</x:v>
      </x:c>
      <x:c r="D363" s="17" t="n">
        <x:v>530</x:v>
      </x:c>
      <x:c r="E363" s="17" t="n">
        <x:v>1073</x:v>
      </x:c>
      <x:c r="F363" s="18" t="n">
        <x:v>9507.68</x:v>
      </x:c>
    </x:row>
    <x:row r="364">
      <x:c r="A364" s="14" t="str">
        <x:v>站点</x:v>
      </x:c>
      <x:c r="B364" s="15" t="str">
        <x:v>菲律宾</x:v>
      </x:c>
      <x:c r="C364" s="16" t="n">
        <x:v>46153</x:v>
      </x:c>
      <x:c r="D364" s="17" t="n">
        <x:v>622</x:v>
      </x:c>
      <x:c r="E364" s="17" t="n">
        <x:v>1239</x:v>
      </x:c>
      <x:c r="F364" s="18" t="n">
        <x:v>11436.37</x:v>
      </x:c>
    </x:row>
    <x:row r="365">
      <x:c r="A365" s="14" t="str">
        <x:v>站点</x:v>
      </x:c>
      <x:c r="B365" s="15" t="str">
        <x:v>菲律宾</x:v>
      </x:c>
      <x:c r="C365" s="16" t="n">
        <x:v>46154</x:v>
      </x:c>
      <x:c r="D365" s="17" t="n">
        <x:v>574</x:v>
      </x:c>
      <x:c r="E365" s="17" t="n">
        <x:v>1170</x:v>
      </x:c>
      <x:c r="F365" s="18" t="n">
        <x:v>11238.69</x:v>
      </x:c>
    </x:row>
    <x:row r="366">
      <x:c r="A366" s="14" t="str">
        <x:v>站点</x:v>
      </x:c>
      <x:c r="B366" s="15" t="str">
        <x:v>菲律宾</x:v>
      </x:c>
      <x:c r="C366" s="16" t="n">
        <x:v>46155</x:v>
      </x:c>
      <x:c r="D366" s="17" t="n">
        <x:v>610</x:v>
      </x:c>
      <x:c r="E366" s="17" t="n">
        <x:v>1332</x:v>
      </x:c>
      <x:c r="F366" s="18" t="n">
        <x:v>12228.83</x:v>
      </x:c>
    </x:row>
    <x:row r="367">
      <x:c r="A367" s="14" t="str">
        <x:v>站点</x:v>
      </x:c>
      <x:c r="B367" s="15" t="str">
        <x:v>菲律宾</x:v>
      </x:c>
      <x:c r="C367" s="16" t="n">
        <x:v>46156</x:v>
      </x:c>
      <x:c r="D367" s="17" t="n">
        <x:v>606</x:v>
      </x:c>
      <x:c r="E367" s="17" t="n">
        <x:v>1253</x:v>
      </x:c>
      <x:c r="F367" s="18" t="n">
        <x:v>11217.18</x:v>
      </x:c>
    </x:row>
    <x:row r="368">
      <x:c r="A368" s="14" t="str">
        <x:v>站点</x:v>
      </x:c>
      <x:c r="B368" s="15" t="str">
        <x:v>菲律宾</x:v>
      </x:c>
      <x:c r="C368" s="16" t="n">
        <x:v>46157</x:v>
      </x:c>
      <x:c r="D368" s="17" t="n">
        <x:v>843</x:v>
      </x:c>
      <x:c r="E368" s="17" t="n">
        <x:v>1684</x:v>
      </x:c>
      <x:c r="F368" s="18" t="n">
        <x:v>14010.83</x:v>
      </x:c>
    </x:row>
    <x:row r="369">
      <x:c r="A369" s="14" t="str">
        <x:v>站点</x:v>
      </x:c>
      <x:c r="B369" s="15" t="str">
        <x:v>菲律宾</x:v>
      </x:c>
      <x:c r="C369" s="16" t="n">
        <x:v>46158</x:v>
      </x:c>
      <x:c r="D369" s="17" t="n">
        <x:v>651</x:v>
      </x:c>
      <x:c r="E369" s="17" t="n">
        <x:v>1385</x:v>
      </x:c>
      <x:c r="F369" s="18" t="n">
        <x:v>13418.81</x:v>
      </x:c>
    </x:row>
    <x:row r="370">
      <x:c r="A370" s="14" t="str">
        <x:v>站点</x:v>
      </x:c>
      <x:c r="B370" s="15" t="str">
        <x:v>菲律宾</x:v>
      </x:c>
      <x:c r="C370" s="16" t="n">
        <x:v>46159</x:v>
      </x:c>
      <x:c r="D370" s="17" t="n">
        <x:v>645</x:v>
      </x:c>
      <x:c r="E370" s="17" t="n">
        <x:v>1316</x:v>
      </x:c>
      <x:c r="F370" s="18" t="n">
        <x:v>12813.98</x:v>
      </x:c>
    </x:row>
    <x:row r="371">
      <x:c r="A371" s="14" t="str">
        <x:v>站点</x:v>
      </x:c>
      <x:c r="B371" s="15" t="str">
        <x:v>菲律宾</x:v>
      </x:c>
      <x:c r="C371" s="16" t="n">
        <x:v>46160</x:v>
      </x:c>
      <x:c r="D371" s="17" t="n">
        <x:v>719</x:v>
      </x:c>
      <x:c r="E371" s="17" t="n">
        <x:v>1564</x:v>
      </x:c>
      <x:c r="F371" s="18" t="n">
        <x:v>15006.7</x:v>
      </x:c>
    </x:row>
    <x:row r="372">
      <x:c r="A372" s="14" t="str">
        <x:v>站点</x:v>
      </x:c>
      <x:c r="B372" s="15" t="str">
        <x:v>菲律宾</x:v>
      </x:c>
      <x:c r="C372" s="16" t="n">
        <x:v>46161</x:v>
      </x:c>
      <x:c r="D372" s="17" t="n">
        <x:v>684</x:v>
      </x:c>
      <x:c r="E372" s="17" t="n">
        <x:v>1478</x:v>
      </x:c>
      <x:c r="F372" s="18" t="n">
        <x:v>13220.57</x:v>
      </x:c>
    </x:row>
    <x:row r="373">
      <x:c r="A373" s="14" t="str">
        <x:v>站点</x:v>
      </x:c>
      <x:c r="B373" s="15" t="str">
        <x:v>菲律宾</x:v>
      </x:c>
      <x:c r="C373" s="16" t="n">
        <x:v>46162</x:v>
      </x:c>
      <x:c r="D373" s="17" t="n">
        <x:v>654</x:v>
      </x:c>
      <x:c r="E373" s="17" t="n">
        <x:v>1387</x:v>
      </x:c>
      <x:c r="F373" s="18" t="n">
        <x:v>13031.64</x:v>
      </x:c>
    </x:row>
    <x:row r="374">
      <x:c r="A374" s="14" t="str">
        <x:v>站点</x:v>
      </x:c>
      <x:c r="B374" s="15" t="str">
        <x:v>菲律宾</x:v>
      </x:c>
      <x:c r="C374" s="16" t="n">
        <x:v>46163</x:v>
      </x:c>
      <x:c r="D374" s="17" t="n">
        <x:v>666</x:v>
      </x:c>
      <x:c r="E374" s="17" t="n">
        <x:v>1380</x:v>
      </x:c>
      <x:c r="F374" s="18" t="n">
        <x:v>13514.25</x:v>
      </x:c>
    </x:row>
    <x:row r="375">
      <x:c r="A375" s="14" t="str">
        <x:v>站点</x:v>
      </x:c>
      <x:c r="B375" s="15" t="str">
        <x:v>菲律宾</x:v>
      </x:c>
      <x:c r="C375" s="16" t="n">
        <x:v>46164</x:v>
      </x:c>
      <x:c r="D375" s="17" t="n">
        <x:v>728</x:v>
      </x:c>
      <x:c r="E375" s="17" t="n">
        <x:v>1517</x:v>
      </x:c>
      <x:c r="F375" s="18" t="n">
        <x:v>13621.79</x:v>
      </x:c>
    </x:row>
    <x:row r="376">
      <x:c r="A376" s="14" t="str">
        <x:v>站点</x:v>
      </x:c>
      <x:c r="B376" s="15" t="str">
        <x:v>菲律宾</x:v>
      </x:c>
      <x:c r="C376" s="16" t="n">
        <x:v>46165</x:v>
      </x:c>
      <x:c r="D376" s="17" t="n">
        <x:v>920</x:v>
      </x:c>
      <x:c r="E376" s="17" t="n">
        <x:v>1677</x:v>
      </x:c>
      <x:c r="F376" s="18" t="n">
        <x:v>16531.58</x:v>
      </x:c>
    </x:row>
    <x:row r="377">
      <x:c r="A377" s="14" t="str">
        <x:v>站点</x:v>
      </x:c>
      <x:c r="B377" s="15" t="str">
        <x:v>菲律宾</x:v>
      </x:c>
      <x:c r="C377" s="16" t="n">
        <x:v>46166</x:v>
      </x:c>
      <x:c r="D377" s="17" t="n">
        <x:v>598</x:v>
      </x:c>
      <x:c r="E377" s="17" t="n">
        <x:v>1292</x:v>
      </x:c>
      <x:c r="F377" s="18" t="n">
        <x:v>11759.88</x:v>
      </x:c>
    </x:row>
    <x:row r="378">
      <x:c r="A378" s="14" t="str">
        <x:v>站点</x:v>
      </x:c>
      <x:c r="B378" s="15" t="str">
        <x:v>菲律宾</x:v>
      </x:c>
      <x:c r="C378" s="16" t="n">
        <x:v>46167</x:v>
      </x:c>
      <x:c r="D378" s="17" t="n">
        <x:v>709</x:v>
      </x:c>
      <x:c r="E378" s="17" t="n">
        <x:v>1425</x:v>
      </x:c>
      <x:c r="F378" s="18" t="n">
        <x:v>13748.53</x:v>
      </x:c>
    </x:row>
    <x:row r="379">
      <x:c r="A379" s="14" t="str">
        <x:v>站点</x:v>
      </x:c>
      <x:c r="B379" s="15" t="str">
        <x:v>菲律宾</x:v>
      </x:c>
      <x:c r="C379" s="16" t="n">
        <x:v>46168</x:v>
      </x:c>
      <x:c r="D379" s="17" t="n">
        <x:v>707</x:v>
      </x:c>
      <x:c r="E379" s="17" t="n">
        <x:v>1440</x:v>
      </x:c>
      <x:c r="F379" s="18" t="n">
        <x:v>13453.45</x:v>
      </x:c>
    </x:row>
    <x:row r="380">
      <x:c r="A380" s="14" t="str">
        <x:v>站点</x:v>
      </x:c>
      <x:c r="B380" s="15" t="str">
        <x:v>菲律宾</x:v>
      </x:c>
      <x:c r="C380" s="16" t="n">
        <x:v>46169</x:v>
      </x:c>
      <x:c r="D380" s="17" t="n">
        <x:v>701</x:v>
      </x:c>
      <x:c r="E380" s="17" t="n">
        <x:v>1430</x:v>
      </x:c>
      <x:c r="F380" s="18" t="n">
        <x:v>12871.49</x:v>
      </x:c>
    </x:row>
    <x:row r="381">
      <x:c r="A381" s="14" t="str">
        <x:v>站点</x:v>
      </x:c>
      <x:c r="B381" s="15" t="str">
        <x:v>菲律宾</x:v>
      </x:c>
      <x:c r="C381" s="16" t="n">
        <x:v>46170</x:v>
      </x:c>
      <x:c r="D381" s="17" t="n">
        <x:v>626</x:v>
      </x:c>
      <x:c r="E381" s="17" t="n">
        <x:v>1314</x:v>
      </x:c>
      <x:c r="F381" s="18" t="n">
        <x:v>11591.76</x:v>
      </x:c>
    </x:row>
    <x:row r="382">
      <x:c r="A382" s="14" t="str">
        <x:v>站点</x:v>
      </x:c>
      <x:c r="B382" s="15" t="str">
        <x:v>菲律宾</x:v>
      </x:c>
      <x:c r="C382" s="16" t="n">
        <x:v>46171</x:v>
      </x:c>
      <x:c r="D382" s="17" t="n">
        <x:v>741</x:v>
      </x:c>
      <x:c r="E382" s="17" t="n">
        <x:v>1469</x:v>
      </x:c>
      <x:c r="F382" s="18" t="n">
        <x:v>13670.32</x:v>
      </x:c>
    </x:row>
    <x:row r="383">
      <x:c r="A383" s="14" t="str">
        <x:v>站点</x:v>
      </x:c>
      <x:c r="B383" s="15" t="str">
        <x:v>菲律宾</x:v>
      </x:c>
      <x:c r="C383" s="16" t="n">
        <x:v>46172</x:v>
      </x:c>
      <x:c r="D383" s="17" t="n">
        <x:v>754</x:v>
      </x:c>
      <x:c r="E383" s="17" t="n">
        <x:v>1521</x:v>
      </x:c>
      <x:c r="F383" s="18" t="n">
        <x:v>14121.52</x:v>
      </x:c>
    </x:row>
    <x:row r="384">
      <x:c r="A384" s="14" t="str">
        <x:v>站点</x:v>
      </x:c>
      <x:c r="B384" s="15" t="str">
        <x:v>菲律宾</x:v>
      </x:c>
      <x:c r="C384" s="16" t="n">
        <x:v>46173</x:v>
      </x:c>
      <x:c r="D384" s="17" t="n">
        <x:v>708</x:v>
      </x:c>
      <x:c r="E384" s="17" t="n">
        <x:v>1377</x:v>
      </x:c>
      <x:c r="F384" s="18" t="n">
        <x:v>13021.39</x:v>
      </x:c>
    </x:row>
    <x:row r="385">
      <x:c r="A385" s="14" t="str">
        <x:v>站点</x:v>
      </x:c>
      <x:c r="B385" s="15" t="str">
        <x:v>菲律宾</x:v>
      </x:c>
      <x:c r="C385" s="16" t="n">
        <x:v>46174</x:v>
      </x:c>
      <x:c r="D385" s="17" t="n">
        <x:v>795</x:v>
      </x:c>
      <x:c r="E385" s="17" t="n">
        <x:v>1597</x:v>
      </x:c>
      <x:c r="F385" s="18" t="n">
        <x:v>14387.28</x:v>
      </x:c>
    </x:row>
    <x:row r="386">
      <x:c r="A386" s="14" t="str">
        <x:v>站点</x:v>
      </x:c>
      <x:c r="B386" s="15" t="str">
        <x:v>菲律宾</x:v>
      </x:c>
      <x:c r="C386" s="16" t="n">
        <x:v>46175</x:v>
      </x:c>
      <x:c r="D386" s="17" t="n">
        <x:v>739</x:v>
      </x:c>
      <x:c r="E386" s="17" t="n">
        <x:v>1446</x:v>
      </x:c>
      <x:c r="F386" s="18" t="n">
        <x:v>13319.82</x:v>
      </x:c>
    </x:row>
    <x:row r="387">
      <x:c r="A387" s="14" t="str">
        <x:v>站点</x:v>
      </x:c>
      <x:c r="B387" s="15" t="str">
        <x:v>菲律宾</x:v>
      </x:c>
      <x:c r="C387" s="16" t="n">
        <x:v>46176</x:v>
      </x:c>
      <x:c r="D387" s="17" t="n">
        <x:v>775</x:v>
      </x:c>
      <x:c r="E387" s="17" t="n">
        <x:v>1582</x:v>
      </x:c>
      <x:c r="F387" s="18" t="n">
        <x:v>14199.17</x:v>
      </x:c>
    </x:row>
    <x:row r="388">
      <x:c r="A388" s="14" t="str">
        <x:v>站点</x:v>
      </x:c>
      <x:c r="B388" s="15" t="str">
        <x:v>菲律宾</x:v>
      </x:c>
      <x:c r="C388" s="16" t="n">
        <x:v>46177</x:v>
      </x:c>
      <x:c r="D388" s="17" t="n">
        <x:v>802</x:v>
      </x:c>
      <x:c r="E388" s="17" t="n">
        <x:v>1586</x:v>
      </x:c>
      <x:c r="F388" s="18" t="n">
        <x:v>15139.59</x:v>
      </x:c>
    </x:row>
    <x:row r="389">
      <x:c r="A389" s="14" t="str">
        <x:v>站点</x:v>
      </x:c>
      <x:c r="B389" s="15" t="str">
        <x:v>菲律宾</x:v>
      </x:c>
      <x:c r="C389" s="16" t="n">
        <x:v>46178</x:v>
      </x:c>
      <x:c r="D389" s="17" t="n">
        <x:v>686</x:v>
      </x:c>
      <x:c r="E389" s="17" t="n">
        <x:v>1396</x:v>
      </x:c>
      <x:c r="F389" s="18" t="n">
        <x:v>12727.7</x:v>
      </x:c>
    </x:row>
    <x:row r="390">
      <x:c r="A390" s="14" t="str">
        <x:v>站点</x:v>
      </x:c>
      <x:c r="B390" s="15" t="str">
        <x:v>菲律宾</x:v>
      </x:c>
      <x:c r="C390" s="16" t="n">
        <x:v>46179</x:v>
      </x:c>
      <x:c r="D390" s="17" t="n">
        <x:v>827</x:v>
      </x:c>
      <x:c r="E390" s="17" t="n">
        <x:v>1616</x:v>
      </x:c>
      <x:c r="F390" s="18" t="n">
        <x:v>16577.76</x:v>
      </x:c>
    </x:row>
    <x:row r="391">
      <x:c r="A391" s="14" t="str">
        <x:v>站点</x:v>
      </x:c>
      <x:c r="B391" s="15" t="str">
        <x:v>菲律宾</x:v>
      </x:c>
      <x:c r="C391" s="16" t="n">
        <x:v>46180</x:v>
      </x:c>
      <x:c r="D391" s="17" t="n">
        <x:v>797</x:v>
      </x:c>
      <x:c r="E391" s="17" t="n">
        <x:v>1583</x:v>
      </x:c>
      <x:c r="F391" s="18" t="n">
        <x:v>16022.52</x:v>
      </x:c>
    </x:row>
    <x:row r="392">
      <x:c r="A392" s="14" t="str">
        <x:v>站点</x:v>
      </x:c>
      <x:c r="B392" s="15" t="str">
        <x:v>菲律宾</x:v>
      </x:c>
      <x:c r="C392" s="16" t="n">
        <x:v>46181</x:v>
      </x:c>
      <x:c r="D392" s="17" t="n">
        <x:v>707</x:v>
      </x:c>
      <x:c r="E392" s="17" t="n">
        <x:v>1434</x:v>
      </x:c>
      <x:c r="F392" s="18" t="n">
        <x:v>13347.88</x:v>
      </x:c>
    </x:row>
    <x:row r="393">
      <x:c r="A393" s="14" t="str">
        <x:v>站点</x:v>
      </x:c>
      <x:c r="B393" s="15" t="str">
        <x:v>菲律宾</x:v>
      </x:c>
      <x:c r="C393" s="16" t="n">
        <x:v>46182</x:v>
      </x:c>
      <x:c r="D393" s="17" t="n">
        <x:v>690</x:v>
      </x:c>
      <x:c r="E393" s="17" t="n">
        <x:v>1317</x:v>
      </x:c>
      <x:c r="F393" s="18" t="n">
        <x:v>13081.34</x:v>
      </x:c>
    </x:row>
    <x:row r="394">
      <x:c r="A394" s="14" t="str">
        <x:v>站点</x:v>
      </x:c>
      <x:c r="B394" s="15" t="str">
        <x:v>菲律宾</x:v>
      </x:c>
      <x:c r="C394" s="16" t="n">
        <x:v>46183</x:v>
      </x:c>
      <x:c r="D394" s="17" t="n">
        <x:v>666</x:v>
      </x:c>
      <x:c r="E394" s="17" t="n">
        <x:v>1317</x:v>
      </x:c>
      <x:c r="F394" s="18" t="n">
        <x:v>12766</x:v>
      </x:c>
    </x:row>
    <x:row r="395">
      <x:c r="A395" s="14" t="str">
        <x:v>站点</x:v>
      </x:c>
      <x:c r="B395" s="15" t="str">
        <x:v>菲律宾</x:v>
      </x:c>
      <x:c r="C395" s="16" t="n">
        <x:v>46184</x:v>
      </x:c>
      <x:c r="D395" s="17" t="n">
        <x:v>839</x:v>
      </x:c>
      <x:c r="E395" s="17" t="n">
        <x:v>1514</x:v>
      </x:c>
      <x:c r="F395" s="18" t="n">
        <x:v>14932.78</x:v>
      </x:c>
    </x:row>
    <x:row r="396">
      <x:c r="A396" s="14" t="str">
        <x:v>站点</x:v>
      </x:c>
      <x:c r="B396" s="15" t="str">
        <x:v>菲律宾</x:v>
      </x:c>
      <x:c r="C396" s="16" t="n">
        <x:v>46185</x:v>
      </x:c>
      <x:c r="D396" s="17" t="n">
        <x:v>855</x:v>
      </x:c>
      <x:c r="E396" s="17" t="n">
        <x:v>1640</x:v>
      </x:c>
      <x:c r="F396" s="18" t="n">
        <x:v>15579.87</x:v>
      </x:c>
    </x:row>
    <x:row r="397">
      <x:c r="A397" s="14" t="str">
        <x:v>站点</x:v>
      </x:c>
      <x:c r="B397" s="15" t="str">
        <x:v>菲律宾</x:v>
      </x:c>
      <x:c r="C397" s="16" t="n">
        <x:v>46186</x:v>
      </x:c>
      <x:c r="D397" s="17" t="n">
        <x:v>748</x:v>
      </x:c>
      <x:c r="E397" s="17" t="n">
        <x:v>1544</x:v>
      </x:c>
      <x:c r="F397" s="18" t="n">
        <x:v>14127.22</x:v>
      </x:c>
    </x:row>
    <x:row r="398">
      <x:c r="A398" s="14" t="str">
        <x:v>站点</x:v>
      </x:c>
      <x:c r="B398" s="15" t="str">
        <x:v>菲律宾</x:v>
      </x:c>
      <x:c r="C398" s="16" t="n">
        <x:v>46187</x:v>
      </x:c>
      <x:c r="D398" s="17" t="n">
        <x:v>687</x:v>
      </x:c>
      <x:c r="E398" s="17" t="n">
        <x:v>1388</x:v>
      </x:c>
      <x:c r="F398" s="18" t="n">
        <x:v>13060.25</x:v>
      </x:c>
    </x:row>
    <x:row r="399">
      <x:c r="A399" s="14" t="str">
        <x:v>站点</x:v>
      </x:c>
      <x:c r="B399" s="15" t="str">
        <x:v>菲律宾</x:v>
      </x:c>
      <x:c r="C399" s="16" t="n">
        <x:v>46188</x:v>
      </x:c>
      <x:c r="D399" s="17" t="n">
        <x:v>751</x:v>
      </x:c>
      <x:c r="E399" s="17" t="n">
        <x:v>1563</x:v>
      </x:c>
      <x:c r="F399" s="18" t="n">
        <x:v>14759.63</x:v>
      </x:c>
    </x:row>
    <x:row r="400">
      <x:c r="A400" s="14" t="str">
        <x:v>站点</x:v>
      </x:c>
      <x:c r="B400" s="15" t="str">
        <x:v>菲律宾</x:v>
      </x:c>
      <x:c r="C400" s="16" t="n">
        <x:v>46189</x:v>
      </x:c>
      <x:c r="D400" s="17" t="n">
        <x:v>783</x:v>
      </x:c>
      <x:c r="E400" s="17" t="n">
        <x:v>1613</x:v>
      </x:c>
      <x:c r="F400" s="18" t="n">
        <x:v>15375.02</x:v>
      </x:c>
    </x:row>
    <x:row r="401">
      <x:c r="A401" s="14" t="str">
        <x:v>站点</x:v>
      </x:c>
      <x:c r="B401" s="15" t="str">
        <x:v>菲律宾</x:v>
      </x:c>
      <x:c r="C401" s="16" t="n">
        <x:v>46190</x:v>
      </x:c>
      <x:c r="D401" s="17" t="n">
        <x:v>798</x:v>
      </x:c>
      <x:c r="E401" s="17" t="n">
        <x:v>1693</x:v>
      </x:c>
      <x:c r="F401" s="18" t="n">
        <x:v>16700.28</x:v>
      </x:c>
    </x:row>
    <x:row r="402">
      <x:c r="A402" s="14" t="str">
        <x:v>站点</x:v>
      </x:c>
      <x:c r="B402" s="15" t="str">
        <x:v>菲律宾</x:v>
      </x:c>
      <x:c r="C402" s="16" t="n">
        <x:v>46191</x:v>
      </x:c>
      <x:c r="D402" s="17" t="n">
        <x:v>826</x:v>
      </x:c>
      <x:c r="E402" s="17" t="n">
        <x:v>1686</x:v>
      </x:c>
      <x:c r="F402" s="18" t="n">
        <x:v>17685.33</x:v>
      </x:c>
    </x:row>
    <x:row r="403">
      <x:c r="A403" s="14" t="str">
        <x:v>站点</x:v>
      </x:c>
      <x:c r="B403" s="15" t="str">
        <x:v>菲律宾</x:v>
      </x:c>
      <x:c r="C403" s="16" t="n">
        <x:v>46192</x:v>
      </x:c>
      <x:c r="D403" s="17" t="n">
        <x:v>775</x:v>
      </x:c>
      <x:c r="E403" s="17" t="n">
        <x:v>1544</x:v>
      </x:c>
      <x:c r="F403" s="18" t="n">
        <x:v>16234.47</x:v>
      </x:c>
    </x:row>
    <x:row r="404">
      <x:c r="A404" s="14" t="str">
        <x:v>站点</x:v>
      </x:c>
      <x:c r="B404" s="15" t="str">
        <x:v>菲律宾</x:v>
      </x:c>
      <x:c r="C404" s="16" t="n">
        <x:v>46193</x:v>
      </x:c>
      <x:c r="D404" s="17" t="n">
        <x:v>656</x:v>
      </x:c>
      <x:c r="E404" s="17" t="n">
        <x:v>1328</x:v>
      </x:c>
      <x:c r="F404" s="18" t="n">
        <x:v>13256.03</x:v>
      </x:c>
    </x:row>
    <x:row r="405">
      <x:c r="A405" s="14" t="str">
        <x:v>站点</x:v>
      </x:c>
      <x:c r="B405" s="15" t="str">
        <x:v>菲律宾</x:v>
      </x:c>
      <x:c r="C405" s="16" t="n">
        <x:v>46194</x:v>
      </x:c>
      <x:c r="D405" s="17" t="n">
        <x:v>740</x:v>
      </x:c>
      <x:c r="E405" s="17" t="n">
        <x:v>1512</x:v>
      </x:c>
      <x:c r="F405" s="18" t="n">
        <x:v>14338.54</x:v>
      </x:c>
    </x:row>
    <x:row r="406">
      <x:c r="A406" s="14" t="str">
        <x:v>站点</x:v>
      </x:c>
      <x:c r="B406" s="15" t="str">
        <x:v>菲律宾</x:v>
      </x:c>
      <x:c r="C406" s="16" t="n">
        <x:v>46195</x:v>
      </x:c>
      <x:c r="D406" s="17" t="n">
        <x:v>703</x:v>
      </x:c>
      <x:c r="E406" s="17" t="n">
        <x:v>1403</x:v>
      </x:c>
      <x:c r="F406" s="18" t="n">
        <x:v>14353.54</x:v>
      </x:c>
    </x:row>
    <x:row r="407">
      <x:c r="A407" s="14" t="str">
        <x:v>站点</x:v>
      </x:c>
      <x:c r="B407" s="15" t="str">
        <x:v>菲律宾</x:v>
      </x:c>
      <x:c r="C407" s="16" t="n">
        <x:v>46196</x:v>
      </x:c>
      <x:c r="D407" s="17" t="n">
        <x:v>765</x:v>
      </x:c>
      <x:c r="E407" s="17" t="n">
        <x:v>1520</x:v>
      </x:c>
      <x:c r="F407" s="18" t="n">
        <x:v>16110.2</x:v>
      </x:c>
    </x:row>
    <x:row r="408">
      <x:c r="A408" s="14" t="str">
        <x:v>站点</x:v>
      </x:c>
      <x:c r="B408" s="15" t="str">
        <x:v>菲律宾</x:v>
      </x:c>
      <x:c r="C408" s="16" t="n">
        <x:v>46197</x:v>
      </x:c>
      <x:c r="D408" s="17" t="n">
        <x:v>743</x:v>
      </x:c>
      <x:c r="E408" s="17" t="n">
        <x:v>1449</x:v>
      </x:c>
      <x:c r="F408" s="18" t="n">
        <x:v>14628.26</x:v>
      </x:c>
    </x:row>
    <x:row r="409">
      <x:c r="A409" s="14" t="str">
        <x:v>站点</x:v>
      </x:c>
      <x:c r="B409" s="15" t="str">
        <x:v>菲律宾</x:v>
      </x:c>
      <x:c r="C409" s="16" t="n">
        <x:v>46198</x:v>
      </x:c>
      <x:c r="D409" s="17" t="n">
        <x:v>764</x:v>
      </x:c>
      <x:c r="E409" s="17" t="n">
        <x:v>1502</x:v>
      </x:c>
      <x:c r="F409" s="18" t="n">
        <x:v>15271.43</x:v>
      </x:c>
    </x:row>
    <x:row r="410">
      <x:c r="A410" s="14" t="str">
        <x:v>站点</x:v>
      </x:c>
      <x:c r="B410" s="15" t="str">
        <x:v>菲律宾</x:v>
      </x:c>
      <x:c r="C410" s="16" t="n">
        <x:v>46199</x:v>
      </x:c>
      <x:c r="D410" s="17" t="n">
        <x:v>750</x:v>
      </x:c>
      <x:c r="E410" s="17" t="n">
        <x:v>1460</x:v>
      </x:c>
      <x:c r="F410" s="18" t="n">
        <x:v>13863.35</x:v>
      </x:c>
    </x:row>
    <x:row r="411">
      <x:c r="A411" s="14" t="str">
        <x:v>站点</x:v>
      </x:c>
      <x:c r="B411" s="15" t="str">
        <x:v>菲律宾</x:v>
      </x:c>
      <x:c r="C411" s="16" t="n">
        <x:v>46200</x:v>
      </x:c>
      <x:c r="D411" s="17" t="n">
        <x:v>679</x:v>
      </x:c>
      <x:c r="E411" s="17" t="n">
        <x:v>1323</x:v>
      </x:c>
      <x:c r="F411" s="18" t="n">
        <x:v>12962.39</x:v>
      </x:c>
    </x:row>
    <x:row r="412">
      <x:c r="A412" s="14" t="str">
        <x:v>站点</x:v>
      </x:c>
      <x:c r="B412" s="15" t="str">
        <x:v>菲律宾</x:v>
      </x:c>
      <x:c r="C412" s="16" t="n">
        <x:v>46201</x:v>
      </x:c>
      <x:c r="D412" s="17" t="n">
        <x:v>703</x:v>
      </x:c>
      <x:c r="E412" s="17" t="n">
        <x:v>1356</x:v>
      </x:c>
      <x:c r="F412" s="18" t="n">
        <x:v>13737.15</x:v>
      </x:c>
    </x:row>
    <x:row r="413">
      <x:c r="A413" s="14" t="str">
        <x:v>站点</x:v>
      </x:c>
      <x:c r="B413" s="15" t="str">
        <x:v>菲律宾</x:v>
      </x:c>
      <x:c r="C413" s="16" t="n">
        <x:v>46202</x:v>
      </x:c>
      <x:c r="D413" s="17" t="n">
        <x:v>784</x:v>
      </x:c>
      <x:c r="E413" s="17" t="n">
        <x:v>1461</x:v>
      </x:c>
      <x:c r="F413" s="18" t="n">
        <x:v>13314.86</x:v>
      </x:c>
    </x:row>
    <x:row r="414">
      <x:c r="A414" s="14" t="str">
        <x:v>站点</x:v>
      </x:c>
      <x:c r="B414" s="15" t="str">
        <x:v>菲律宾</x:v>
      </x:c>
      <x:c r="C414" s="16" t="n">
        <x:v>46203</x:v>
      </x:c>
      <x:c r="D414" s="17" t="n">
        <x:v>770</x:v>
      </x:c>
      <x:c r="E414" s="17" t="n">
        <x:v>1476</x:v>
      </x:c>
      <x:c r="F414" s="18" t="n">
        <x:v>12948.51</x:v>
      </x:c>
    </x:row>
    <x:row r="415">
      <x:c r="A415" s="14" t="str">
        <x:v>站点</x:v>
      </x:c>
      <x:c r="B415" s="15" t="str">
        <x:v>菲律宾</x:v>
      </x:c>
      <x:c r="C415" s="16" t="n">
        <x:v>46204</x:v>
      </x:c>
      <x:c r="D415" s="17" t="n">
        <x:v>827</x:v>
      </x:c>
      <x:c r="E415" s="17" t="n">
        <x:v>1645</x:v>
      </x:c>
      <x:c r="F415" s="18" t="n">
        <x:v>14665.7</x:v>
      </x:c>
    </x:row>
    <x:row r="416">
      <x:c r="A416" s="14" t="str">
        <x:v>站点</x:v>
      </x:c>
      <x:c r="B416" s="15" t="str">
        <x:v>菲律宾</x:v>
      </x:c>
      <x:c r="C416" s="16" t="n">
        <x:v>46205</x:v>
      </x:c>
      <x:c r="D416" s="17" t="n">
        <x:v>809</x:v>
      </x:c>
      <x:c r="E416" s="17" t="n">
        <x:v>1632</x:v>
      </x:c>
      <x:c r="F416" s="18" t="n">
        <x:v>13671.26</x:v>
      </x:c>
    </x:row>
    <x:row r="417">
      <x:c r="A417" s="14" t="str">
        <x:v>站点</x:v>
      </x:c>
      <x:c r="B417" s="15" t="str">
        <x:v>菲律宾</x:v>
      </x:c>
      <x:c r="C417" s="16" t="n">
        <x:v>46206</x:v>
      </x:c>
      <x:c r="D417" s="17" t="n">
        <x:v>772</x:v>
      </x:c>
      <x:c r="E417" s="17" t="n">
        <x:v>1523</x:v>
      </x:c>
      <x:c r="F417" s="18" t="n">
        <x:v>13783.76</x:v>
      </x:c>
    </x:row>
    <x:row r="418">
      <x:c r="A418" s="14" t="str">
        <x:v>站点</x:v>
      </x:c>
      <x:c r="B418" s="15" t="str">
        <x:v>菲律宾</x:v>
      </x:c>
      <x:c r="C418" s="16" t="n">
        <x:v>46207</x:v>
      </x:c>
      <x:c r="D418" s="17" t="n">
        <x:v>815</x:v>
      </x:c>
      <x:c r="E418" s="17" t="n">
        <x:v>1622</x:v>
      </x:c>
      <x:c r="F418" s="18" t="n">
        <x:v>14445.79</x:v>
      </x:c>
    </x:row>
    <x:row r="419">
      <x:c r="A419" s="14" t="str">
        <x:v>站点</x:v>
      </x:c>
      <x:c r="B419" s="15" t="str">
        <x:v>菲律宾</x:v>
      </x:c>
      <x:c r="C419" s="16" t="n">
        <x:v>46208</x:v>
      </x:c>
      <x:c r="D419" s="17" t="n">
        <x:v>673</x:v>
      </x:c>
      <x:c r="E419" s="17" t="n">
        <x:v>1301</x:v>
      </x:c>
      <x:c r="F419" s="18" t="n">
        <x:v>12782.74</x:v>
      </x:c>
    </x:row>
    <x:row r="420">
      <x:c r="A420" s="14" t="str">
        <x:v>站点</x:v>
      </x:c>
      <x:c r="B420" s="15" t="str">
        <x:v>菲律宾</x:v>
      </x:c>
      <x:c r="C420" s="16" t="n">
        <x:v>46209</x:v>
      </x:c>
      <x:c r="D420" s="17" t="n">
        <x:v>730</x:v>
      </x:c>
      <x:c r="E420" s="17" t="n">
        <x:v>1228</x:v>
      </x:c>
      <x:c r="F420" s="18" t="n">
        <x:v>12480.76</x:v>
      </x:c>
    </x:row>
    <x:row r="421">
      <x:c r="A421" s="14" t="str">
        <x:v>站点</x:v>
      </x:c>
      <x:c r="B421" s="15" t="str">
        <x:v>菲律宾</x:v>
      </x:c>
      <x:c r="C421" s="16" t="n">
        <x:v>46210</x:v>
      </x:c>
      <x:c r="D421" s="17" t="n">
        <x:v>811</x:v>
      </x:c>
      <x:c r="E421" s="17" t="n">
        <x:v>1453</x:v>
      </x:c>
      <x:c r="F421" s="18" t="n">
        <x:v>15091.1</x:v>
      </x:c>
    </x:row>
    <x:row r="422">
      <x:c r="A422" s="14" t="str">
        <x:v>站点</x:v>
      </x:c>
      <x:c r="B422" s="15" t="str">
        <x:v>菲律宾</x:v>
      </x:c>
      <x:c r="C422" s="16" t="n">
        <x:v>46211</x:v>
      </x:c>
      <x:c r="D422" s="17" t="n">
        <x:v>722</x:v>
      </x:c>
      <x:c r="E422" s="17" t="n">
        <x:v>1148</x:v>
      </x:c>
      <x:c r="F422" s="18" t="n">
        <x:v>12228.26</x:v>
      </x:c>
    </x:row>
    <x:row r="423">
      <x:c r="A423" s="14" t="str">
        <x:v>站点</x:v>
      </x:c>
      <x:c r="B423" s="15" t="str">
        <x:v>菲律宾</x:v>
      </x:c>
      <x:c r="C423" s="16" t="n">
        <x:v>46212</x:v>
      </x:c>
      <x:c r="D423" s="17" t="n">
        <x:v>630</x:v>
      </x:c>
      <x:c r="E423" s="17" t="n">
        <x:v>1041</x:v>
      </x:c>
      <x:c r="F423" s="18" t="n">
        <x:v>10790.77</x:v>
      </x:c>
    </x:row>
    <x:row r="424">
      <x:c r="A424" s="14" t="str">
        <x:v>站点</x:v>
      </x:c>
      <x:c r="B424" s="15" t="str">
        <x:v>菲律宾</x:v>
      </x:c>
      <x:c r="C424" s="16" t="n">
        <x:v>46213</x:v>
      </x:c>
      <x:c r="D424" s="17" t="n">
        <x:v>573</x:v>
      </x:c>
      <x:c r="E424" s="17" t="n">
        <x:v>1061</x:v>
      </x:c>
      <x:c r="F424" s="18" t="n">
        <x:v>10896.32</x:v>
      </x:c>
    </x:row>
    <x:row r="425">
      <x:c r="A425" s="14" t="str">
        <x:v>站点</x:v>
      </x:c>
      <x:c r="B425" s="15" t="str">
        <x:v>菲律宾</x:v>
      </x:c>
      <x:c r="C425" s="16" t="n">
        <x:v>46214</x:v>
      </x:c>
      <x:c r="D425" s="17" t="n">
        <x:v>672</x:v>
      </x:c>
      <x:c r="E425" s="17" t="n">
        <x:v>1106</x:v>
      </x:c>
      <x:c r="F425" s="18" t="n">
        <x:v>11850.81</x:v>
      </x:c>
    </x:row>
    <x:row r="426">
      <x:c r="A426" s="14" t="str">
        <x:v>站点</x:v>
      </x:c>
      <x:c r="B426" s="15" t="str">
        <x:v>菲律宾</x:v>
      </x:c>
      <x:c r="C426" s="16" t="n">
        <x:v>46215</x:v>
      </x:c>
      <x:c r="D426" s="17" t="n">
        <x:v>632</x:v>
      </x:c>
      <x:c r="E426" s="17" t="n">
        <x:v>1165</x:v>
      </x:c>
      <x:c r="F426" s="18" t="n">
        <x:v>10783.32</x:v>
      </x:c>
    </x:row>
    <x:row r="427">
      <x:c r="A427" s="14" t="str">
        <x:v>站点</x:v>
      </x:c>
      <x:c r="B427" s="15" t="str">
        <x:v>菲律宾</x:v>
      </x:c>
      <x:c r="C427" s="16" t="n">
        <x:v>46216</x:v>
      </x:c>
      <x:c r="D427" s="17" t="n">
        <x:v>732</x:v>
      </x:c>
      <x:c r="E427" s="17" t="n">
        <x:v>1386</x:v>
      </x:c>
      <x:c r="F427" s="18" t="n">
        <x:v>12797.04</x:v>
      </x:c>
    </x:row>
    <x:row r="428">
      <x:c r="A428" s="14" t="str">
        <x:v>站点</x:v>
      </x:c>
      <x:c r="B428" s="15" t="str">
        <x:v>菲律宾</x:v>
      </x:c>
      <x:c r="C428" s="16" t="n">
        <x:v>46217</x:v>
      </x:c>
      <x:c r="D428" s="17" t="n">
        <x:v>697</x:v>
      </x:c>
      <x:c r="E428" s="17" t="n">
        <x:v>1374</x:v>
      </x:c>
      <x:c r="F428" s="18" t="n">
        <x:v>12990.24</x:v>
      </x:c>
    </x:row>
    <x:row r="429">
      <x:c r="A429" s="14" t="str">
        <x:v>站点</x:v>
      </x:c>
      <x:c r="B429" s="15" t="str">
        <x:v>菲律宾</x:v>
      </x:c>
      <x:c r="C429" s="16" t="n">
        <x:v>46218</x:v>
      </x:c>
      <x:c r="D429" s="17" t="n">
        <x:v>819</x:v>
      </x:c>
      <x:c r="E429" s="17" t="n">
        <x:v>1633</x:v>
      </x:c>
      <x:c r="F429" s="18" t="n">
        <x:v>14705.42</x:v>
      </x:c>
    </x:row>
    <x:row r="430">
      <x:c r="A430" s="14" t="str">
        <x:v>站点</x:v>
      </x:c>
      <x:c r="B430" s="15" t="str">
        <x:v>菲律宾</x:v>
      </x:c>
      <x:c r="C430" s="16" t="n">
        <x:v>46219</x:v>
      </x:c>
      <x:c r="D430" s="17" t="n">
        <x:v>818</x:v>
      </x:c>
      <x:c r="E430" s="17" t="n">
        <x:v>1495</x:v>
      </x:c>
      <x:c r="F430" s="18" t="n">
        <x:v>13531.37</x:v>
      </x:c>
    </x:row>
    <x:row r="431">
      <x:c r="A431" s="14" t="str">
        <x:v>站点</x:v>
      </x:c>
      <x:c r="B431" s="15" t="str">
        <x:v>菲律宾</x:v>
      </x:c>
      <x:c r="C431" s="16" t="n">
        <x:v>46220</x:v>
      </x:c>
      <x:c r="D431" s="17" t="n">
        <x:v>886</x:v>
      </x:c>
      <x:c r="E431" s="17" t="n">
        <x:v>1699</x:v>
      </x:c>
      <x:c r="F431" s="18" t="n">
        <x:v>14468.57</x:v>
      </x:c>
    </x:row>
    <x:row r="432">
      <x:c r="A432" s="14" t="str">
        <x:v>站点</x:v>
      </x:c>
      <x:c r="B432" s="15" t="str">
        <x:v>菲律宾</x:v>
      </x:c>
      <x:c r="C432" s="16" t="n">
        <x:v>46221</x:v>
      </x:c>
      <x:c r="D432" s="17" t="n">
        <x:v>695</x:v>
      </x:c>
      <x:c r="E432" s="17" t="n">
        <x:v>1354</x:v>
      </x:c>
      <x:c r="F432" s="18" t="n">
        <x:v>12004.84</x:v>
      </x:c>
    </x:row>
    <x:row r="433">
      <x:c r="A433" s="14" t="str">
        <x:v>站点</x:v>
      </x:c>
      <x:c r="B433" s="15" t="str">
        <x:v>菲律宾</x:v>
      </x:c>
      <x:c r="C433" s="16" t="n">
        <x:v>46222</x:v>
      </x:c>
      <x:c r="D433" s="17" t="n">
        <x:v>859</x:v>
      </x:c>
      <x:c r="E433" s="17" t="n">
        <x:v>1549</x:v>
      </x:c>
      <x:c r="F433" s="18" t="n">
        <x:v>14338</x:v>
      </x:c>
    </x:row>
    <x:row r="434">
      <x:c r="A434" s="14" t="str">
        <x:v>站点</x:v>
      </x:c>
      <x:c r="B434" s="15" t="str">
        <x:v>菲律宾</x:v>
      </x:c>
      <x:c r="C434" s="16" t="n">
        <x:v>46223</x:v>
      </x:c>
      <x:c r="D434" s="17" t="n">
        <x:v>857</x:v>
      </x:c>
      <x:c r="E434" s="17" t="n">
        <x:v>1508</x:v>
      </x:c>
      <x:c r="F434" s="18" t="n">
        <x:v>13856.36</x:v>
      </x:c>
    </x:row>
    <x:row r="435">
      <x:c r="A435" s="14" t="str">
        <x:v>站点</x:v>
      </x:c>
      <x:c r="B435" s="15" t="str">
        <x:v>菲律宾</x:v>
      </x:c>
      <x:c r="C435" s="16" t="n">
        <x:v>46224</x:v>
      </x:c>
      <x:c r="D435" s="17" t="n">
        <x:v>849</x:v>
      </x:c>
      <x:c r="E435" s="17" t="n">
        <x:v>1535</x:v>
      </x:c>
      <x:c r="F435" s="18" t="n">
        <x:v>14117.59</x:v>
      </x:c>
    </x:row>
    <x:row r="436">
      <x:c r="A436" s="14" t="str">
        <x:v>站点</x:v>
      </x:c>
      <x:c r="B436" s="15" t="str">
        <x:v>菲律宾</x:v>
      </x:c>
      <x:c r="C436" s="16" t="n">
        <x:v>46225</x:v>
      </x:c>
      <x:c r="D436" s="17" t="n">
        <x:v>955</x:v>
      </x:c>
      <x:c r="E436" s="17" t="n">
        <x:v>1792</x:v>
      </x:c>
      <x:c r="F436" s="18" t="n">
        <x:v>17272.24</x:v>
      </x:c>
    </x:row>
    <x:row r="437">
      <x:c r="A437" s="14" t="str">
        <x:v>站点</x:v>
      </x:c>
      <x:c r="B437" s="15" t="str">
        <x:v>菲律宾</x:v>
      </x:c>
      <x:c r="C437" s="16" t="n">
        <x:v>46226</x:v>
      </x:c>
      <x:c r="D437" s="17" t="n">
        <x:v>926</x:v>
      </x:c>
      <x:c r="E437" s="17" t="n">
        <x:v>1733</x:v>
      </x:c>
      <x:c r="F437" s="18" t="n">
        <x:v>17249.34</x:v>
      </x:c>
    </x:row>
    <x:row r="438">
      <x:c r="A438" s="14" t="str">
        <x:v>站点</x:v>
      </x:c>
      <x:c r="B438" s="15" t="str">
        <x:v>菲律宾</x:v>
      </x:c>
      <x:c r="C438" s="16" t="n">
        <x:v>46227</x:v>
      </x:c>
      <x:c r="D438" s="17" t="n">
        <x:v>873</x:v>
      </x:c>
      <x:c r="E438" s="17" t="n">
        <x:v>1600</x:v>
      </x:c>
      <x:c r="F438" s="18" t="n">
        <x:v>15389.8</x:v>
      </x:c>
    </x:row>
    <x:row r="439">
      <x:c r="A439" s="14" t="str">
        <x:v>站点</x:v>
      </x:c>
      <x:c r="B439" s="15" t="str">
        <x:v>菲律宾</x:v>
      </x:c>
      <x:c r="C439" s="16" t="n">
        <x:v>46228</x:v>
      </x:c>
      <x:c r="D439" s="17" t="n">
        <x:v>593</x:v>
      </x:c>
      <x:c r="E439" s="17" t="n">
        <x:v>1030</x:v>
      </x:c>
      <x:c r="F439" s="18" t="n">
        <x:v>10067.29</x:v>
      </x:c>
    </x:row>
    <x:row r="440">
      <x:c r="A440" s="14" t="str">
        <x:v>站点</x:v>
      </x:c>
      <x:c r="B440" s="15" t="str">
        <x:v>菲律宾</x:v>
      </x:c>
      <x:c r="C440" s="16" t="n">
        <x:v>46229</x:v>
      </x:c>
      <x:c r="D440" s="17" t="n">
        <x:v>880</x:v>
      </x:c>
      <x:c r="E440" s="17" t="n">
        <x:v>1586</x:v>
      </x:c>
      <x:c r="F440" s="18" t="n">
        <x:v>14535.37</x:v>
      </x:c>
    </x:row>
    <x:row r="441">
      <x:c r="A441" s="14" t="str">
        <x:v>站点</x:v>
      </x:c>
      <x:c r="B441" s="15" t="str">
        <x:v>菲律宾</x:v>
      </x:c>
      <x:c r="C441" s="16" t="n">
        <x:v>46230</x:v>
      </x:c>
      <x:c r="D441" s="17" t="n">
        <x:v>755</x:v>
      </x:c>
      <x:c r="E441" s="17" t="n">
        <x:v>1417</x:v>
      </x:c>
      <x:c r="F441" s="18" t="n">
        <x:v>13368.08</x:v>
      </x:c>
    </x:row>
    <x:row r="442">
      <x:c r="A442" s="14" t="str">
        <x:v>站点</x:v>
      </x:c>
      <x:c r="B442" s="15" t="str">
        <x:v>菲律宾</x:v>
      </x:c>
      <x:c r="C442" s="16" t="n">
        <x:v>46231</x:v>
      </x:c>
      <x:c r="D442" s="17" t="n">
        <x:v>689</x:v>
      </x:c>
      <x:c r="E442" s="17" t="n">
        <x:v>1266</x:v>
      </x:c>
      <x:c r="F442" s="18" t="n">
        <x:v>12310</x:v>
      </x:c>
    </x:row>
    <x:row r="443">
      <x:c r="A443" s="14" t="str">
        <x:v>站点</x:v>
      </x:c>
      <x:c r="B443" s="15" t="str">
        <x:v>菲律宾</x:v>
      </x:c>
      <x:c r="C443" s="16" t="n">
        <x:v>46232</x:v>
      </x:c>
      <x:c r="D443" s="17" t="n">
        <x:v>1065</x:v>
      </x:c>
      <x:c r="E443" s="17" t="n">
        <x:v>1909</x:v>
      </x:c>
      <x:c r="F443" s="18" t="n">
        <x:v>18785.62</x:v>
      </x:c>
    </x:row>
    <x:row r="444">
      <x:c r="A444" s="14" t="str">
        <x:v>站点</x:v>
      </x:c>
      <x:c r="B444" s="15" t="str">
        <x:v>菲律宾</x:v>
      </x:c>
      <x:c r="C444" s="16" t="n">
        <x:v>46233</x:v>
      </x:c>
      <x:c r="D444" s="17" t="n">
        <x:v>783</x:v>
      </x:c>
      <x:c r="E444" s="17" t="n">
        <x:v>1442</x:v>
      </x:c>
      <x:c r="F444" s="18" t="n">
        <x:v>13857.72</x:v>
      </x:c>
    </x:row>
    <x:row r="445">
      <x:c r="A445" s="14" t="str">
        <x:v>站点</x:v>
      </x:c>
      <x:c r="B445" s="15" t="str">
        <x:v>菲律宾</x:v>
      </x:c>
      <x:c r="C445" s="16" t="n">
        <x:v>46234</x:v>
      </x:c>
      <x:c r="D445" s="17" t="n">
        <x:v>753</x:v>
      </x:c>
      <x:c r="E445" s="17" t="n">
        <x:v>1351</x:v>
      </x:c>
      <x:c r="F445" s="18" t="n">
        <x:v>13529.31</x:v>
      </x:c>
    </x:row>
    <x:row r="446">
      <x:c r="A446" s="14" t="str">
        <x:v>站点</x:v>
      </x:c>
      <x:c r="B446" s="15" t="str">
        <x:v>菲律宾</x:v>
      </x:c>
      <x:c r="C446" s="16" t="n">
        <x:v>46235</x:v>
      </x:c>
      <x:c r="D446" s="17" t="n">
        <x:v>720</x:v>
      </x:c>
      <x:c r="E446" s="17" t="n">
        <x:v>1378</x:v>
      </x:c>
      <x:c r="F446" s="18" t="n">
        <x:v>13320.1</x:v>
      </x:c>
    </x:row>
    <x:row r="447">
      <x:c r="A447" s="14" t="str">
        <x:v>站点</x:v>
      </x:c>
      <x:c r="B447" s="15" t="str">
        <x:v>菲律宾</x:v>
      </x:c>
      <x:c r="C447" s="16" t="n">
        <x:v>46236</x:v>
      </x:c>
      <x:c r="D447" s="17" t="n">
        <x:v>714</x:v>
      </x:c>
      <x:c r="E447" s="17" t="n">
        <x:v>1214</x:v>
      </x:c>
      <x:c r="F447" s="18" t="n">
        <x:v>12659.9</x:v>
      </x:c>
    </x:row>
    <x:row r="448">
      <x:c r="A448" s="14" t="str">
        <x:v>站点</x:v>
      </x:c>
      <x:c r="B448" s="15" t="str">
        <x:v>菲律宾</x:v>
      </x:c>
      <x:c r="C448" s="16" t="n">
        <x:v>46237</x:v>
      </x:c>
      <x:c r="D448" s="17" t="n">
        <x:v>851</x:v>
      </x:c>
      <x:c r="E448" s="17" t="n">
        <x:v>1442</x:v>
      </x:c>
      <x:c r="F448" s="18" t="n">
        <x:v>14584.73</x:v>
      </x:c>
    </x:row>
    <x:row r="449">
      <x:c r="A449" s="14" t="str">
        <x:v>站点</x:v>
      </x:c>
      <x:c r="B449" s="15" t="str">
        <x:v>菲律宾</x:v>
      </x:c>
      <x:c r="C449" s="16" t="n">
        <x:v>46238</x:v>
      </x:c>
      <x:c r="D449" s="17" t="n">
        <x:v>735</x:v>
      </x:c>
      <x:c r="E449" s="17" t="n">
        <x:v>1383</x:v>
      </x:c>
      <x:c r="F449" s="18" t="n">
        <x:v>13490.32</x:v>
      </x:c>
    </x:row>
    <x:row r="450">
      <x:c r="A450" s="14" t="str">
        <x:v>站点</x:v>
      </x:c>
      <x:c r="B450" s="15" t="str">
        <x:v>菲律宾</x:v>
      </x:c>
      <x:c r="C450" s="16" t="n">
        <x:v>46239</x:v>
      </x:c>
      <x:c r="D450" s="17" t="n">
        <x:v>773</x:v>
      </x:c>
      <x:c r="E450" s="17" t="n">
        <x:v>1403</x:v>
      </x:c>
      <x:c r="F450" s="18" t="n">
        <x:v>13904.79</x:v>
      </x:c>
    </x:row>
    <x:row r="451">
      <x:c r="A451" s="14" t="str">
        <x:v>站点</x:v>
      </x:c>
      <x:c r="B451" s="15" t="str">
        <x:v>菲律宾</x:v>
      </x:c>
      <x:c r="C451" s="16" t="n">
        <x:v>46240</x:v>
      </x:c>
      <x:c r="D451" s="17" t="n">
        <x:v>917</x:v>
      </x:c>
      <x:c r="E451" s="17" t="n">
        <x:v>1782</x:v>
      </x:c>
      <x:c r="F451" s="18" t="n">
        <x:v>16405.61</x:v>
      </x:c>
    </x:row>
    <x:row r="452">
      <x:c r="A452" s="14" t="str">
        <x:v>站点</x:v>
      </x:c>
      <x:c r="B452" s="15" t="str">
        <x:v>菲律宾</x:v>
      </x:c>
      <x:c r="C452" s="16" t="n">
        <x:v>46241</x:v>
      </x:c>
      <x:c r="D452" s="17" t="n">
        <x:v>914</x:v>
      </x:c>
      <x:c r="E452" s="17" t="n">
        <x:v>1695</x:v>
      </x:c>
      <x:c r="F452" s="18" t="n">
        <x:v>16326.57</x:v>
      </x:c>
    </x:row>
    <x:row r="453">
      <x:c r="A453" s="14" t="str">
        <x:v>站点</x:v>
      </x:c>
      <x:c r="B453" s="15" t="str">
        <x:v>菲律宾</x:v>
      </x:c>
      <x:c r="C453" s="16" t="n">
        <x:v>46242</x:v>
      </x:c>
      <x:c r="D453" s="17" t="n">
        <x:v>936</x:v>
      </x:c>
      <x:c r="E453" s="17" t="n">
        <x:v>1684</x:v>
      </x:c>
      <x:c r="F453" s="18" t="n">
        <x:v>18658.15</x:v>
      </x:c>
    </x:row>
    <x:row r="454">
      <x:c r="A454" s="14" t="str">
        <x:v>站点</x:v>
      </x:c>
      <x:c r="B454" s="15" t="str">
        <x:v>菲律宾</x:v>
      </x:c>
      <x:c r="C454" s="16" t="n">
        <x:v>46243</x:v>
      </x:c>
      <x:c r="D454" s="17" t="n">
        <x:v>0</x:v>
      </x:c>
      <x:c r="E454" s="17" t="n">
        <x:v>0</x:v>
      </x:c>
      <x:c r="F454" s="18" t="n">
        <x:v>0</x:v>
      </x:c>
    </x:row>
    <x:row r="455">
      <x:c r="A455" s="14" t="str">
        <x:v>站点</x:v>
      </x:c>
      <x:c r="B455" s="15" t="str">
        <x:v>菲律宾</x:v>
      </x:c>
      <x:c r="C455" s="16" t="n">
        <x:v>46244</x:v>
      </x:c>
      <x:c r="D455" s="17" t="n">
        <x:v>1739</x:v>
      </x:c>
      <x:c r="E455" s="17" t="n">
        <x:v>3233</x:v>
      </x:c>
      <x:c r="F455" s="18" t="n">
        <x:v>32331.84</x:v>
      </x:c>
    </x:row>
    <x:row r="456">
      <x:c r="A456" s="14" t="str">
        <x:v>站点</x:v>
      </x:c>
      <x:c r="B456" s="15" t="str">
        <x:v>菲律宾</x:v>
      </x:c>
      <x:c r="C456" s="16" t="n">
        <x:v>46245</x:v>
      </x:c>
      <x:c r="D456" s="17" t="n">
        <x:v>834</x:v>
      </x:c>
      <x:c r="E456" s="17" t="n">
        <x:v>1522</x:v>
      </x:c>
      <x:c r="F456" s="18" t="n">
        <x:v>15183.57</x:v>
      </x:c>
    </x:row>
    <x:row r="457">
      <x:c r="A457" s="14" t="str">
        <x:v>站点</x:v>
      </x:c>
      <x:c r="B457" s="15" t="str">
        <x:v>菲律宾</x:v>
      </x:c>
      <x:c r="C457" s="16" t="n">
        <x:v>46246</x:v>
      </x:c>
      <x:c r="D457" s="17" t="n">
        <x:v>698</x:v>
      </x:c>
      <x:c r="E457" s="17" t="n">
        <x:v>1276</x:v>
      </x:c>
      <x:c r="F457" s="18" t="n">
        <x:v>12601</x:v>
      </x:c>
    </x:row>
    <x:row r="458">
      <x:c r="A458" s="14" t="str">
        <x:v>站点</x:v>
      </x:c>
      <x:c r="B458" s="15" t="str">
        <x:v>菲律宾</x:v>
      </x:c>
      <x:c r="C458" s="16" t="n">
        <x:v>46247</x:v>
      </x:c>
      <x:c r="D458" s="17" t="n">
        <x:v>871</x:v>
      </x:c>
      <x:c r="E458" s="17" t="n">
        <x:v>1707</x:v>
      </x:c>
      <x:c r="F458" s="18" t="n">
        <x:v>15860.5</x:v>
      </x:c>
    </x:row>
    <x:row r="459">
      <x:c r="A459" s="14" t="str">
        <x:v>站点</x:v>
      </x:c>
      <x:c r="B459" s="15" t="str">
        <x:v>菲律宾</x:v>
      </x:c>
      <x:c r="C459" s="16" t="n">
        <x:v>46248</x:v>
      </x:c>
      <x:c r="D459" s="17" t="n">
        <x:v>784</x:v>
      </x:c>
      <x:c r="E459" s="17" t="n">
        <x:v>1428</x:v>
      </x:c>
      <x:c r="F459" s="18" t="n">
        <x:v>13840.18</x:v>
      </x:c>
    </x:row>
    <x:row r="460">
      <x:c r="A460" s="14" t="str">
        <x:v>站点</x:v>
      </x:c>
      <x:c r="B460" s="15" t="str">
        <x:v>菲律宾</x:v>
      </x:c>
      <x:c r="C460" s="16" t="n">
        <x:v>46249</x:v>
      </x:c>
      <x:c r="D460" s="17" t="n">
        <x:v>782</x:v>
      </x:c>
      <x:c r="E460" s="17" t="n">
        <x:v>1399</x:v>
      </x:c>
      <x:c r="F460" s="18" t="n">
        <x:v>14242.2</x:v>
      </x:c>
    </x:row>
    <x:row r="461">
      <x:c r="A461" s="14" t="str">
        <x:v>站点</x:v>
      </x:c>
      <x:c r="B461" s="15" t="str">
        <x:v>菲律宾</x:v>
      </x:c>
      <x:c r="C461" s="16" t="n">
        <x:v>46250</x:v>
      </x:c>
      <x:c r="D461" s="17" t="n">
        <x:v>795</x:v>
      </x:c>
      <x:c r="E461" s="17" t="n">
        <x:v>1469</x:v>
      </x:c>
      <x:c r="F461" s="18" t="n">
        <x:v>14618.55</x:v>
      </x:c>
    </x:row>
    <x:row r="462">
      <x:c r="A462" s="14" t="str">
        <x:v>站点</x:v>
      </x:c>
      <x:c r="B462" s="15" t="str">
        <x:v>菲律宾</x:v>
      </x:c>
      <x:c r="C462" s="16" t="n">
        <x:v>46251</x:v>
      </x:c>
      <x:c r="D462" s="17" t="n">
        <x:v>783</x:v>
      </x:c>
      <x:c r="E462" s="17" t="n">
        <x:v>1447</x:v>
      </x:c>
      <x:c r="F462" s="18" t="n">
        <x:v>13828.59</x:v>
      </x:c>
    </x:row>
    <x:row r="463">
      <x:c r="A463" s="14" t="str">
        <x:v>站点</x:v>
      </x:c>
      <x:c r="B463" s="15" t="str">
        <x:v>菲律宾</x:v>
      </x:c>
      <x:c r="C463" s="16" t="n">
        <x:v>46252</x:v>
      </x:c>
      <x:c r="D463" s="17" t="n">
        <x:v>619</x:v>
      </x:c>
      <x:c r="E463" s="17" t="n">
        <x:v>1127</x:v>
      </x:c>
      <x:c r="F463" s="18" t="n">
        <x:v>11511.12</x:v>
      </x:c>
    </x:row>
    <x:row r="464">
      <x:c r="A464" s="14" t="str">
        <x:v>站点</x:v>
      </x:c>
      <x:c r="B464" s="15" t="str">
        <x:v>菲律宾</x:v>
      </x:c>
      <x:c r="C464" s="16" t="n">
        <x:v>46253</x:v>
      </x:c>
      <x:c r="D464" s="17" t="n">
        <x:v>955</x:v>
      </x:c>
      <x:c r="E464" s="17" t="n">
        <x:v>1818</x:v>
      </x:c>
      <x:c r="F464" s="18" t="n">
        <x:v>15787.01</x:v>
      </x:c>
    </x:row>
    <x:row r="465">
      <x:c r="A465" s="14" t="str">
        <x:v>站点</x:v>
      </x:c>
      <x:c r="B465" s="15" t="str">
        <x:v>菲律宾</x:v>
      </x:c>
      <x:c r="C465" s="16" t="n">
        <x:v>46254</x:v>
      </x:c>
      <x:c r="D465" s="17" t="n">
        <x:v>566</x:v>
      </x:c>
      <x:c r="E465" s="17" t="n">
        <x:v>1011</x:v>
      </x:c>
      <x:c r="F465" s="18" t="n">
        <x:v>9672.88</x:v>
      </x:c>
    </x:row>
    <x:row r="466">
      <x:c r="A466" s="14" t="str">
        <x:v>站点</x:v>
      </x:c>
      <x:c r="B466" s="15" t="str">
        <x:v>越南</x:v>
      </x:c>
      <x:c r="C466" s="16" t="n">
        <x:v>46023</x:v>
      </x:c>
      <x:c r="D466" s="17" t="n">
        <x:v>24</x:v>
      </x:c>
      <x:c r="E466" s="17" t="n">
        <x:v>36</x:v>
      </x:c>
      <x:c r="F466" s="18" t="n">
        <x:v>327.81</x:v>
      </x:c>
    </x:row>
    <x:row r="467">
      <x:c r="A467" s="14" t="str">
        <x:v>站点</x:v>
      </x:c>
      <x:c r="B467" s="15" t="str">
        <x:v>越南</x:v>
      </x:c>
      <x:c r="C467" s="16" t="n">
        <x:v>46024</x:v>
      </x:c>
      <x:c r="D467" s="17" t="n">
        <x:v>101</x:v>
      </x:c>
      <x:c r="E467" s="17" t="n">
        <x:v>199</x:v>
      </x:c>
      <x:c r="F467" s="18" t="n">
        <x:v>1566.8</x:v>
      </x:c>
    </x:row>
    <x:row r="468">
      <x:c r="A468" s="14" t="str">
        <x:v>站点</x:v>
      </x:c>
      <x:c r="B468" s="15" t="str">
        <x:v>越南</x:v>
      </x:c>
      <x:c r="C468" s="16" t="n">
        <x:v>46025</x:v>
      </x:c>
      <x:c r="D468" s="17" t="n">
        <x:v>44</x:v>
      </x:c>
      <x:c r="E468" s="17" t="n">
        <x:v>80</x:v>
      </x:c>
      <x:c r="F468" s="18" t="n">
        <x:v>592.07</x:v>
      </x:c>
    </x:row>
    <x:row r="469">
      <x:c r="A469" s="14" t="str">
        <x:v>站点</x:v>
      </x:c>
      <x:c r="B469" s="15" t="str">
        <x:v>越南</x:v>
      </x:c>
      <x:c r="C469" s="16" t="n">
        <x:v>46026</x:v>
      </x:c>
      <x:c r="D469" s="17" t="n">
        <x:v>62</x:v>
      </x:c>
      <x:c r="E469" s="17" t="n">
        <x:v>101</x:v>
      </x:c>
      <x:c r="F469" s="18" t="n">
        <x:v>785.99</x:v>
      </x:c>
    </x:row>
    <x:row r="470">
      <x:c r="A470" s="14" t="str">
        <x:v>站点</x:v>
      </x:c>
      <x:c r="B470" s="15" t="str">
        <x:v>越南</x:v>
      </x:c>
      <x:c r="C470" s="16" t="n">
        <x:v>46027</x:v>
      </x:c>
      <x:c r="D470" s="17" t="n">
        <x:v>76</x:v>
      </x:c>
      <x:c r="E470" s="17" t="n">
        <x:v>132</x:v>
      </x:c>
      <x:c r="F470" s="18" t="n">
        <x:v>1021.49</x:v>
      </x:c>
    </x:row>
    <x:row r="471">
      <x:c r="A471" s="14" t="str">
        <x:v>站点</x:v>
      </x:c>
      <x:c r="B471" s="15" t="str">
        <x:v>越南</x:v>
      </x:c>
      <x:c r="C471" s="16" t="n">
        <x:v>46028</x:v>
      </x:c>
      <x:c r="D471" s="17" t="n">
        <x:v>76</x:v>
      </x:c>
      <x:c r="E471" s="17" t="n">
        <x:v>140</x:v>
      </x:c>
      <x:c r="F471" s="18" t="n">
        <x:v>1144.15</x:v>
      </x:c>
    </x:row>
    <x:row r="472">
      <x:c r="A472" s="14" t="str">
        <x:v>站点</x:v>
      </x:c>
      <x:c r="B472" s="15" t="str">
        <x:v>越南</x:v>
      </x:c>
      <x:c r="C472" s="16" t="n">
        <x:v>46029</x:v>
      </x:c>
      <x:c r="D472" s="17" t="n">
        <x:v>99</x:v>
      </x:c>
      <x:c r="E472" s="17" t="n">
        <x:v>167</x:v>
      </x:c>
      <x:c r="F472" s="18" t="n">
        <x:v>1449.9</x:v>
      </x:c>
    </x:row>
    <x:row r="473">
      <x:c r="A473" s="14" t="str">
        <x:v>站点</x:v>
      </x:c>
      <x:c r="B473" s="15" t="str">
        <x:v>越南</x:v>
      </x:c>
      <x:c r="C473" s="16" t="n">
        <x:v>46030</x:v>
      </x:c>
      <x:c r="D473" s="17" t="n">
        <x:v>65</x:v>
      </x:c>
      <x:c r="E473" s="17" t="n">
        <x:v>118</x:v>
      </x:c>
      <x:c r="F473" s="18" t="n">
        <x:v>898.77</x:v>
      </x:c>
    </x:row>
    <x:row r="474">
      <x:c r="A474" s="14" t="str">
        <x:v>站点</x:v>
      </x:c>
      <x:c r="B474" s="15" t="str">
        <x:v>越南</x:v>
      </x:c>
      <x:c r="C474" s="16" t="n">
        <x:v>46031</x:v>
      </x:c>
      <x:c r="D474" s="17" t="n">
        <x:v>78</x:v>
      </x:c>
      <x:c r="E474" s="17" t="n">
        <x:v>144</x:v>
      </x:c>
      <x:c r="F474" s="18" t="n">
        <x:v>1152.02</x:v>
      </x:c>
    </x:row>
    <x:row r="475">
      <x:c r="A475" s="14" t="str">
        <x:v>站点</x:v>
      </x:c>
      <x:c r="B475" s="15" t="str">
        <x:v>越南</x:v>
      </x:c>
      <x:c r="C475" s="16" t="n">
        <x:v>46032</x:v>
      </x:c>
      <x:c r="D475" s="17" t="n">
        <x:v>109</x:v>
      </x:c>
      <x:c r="E475" s="17" t="n">
        <x:v>203</x:v>
      </x:c>
      <x:c r="F475" s="18" t="n">
        <x:v>1596.31</x:v>
      </x:c>
    </x:row>
    <x:row r="476">
      <x:c r="A476" s="14" t="str">
        <x:v>站点</x:v>
      </x:c>
      <x:c r="B476" s="15" t="str">
        <x:v>越南</x:v>
      </x:c>
      <x:c r="C476" s="16" t="n">
        <x:v>46033</x:v>
      </x:c>
      <x:c r="D476" s="17" t="n">
        <x:v>87</x:v>
      </x:c>
      <x:c r="E476" s="17" t="n">
        <x:v>139</x:v>
      </x:c>
      <x:c r="F476" s="18" t="n">
        <x:v>1122.91</x:v>
      </x:c>
    </x:row>
    <x:row r="477">
      <x:c r="A477" s="14" t="str">
        <x:v>站点</x:v>
      </x:c>
      <x:c r="B477" s="15" t="str">
        <x:v>越南</x:v>
      </x:c>
      <x:c r="C477" s="16" t="n">
        <x:v>46034</x:v>
      </x:c>
      <x:c r="D477" s="17" t="n">
        <x:v>75</x:v>
      </x:c>
      <x:c r="E477" s="17" t="n">
        <x:v>132</x:v>
      </x:c>
      <x:c r="F477" s="18" t="n">
        <x:v>1058.36</x:v>
      </x:c>
    </x:row>
    <x:row r="478">
      <x:c r="A478" s="14" t="str">
        <x:v>站点</x:v>
      </x:c>
      <x:c r="B478" s="15" t="str">
        <x:v>越南</x:v>
      </x:c>
      <x:c r="C478" s="16" t="n">
        <x:v>46035</x:v>
      </x:c>
      <x:c r="D478" s="17" t="n">
        <x:v>111</x:v>
      </x:c>
      <x:c r="E478" s="17" t="n">
        <x:v>192</x:v>
      </x:c>
      <x:c r="F478" s="18" t="n">
        <x:v>1522.72</x:v>
      </x:c>
    </x:row>
    <x:row r="479">
      <x:c r="A479" s="14" t="str">
        <x:v>站点</x:v>
      </x:c>
      <x:c r="B479" s="15" t="str">
        <x:v>越南</x:v>
      </x:c>
      <x:c r="C479" s="16" t="n">
        <x:v>46036</x:v>
      </x:c>
      <x:c r="D479" s="17" t="n">
        <x:v>118</x:v>
      </x:c>
      <x:c r="E479" s="17" t="n">
        <x:v>172</x:v>
      </x:c>
      <x:c r="F479" s="18" t="n">
        <x:v>1362.92</x:v>
      </x:c>
    </x:row>
    <x:row r="480">
      <x:c r="A480" s="14" t="str">
        <x:v>站点</x:v>
      </x:c>
      <x:c r="B480" s="15" t="str">
        <x:v>越南</x:v>
      </x:c>
      <x:c r="C480" s="16" t="n">
        <x:v>46037</x:v>
      </x:c>
      <x:c r="D480" s="17" t="n">
        <x:v>146</x:v>
      </x:c>
      <x:c r="E480" s="17" t="n">
        <x:v>208</x:v>
      </x:c>
      <x:c r="F480" s="18" t="n">
        <x:v>1739.24</x:v>
      </x:c>
    </x:row>
    <x:row r="481">
      <x:c r="A481" s="14" t="str">
        <x:v>站点</x:v>
      </x:c>
      <x:c r="B481" s="15" t="str">
        <x:v>越南</x:v>
      </x:c>
      <x:c r="C481" s="16" t="n">
        <x:v>46038</x:v>
      </x:c>
      <x:c r="D481" s="17" t="n">
        <x:v>108</x:v>
      </x:c>
      <x:c r="E481" s="17" t="n">
        <x:v>162</x:v>
      </x:c>
      <x:c r="F481" s="18" t="n">
        <x:v>1387.93</x:v>
      </x:c>
    </x:row>
    <x:row r="482">
      <x:c r="A482" s="14" t="str">
        <x:v>站点</x:v>
      </x:c>
      <x:c r="B482" s="15" t="str">
        <x:v>越南</x:v>
      </x:c>
      <x:c r="C482" s="16" t="n">
        <x:v>46039</x:v>
      </x:c>
      <x:c r="D482" s="17" t="n">
        <x:v>90</x:v>
      </x:c>
      <x:c r="E482" s="17" t="n">
        <x:v>143</x:v>
      </x:c>
      <x:c r="F482" s="18" t="n">
        <x:v>1148.28</x:v>
      </x:c>
    </x:row>
    <x:row r="483">
      <x:c r="A483" s="14" t="str">
        <x:v>站点</x:v>
      </x:c>
      <x:c r="B483" s="15" t="str">
        <x:v>越南</x:v>
      </x:c>
      <x:c r="C483" s="16" t="n">
        <x:v>46040</x:v>
      </x:c>
      <x:c r="D483" s="17" t="n">
        <x:v>112</x:v>
      </x:c>
      <x:c r="E483" s="17" t="n">
        <x:v>164</x:v>
      </x:c>
      <x:c r="F483" s="18" t="n">
        <x:v>1556.84</x:v>
      </x:c>
    </x:row>
    <x:row r="484">
      <x:c r="A484" s="14" t="str">
        <x:v>站点</x:v>
      </x:c>
      <x:c r="B484" s="15" t="str">
        <x:v>越南</x:v>
      </x:c>
      <x:c r="C484" s="16" t="n">
        <x:v>46041</x:v>
      </x:c>
      <x:c r="D484" s="17" t="n">
        <x:v>74</x:v>
      </x:c>
      <x:c r="E484" s="17" t="n">
        <x:v>123</x:v>
      </x:c>
      <x:c r="F484" s="18" t="n">
        <x:v>907.13</x:v>
      </x:c>
    </x:row>
    <x:row r="485">
      <x:c r="A485" s="14" t="str">
        <x:v>站点</x:v>
      </x:c>
      <x:c r="B485" s="15" t="str">
        <x:v>越南</x:v>
      </x:c>
      <x:c r="C485" s="16" t="n">
        <x:v>46042</x:v>
      </x:c>
      <x:c r="D485" s="17" t="n">
        <x:v>46</x:v>
      </x:c>
      <x:c r="E485" s="17" t="n">
        <x:v>63</x:v>
      </x:c>
      <x:c r="F485" s="18" t="n">
        <x:v>575.67</x:v>
      </x:c>
    </x:row>
    <x:row r="486">
      <x:c r="A486" s="14" t="str">
        <x:v>站点</x:v>
      </x:c>
      <x:c r="B486" s="15" t="str">
        <x:v>越南</x:v>
      </x:c>
      <x:c r="C486" s="16" t="n">
        <x:v>46043</x:v>
      </x:c>
      <x:c r="D486" s="17" t="n">
        <x:v>40</x:v>
      </x:c>
      <x:c r="E486" s="17" t="n">
        <x:v>63</x:v>
      </x:c>
      <x:c r="F486" s="18" t="n">
        <x:v>678.84</x:v>
      </x:c>
    </x:row>
    <x:row r="487">
      <x:c r="A487" s="14" t="str">
        <x:v>站点</x:v>
      </x:c>
      <x:c r="B487" s="15" t="str">
        <x:v>越南</x:v>
      </x:c>
      <x:c r="C487" s="16" t="n">
        <x:v>46044</x:v>
      </x:c>
      <x:c r="D487" s="17" t="n">
        <x:v>44</x:v>
      </x:c>
      <x:c r="E487" s="17" t="n">
        <x:v>63</x:v>
      </x:c>
      <x:c r="F487" s="18" t="n">
        <x:v>590.78</x:v>
      </x:c>
    </x:row>
    <x:row r="488">
      <x:c r="A488" s="14" t="str">
        <x:v>站点</x:v>
      </x:c>
      <x:c r="B488" s="15" t="str">
        <x:v>越南</x:v>
      </x:c>
      <x:c r="C488" s="16" t="n">
        <x:v>46045</x:v>
      </x:c>
      <x:c r="D488" s="17" t="n">
        <x:v>41</x:v>
      </x:c>
      <x:c r="E488" s="17" t="n">
        <x:v>58</x:v>
      </x:c>
      <x:c r="F488" s="18" t="n">
        <x:v>545.06</x:v>
      </x:c>
    </x:row>
    <x:row r="489">
      <x:c r="A489" s="14" t="str">
        <x:v>站点</x:v>
      </x:c>
      <x:c r="B489" s="15" t="str">
        <x:v>越南</x:v>
      </x:c>
      <x:c r="C489" s="16" t="n">
        <x:v>46046</x:v>
      </x:c>
      <x:c r="D489" s="17" t="n">
        <x:v>37</x:v>
      </x:c>
      <x:c r="E489" s="17" t="n">
        <x:v>65</x:v>
      </x:c>
      <x:c r="F489" s="18" t="n">
        <x:v>585.25</x:v>
      </x:c>
    </x:row>
    <x:row r="490">
      <x:c r="A490" s="14" t="str">
        <x:v>站点</x:v>
      </x:c>
      <x:c r="B490" s="15" t="str">
        <x:v>越南</x:v>
      </x:c>
      <x:c r="C490" s="16" t="n">
        <x:v>46047</x:v>
      </x:c>
      <x:c r="D490" s="17" t="n">
        <x:v>34</x:v>
      </x:c>
      <x:c r="E490" s="17" t="n">
        <x:v>44</x:v>
      </x:c>
      <x:c r="F490" s="18" t="n">
        <x:v>419.59</x:v>
      </x:c>
    </x:row>
    <x:row r="491">
      <x:c r="A491" s="14" t="str">
        <x:v>站点</x:v>
      </x:c>
      <x:c r="B491" s="15" t="str">
        <x:v>越南</x:v>
      </x:c>
      <x:c r="C491" s="16" t="n">
        <x:v>46048</x:v>
      </x:c>
      <x:c r="D491" s="17" t="n">
        <x:v>53</x:v>
      </x:c>
      <x:c r="E491" s="17" t="n">
        <x:v>74</x:v>
      </x:c>
      <x:c r="F491" s="18" t="n">
        <x:v>649.57</x:v>
      </x:c>
    </x:row>
    <x:row r="492">
      <x:c r="A492" s="14" t="str">
        <x:v>站点</x:v>
      </x:c>
      <x:c r="B492" s="15" t="str">
        <x:v>越南</x:v>
      </x:c>
      <x:c r="C492" s="16" t="n">
        <x:v>46049</x:v>
      </x:c>
      <x:c r="D492" s="17" t="n">
        <x:v>64</x:v>
      </x:c>
      <x:c r="E492" s="17" t="n">
        <x:v>83</x:v>
      </x:c>
      <x:c r="F492" s="18" t="n">
        <x:v>841.42</x:v>
      </x:c>
    </x:row>
    <x:row r="493">
      <x:c r="A493" s="14" t="str">
        <x:v>站点</x:v>
      </x:c>
      <x:c r="B493" s="15" t="str">
        <x:v>越南</x:v>
      </x:c>
      <x:c r="C493" s="16" t="n">
        <x:v>46050</x:v>
      </x:c>
      <x:c r="D493" s="17" t="n">
        <x:v>50</x:v>
      </x:c>
      <x:c r="E493" s="17" t="n">
        <x:v>75</x:v>
      </x:c>
      <x:c r="F493" s="18" t="n">
        <x:v>688.52</x:v>
      </x:c>
    </x:row>
    <x:row r="494">
      <x:c r="A494" s="14" t="str">
        <x:v>站点</x:v>
      </x:c>
      <x:c r="B494" s="15" t="str">
        <x:v>越南</x:v>
      </x:c>
      <x:c r="C494" s="16" t="n">
        <x:v>46051</x:v>
      </x:c>
      <x:c r="D494" s="17" t="n">
        <x:v>55</x:v>
      </x:c>
      <x:c r="E494" s="17" t="n">
        <x:v>70</x:v>
      </x:c>
      <x:c r="F494" s="18" t="n">
        <x:v>630.71</x:v>
      </x:c>
    </x:row>
    <x:row r="495">
      <x:c r="A495" s="14" t="str">
        <x:v>站点</x:v>
      </x:c>
      <x:c r="B495" s="15" t="str">
        <x:v>越南</x:v>
      </x:c>
      <x:c r="C495" s="16" t="n">
        <x:v>46052</x:v>
      </x:c>
      <x:c r="D495" s="17" t="n">
        <x:v>43</x:v>
      </x:c>
      <x:c r="E495" s="17" t="n">
        <x:v>67</x:v>
      </x:c>
      <x:c r="F495" s="18" t="n">
        <x:v>513.11</x:v>
      </x:c>
    </x:row>
    <x:row r="496">
      <x:c r="A496" s="14" t="str">
        <x:v>站点</x:v>
      </x:c>
      <x:c r="B496" s="15" t="str">
        <x:v>越南</x:v>
      </x:c>
      <x:c r="C496" s="16" t="n">
        <x:v>46053</x:v>
      </x:c>
      <x:c r="D496" s="17" t="n">
        <x:v>107</x:v>
      </x:c>
      <x:c r="E496" s="17" t="n">
        <x:v>254</x:v>
      </x:c>
      <x:c r="F496" s="18" t="n">
        <x:v>1029.38</x:v>
      </x:c>
    </x:row>
    <x:row r="497">
      <x:c r="A497" s="14" t="str">
        <x:v>站点</x:v>
      </x:c>
      <x:c r="B497" s="15" t="str">
        <x:v>越南</x:v>
      </x:c>
      <x:c r="C497" s="16" t="n">
        <x:v>46054</x:v>
      </x:c>
      <x:c r="D497" s="17" t="n">
        <x:v>128</x:v>
      </x:c>
      <x:c r="E497" s="17" t="n">
        <x:v>309</x:v>
      </x:c>
      <x:c r="F497" s="18" t="n">
        <x:v>1671.25</x:v>
      </x:c>
    </x:row>
    <x:row r="498">
      <x:c r="A498" s="14" t="str">
        <x:v>站点</x:v>
      </x:c>
      <x:c r="B498" s="15" t="str">
        <x:v>越南</x:v>
      </x:c>
      <x:c r="C498" s="16" t="n">
        <x:v>46055</x:v>
      </x:c>
      <x:c r="D498" s="17" t="n">
        <x:v>136</x:v>
      </x:c>
      <x:c r="E498" s="17" t="n">
        <x:v>299</x:v>
      </x:c>
      <x:c r="F498" s="18" t="n">
        <x:v>1760.21</x:v>
      </x:c>
    </x:row>
    <x:row r="499">
      <x:c r="A499" s="14" t="str">
        <x:v>站点</x:v>
      </x:c>
      <x:c r="B499" s="15" t="str">
        <x:v>越南</x:v>
      </x:c>
      <x:c r="C499" s="16" t="n">
        <x:v>46056</x:v>
      </x:c>
      <x:c r="D499" s="17" t="n">
        <x:v>160</x:v>
      </x:c>
      <x:c r="E499" s="17" t="n">
        <x:v>362</x:v>
      </x:c>
      <x:c r="F499" s="18" t="n">
        <x:v>2093.89</x:v>
      </x:c>
    </x:row>
    <x:row r="500">
      <x:c r="A500" s="14" t="str">
        <x:v>站点</x:v>
      </x:c>
      <x:c r="B500" s="15" t="str">
        <x:v>越南</x:v>
      </x:c>
      <x:c r="C500" s="16" t="n">
        <x:v>46057</x:v>
      </x:c>
      <x:c r="D500" s="17" t="n">
        <x:v>155</x:v>
      </x:c>
      <x:c r="E500" s="17" t="n">
        <x:v>328</x:v>
      </x:c>
      <x:c r="F500" s="18" t="n">
        <x:v>1862.44</x:v>
      </x:c>
    </x:row>
    <x:row r="501">
      <x:c r="A501" s="14" t="str">
        <x:v>站点</x:v>
      </x:c>
      <x:c r="B501" s="15" t="str">
        <x:v>越南</x:v>
      </x:c>
      <x:c r="C501" s="16" t="n">
        <x:v>46058</x:v>
      </x:c>
      <x:c r="D501" s="17" t="n">
        <x:v>158</x:v>
      </x:c>
      <x:c r="E501" s="17" t="n">
        <x:v>370</x:v>
      </x:c>
      <x:c r="F501" s="18" t="n">
        <x:v>2051.76</x:v>
      </x:c>
    </x:row>
    <x:row r="502">
      <x:c r="A502" s="14" t="str">
        <x:v>站点</x:v>
      </x:c>
      <x:c r="B502" s="15" t="str">
        <x:v>越南</x:v>
      </x:c>
      <x:c r="C502" s="16" t="n">
        <x:v>46059</x:v>
      </x:c>
      <x:c r="D502" s="17" t="n">
        <x:v>186</x:v>
      </x:c>
      <x:c r="E502" s="17" t="n">
        <x:v>452</x:v>
      </x:c>
      <x:c r="F502" s="18" t="n">
        <x:v>2778.65</x:v>
      </x:c>
    </x:row>
    <x:row r="503">
      <x:c r="A503" s="14" t="str">
        <x:v>站点</x:v>
      </x:c>
      <x:c r="B503" s="15" t="str">
        <x:v>越南</x:v>
      </x:c>
      <x:c r="C503" s="16" t="n">
        <x:v>46060</x:v>
      </x:c>
      <x:c r="D503" s="17" t="n">
        <x:v>194</x:v>
      </x:c>
      <x:c r="E503" s="17" t="n">
        <x:v>503</x:v>
      </x:c>
      <x:c r="F503" s="18" t="n">
        <x:v>2279.58</x:v>
      </x:c>
    </x:row>
    <x:row r="504">
      <x:c r="A504" s="14" t="str">
        <x:v>站点</x:v>
      </x:c>
      <x:c r="B504" s="15" t="str">
        <x:v>越南</x:v>
      </x:c>
      <x:c r="C504" s="16" t="n">
        <x:v>46061</x:v>
      </x:c>
      <x:c r="D504" s="17" t="n">
        <x:v>241</x:v>
      </x:c>
      <x:c r="E504" s="17" t="n">
        <x:v>581</x:v>
      </x:c>
      <x:c r="F504" s="18" t="n">
        <x:v>2846.74</x:v>
      </x:c>
    </x:row>
    <x:row r="505">
      <x:c r="A505" s="14" t="str">
        <x:v>站点</x:v>
      </x:c>
      <x:c r="B505" s="15" t="str">
        <x:v>越南</x:v>
      </x:c>
      <x:c r="C505" s="16" t="n">
        <x:v>46062</x:v>
      </x:c>
      <x:c r="D505" s="17" t="n">
        <x:v>167</x:v>
      </x:c>
      <x:c r="E505" s="17" t="n">
        <x:v>389</x:v>
      </x:c>
      <x:c r="F505" s="18" t="n">
        <x:v>1985.46</x:v>
      </x:c>
    </x:row>
    <x:row r="506">
      <x:c r="A506" s="14" t="str">
        <x:v>站点</x:v>
      </x:c>
      <x:c r="B506" s="15" t="str">
        <x:v>越南</x:v>
      </x:c>
      <x:c r="C506" s="16" t="n">
        <x:v>46063</x:v>
      </x:c>
      <x:c r="D506" s="17" t="n">
        <x:v>173</x:v>
      </x:c>
      <x:c r="E506" s="17" t="n">
        <x:v>315</x:v>
      </x:c>
      <x:c r="F506" s="18" t="n">
        <x:v>1820.9</x:v>
      </x:c>
    </x:row>
    <x:row r="507">
      <x:c r="A507" s="14" t="str">
        <x:v>站点</x:v>
      </x:c>
      <x:c r="B507" s="15" t="str">
        <x:v>越南</x:v>
      </x:c>
      <x:c r="C507" s="16" t="n">
        <x:v>46064</x:v>
      </x:c>
      <x:c r="D507" s="17" t="n">
        <x:v>191</x:v>
      </x:c>
      <x:c r="E507" s="17" t="n">
        <x:v>390</x:v>
      </x:c>
      <x:c r="F507" s="18" t="n">
        <x:v>2188.33</x:v>
      </x:c>
    </x:row>
    <x:row r="508">
      <x:c r="A508" s="14" t="str">
        <x:v>站点</x:v>
      </x:c>
      <x:c r="B508" s="15" t="str">
        <x:v>越南</x:v>
      </x:c>
      <x:c r="C508" s="16" t="n">
        <x:v>46065</x:v>
      </x:c>
      <x:c r="D508" s="17" t="n">
        <x:v>171</x:v>
      </x:c>
      <x:c r="E508" s="17" t="n">
        <x:v>373</x:v>
      </x:c>
      <x:c r="F508" s="18" t="n">
        <x:v>1287.05</x:v>
      </x:c>
    </x:row>
    <x:row r="509">
      <x:c r="A509" s="14" t="str">
        <x:v>站点</x:v>
      </x:c>
      <x:c r="B509" s="15" t="str">
        <x:v>越南</x:v>
      </x:c>
      <x:c r="C509" s="16" t="n">
        <x:v>46066</x:v>
      </x:c>
      <x:c r="D509" s="17" t="n">
        <x:v>156</x:v>
      </x:c>
      <x:c r="E509" s="17" t="n">
        <x:v>366</x:v>
      </x:c>
      <x:c r="F509" s="18" t="n">
        <x:v>1608.91</x:v>
      </x:c>
    </x:row>
    <x:row r="510">
      <x:c r="A510" s="14" t="str">
        <x:v>站点</x:v>
      </x:c>
      <x:c r="B510" s="15" t="str">
        <x:v>越南</x:v>
      </x:c>
      <x:c r="C510" s="16" t="n">
        <x:v>46067</x:v>
      </x:c>
      <x:c r="D510" s="17" t="n">
        <x:v>155</x:v>
      </x:c>
      <x:c r="E510" s="17" t="n">
        <x:v>281</x:v>
      </x:c>
      <x:c r="F510" s="18" t="n">
        <x:v>1803.68</x:v>
      </x:c>
    </x:row>
    <x:row r="511">
      <x:c r="A511" s="14" t="str">
        <x:v>站点</x:v>
      </x:c>
      <x:c r="B511" s="15" t="str">
        <x:v>越南</x:v>
      </x:c>
      <x:c r="C511" s="16" t="n">
        <x:v>46068</x:v>
      </x:c>
      <x:c r="D511" s="17" t="n">
        <x:v>0</x:v>
      </x:c>
      <x:c r="E511" s="17" t="n">
        <x:v>0</x:v>
      </x:c>
      <x:c r="F511" s="18" t="n">
        <x:v>0</x:v>
      </x:c>
    </x:row>
    <x:row r="512">
      <x:c r="A512" s="14" t="str">
        <x:v>站点</x:v>
      </x:c>
      <x:c r="B512" s="15" t="str">
        <x:v>越南</x:v>
      </x:c>
      <x:c r="C512" s="16" t="n">
        <x:v>46069</x:v>
      </x:c>
      <x:c r="D512" s="17" t="n">
        <x:v>0</x:v>
      </x:c>
      <x:c r="E512" s="17" t="n">
        <x:v>0</x:v>
      </x:c>
      <x:c r="F512" s="18" t="n">
        <x:v>0</x:v>
      </x:c>
    </x:row>
    <x:row r="513">
      <x:c r="A513" s="14" t="str">
        <x:v>站点</x:v>
      </x:c>
      <x:c r="B513" s="15" t="str">
        <x:v>越南</x:v>
      </x:c>
      <x:c r="C513" s="16" t="n">
        <x:v>46070</x:v>
      </x:c>
      <x:c r="D513" s="17" t="n">
        <x:v>0</x:v>
      </x:c>
      <x:c r="E513" s="17" t="n">
        <x:v>0</x:v>
      </x:c>
      <x:c r="F513" s="18" t="n">
        <x:v>0</x:v>
      </x:c>
    </x:row>
    <x:row r="514">
      <x:c r="A514" s="14" t="str">
        <x:v>站点</x:v>
      </x:c>
      <x:c r="B514" s="15" t="str">
        <x:v>越南</x:v>
      </x:c>
      <x:c r="C514" s="16" t="n">
        <x:v>46071</x:v>
      </x:c>
      <x:c r="D514" s="17" t="n">
        <x:v>0</x:v>
      </x:c>
      <x:c r="E514" s="17" t="n">
        <x:v>0</x:v>
      </x:c>
      <x:c r="F514" s="18" t="n">
        <x:v>0</x:v>
      </x:c>
    </x:row>
    <x:row r="515">
      <x:c r="A515" s="14" t="str">
        <x:v>站点</x:v>
      </x:c>
      <x:c r="B515" s="15" t="str">
        <x:v>越南</x:v>
      </x:c>
      <x:c r="C515" s="16" t="n">
        <x:v>46072</x:v>
      </x:c>
      <x:c r="D515" s="17" t="n">
        <x:v>0</x:v>
      </x:c>
      <x:c r="E515" s="17" t="n">
        <x:v>0</x:v>
      </x:c>
      <x:c r="F515" s="18" t="n">
        <x:v>0</x:v>
      </x:c>
    </x:row>
    <x:row r="516">
      <x:c r="A516" s="14" t="str">
        <x:v>站点</x:v>
      </x:c>
      <x:c r="B516" s="15" t="str">
        <x:v>越南</x:v>
      </x:c>
      <x:c r="C516" s="16" t="n">
        <x:v>46073</x:v>
      </x:c>
      <x:c r="D516" s="17" t="n">
        <x:v>0</x:v>
      </x:c>
      <x:c r="E516" s="17" t="n">
        <x:v>0</x:v>
      </x:c>
      <x:c r="F516" s="18" t="n">
        <x:v>0</x:v>
      </x:c>
    </x:row>
    <x:row r="517">
      <x:c r="A517" s="14" t="str">
        <x:v>站点</x:v>
      </x:c>
      <x:c r="B517" s="15" t="str">
        <x:v>越南</x:v>
      </x:c>
      <x:c r="C517" s="16" t="n">
        <x:v>46074</x:v>
      </x:c>
      <x:c r="D517" s="17" t="n">
        <x:v>807</x:v>
      </x:c>
      <x:c r="E517" s="17" t="n">
        <x:v>1156</x:v>
      </x:c>
      <x:c r="F517" s="18" t="n">
        <x:v>8954.11</x:v>
      </x:c>
    </x:row>
    <x:row r="518">
      <x:c r="A518" s="14" t="str">
        <x:v>站点</x:v>
      </x:c>
      <x:c r="B518" s="15" t="str">
        <x:v>越南</x:v>
      </x:c>
      <x:c r="C518" s="16" t="n">
        <x:v>46075</x:v>
      </x:c>
      <x:c r="D518" s="17" t="n">
        <x:v>444</x:v>
      </x:c>
      <x:c r="E518" s="17" t="n">
        <x:v>855</x:v>
      </x:c>
      <x:c r="F518" s="18" t="n">
        <x:v>7298.23</x:v>
      </x:c>
    </x:row>
    <x:row r="519">
      <x:c r="A519" s="14" t="str">
        <x:v>站点</x:v>
      </x:c>
      <x:c r="B519" s="15" t="str">
        <x:v>越南</x:v>
      </x:c>
      <x:c r="C519" s="16" t="n">
        <x:v>46076</x:v>
      </x:c>
      <x:c r="D519" s="17" t="n">
        <x:v>253</x:v>
      </x:c>
      <x:c r="E519" s="17" t="n">
        <x:v>440</x:v>
      </x:c>
      <x:c r="F519" s="18" t="n">
        <x:v>3605.68</x:v>
      </x:c>
    </x:row>
    <x:row r="520">
      <x:c r="A520" s="14" t="str">
        <x:v>站点</x:v>
      </x:c>
      <x:c r="B520" s="15" t="str">
        <x:v>越南</x:v>
      </x:c>
      <x:c r="C520" s="16" t="n">
        <x:v>46077</x:v>
      </x:c>
      <x:c r="D520" s="17" t="n">
        <x:v>217</x:v>
      </x:c>
      <x:c r="E520" s="17" t="n">
        <x:v>327</x:v>
      </x:c>
      <x:c r="F520" s="18" t="n">
        <x:v>3089.5</x:v>
      </x:c>
    </x:row>
    <x:row r="521">
      <x:c r="A521" s="14" t="str">
        <x:v>站点</x:v>
      </x:c>
      <x:c r="B521" s="15" t="str">
        <x:v>越南</x:v>
      </x:c>
      <x:c r="C521" s="16" t="n">
        <x:v>46078</x:v>
      </x:c>
      <x:c r="D521" s="17" t="n">
        <x:v>192</x:v>
      </x:c>
      <x:c r="E521" s="17" t="n">
        <x:v>299</x:v>
      </x:c>
      <x:c r="F521" s="18" t="n">
        <x:v>2745.18</x:v>
      </x:c>
    </x:row>
    <x:row r="522">
      <x:c r="A522" s="14" t="str">
        <x:v>站点</x:v>
      </x:c>
      <x:c r="B522" s="15" t="str">
        <x:v>越南</x:v>
      </x:c>
      <x:c r="C522" s="16" t="n">
        <x:v>46079</x:v>
      </x:c>
      <x:c r="D522" s="17" t="n">
        <x:v>180</x:v>
      </x:c>
      <x:c r="E522" s="17" t="n">
        <x:v>261</x:v>
      </x:c>
      <x:c r="F522" s="18" t="n">
        <x:v>2361.38</x:v>
      </x:c>
    </x:row>
    <x:row r="523">
      <x:c r="A523" s="14" t="str">
        <x:v>站点</x:v>
      </x:c>
      <x:c r="B523" s="15" t="str">
        <x:v>越南</x:v>
      </x:c>
      <x:c r="C523" s="16" t="n">
        <x:v>46080</x:v>
      </x:c>
      <x:c r="D523" s="17" t="n">
        <x:v>203</x:v>
      </x:c>
      <x:c r="E523" s="17" t="n">
        <x:v>318</x:v>
      </x:c>
      <x:c r="F523" s="18" t="n">
        <x:v>3015.77</x:v>
      </x:c>
    </x:row>
    <x:row r="524">
      <x:c r="A524" s="14" t="str">
        <x:v>站点</x:v>
      </x:c>
      <x:c r="B524" s="15" t="str">
        <x:v>越南</x:v>
      </x:c>
      <x:c r="C524" s="16" t="n">
        <x:v>46081</x:v>
      </x:c>
      <x:c r="D524" s="17" t="n">
        <x:v>244</x:v>
      </x:c>
      <x:c r="E524" s="17" t="n">
        <x:v>365</x:v>
      </x:c>
      <x:c r="F524" s="18" t="n">
        <x:v>3031.67</x:v>
      </x:c>
    </x:row>
    <x:row r="525">
      <x:c r="A525" s="14" t="str">
        <x:v>站点</x:v>
      </x:c>
      <x:c r="B525" s="15" t="str">
        <x:v>越南</x:v>
      </x:c>
      <x:c r="C525" s="16" t="n">
        <x:v>46082</x:v>
      </x:c>
      <x:c r="D525" s="17" t="n">
        <x:v>292</x:v>
      </x:c>
      <x:c r="E525" s="17" t="n">
        <x:v>444</x:v>
      </x:c>
      <x:c r="F525" s="18" t="n">
        <x:v>3731.6</x:v>
      </x:c>
    </x:row>
    <x:row r="526">
      <x:c r="A526" s="14" t="str">
        <x:v>站点</x:v>
      </x:c>
      <x:c r="B526" s="15" t="str">
        <x:v>越南</x:v>
      </x:c>
      <x:c r="C526" s="16" t="n">
        <x:v>46083</x:v>
      </x:c>
      <x:c r="D526" s="17" t="n">
        <x:v>235</x:v>
      </x:c>
      <x:c r="E526" s="17" t="n">
        <x:v>328</x:v>
      </x:c>
      <x:c r="F526" s="18" t="n">
        <x:v>2962.13</x:v>
      </x:c>
    </x:row>
    <x:row r="527">
      <x:c r="A527" s="14" t="str">
        <x:v>站点</x:v>
      </x:c>
      <x:c r="B527" s="15" t="str">
        <x:v>越南</x:v>
      </x:c>
      <x:c r="C527" s="16" t="n">
        <x:v>46084</x:v>
      </x:c>
      <x:c r="D527" s="17" t="n">
        <x:v>286</x:v>
      </x:c>
      <x:c r="E527" s="17" t="n">
        <x:v>438</x:v>
      </x:c>
      <x:c r="F527" s="18" t="n">
        <x:v>3957.66</x:v>
      </x:c>
    </x:row>
    <x:row r="528">
      <x:c r="A528" s="14" t="str">
        <x:v>站点</x:v>
      </x:c>
      <x:c r="B528" s="15" t="str">
        <x:v>越南</x:v>
      </x:c>
      <x:c r="C528" s="16" t="n">
        <x:v>46085</x:v>
      </x:c>
      <x:c r="D528" s="17" t="n">
        <x:v>252</x:v>
      </x:c>
      <x:c r="E528" s="17" t="n">
        <x:v>382</x:v>
      </x:c>
      <x:c r="F528" s="18" t="n">
        <x:v>3444.56</x:v>
      </x:c>
    </x:row>
    <x:row r="529">
      <x:c r="A529" s="14" t="str">
        <x:v>站点</x:v>
      </x:c>
      <x:c r="B529" s="15" t="str">
        <x:v>越南</x:v>
      </x:c>
      <x:c r="C529" s="16" t="n">
        <x:v>46086</x:v>
      </x:c>
      <x:c r="D529" s="17" t="n">
        <x:v>191</x:v>
      </x:c>
      <x:c r="E529" s="17" t="n">
        <x:v>304</x:v>
      </x:c>
      <x:c r="F529" s="18" t="n">
        <x:v>2724.73</x:v>
      </x:c>
    </x:row>
    <x:row r="530">
      <x:c r="A530" s="14" t="str">
        <x:v>站点</x:v>
      </x:c>
      <x:c r="B530" s="15" t="str">
        <x:v>越南</x:v>
      </x:c>
      <x:c r="C530" s="16" t="n">
        <x:v>46087</x:v>
      </x:c>
      <x:c r="D530" s="17" t="n">
        <x:v>184</x:v>
      </x:c>
      <x:c r="E530" s="17" t="n">
        <x:v>287</x:v>
      </x:c>
      <x:c r="F530" s="18" t="n">
        <x:v>2763.23</x:v>
      </x:c>
    </x:row>
    <x:row r="531">
      <x:c r="A531" s="14" t="str">
        <x:v>站点</x:v>
      </x:c>
      <x:c r="B531" s="15" t="str">
        <x:v>越南</x:v>
      </x:c>
      <x:c r="C531" s="16" t="n">
        <x:v>46088</x:v>
      </x:c>
      <x:c r="D531" s="17" t="n">
        <x:v>181</x:v>
      </x:c>
      <x:c r="E531" s="17" t="n">
        <x:v>288</x:v>
      </x:c>
      <x:c r="F531" s="18" t="n">
        <x:v>2565.89</x:v>
      </x:c>
    </x:row>
    <x:row r="532">
      <x:c r="A532" s="14" t="str">
        <x:v>站点</x:v>
      </x:c>
      <x:c r="B532" s="15" t="str">
        <x:v>越南</x:v>
      </x:c>
      <x:c r="C532" s="16" t="n">
        <x:v>46089</x:v>
      </x:c>
      <x:c r="D532" s="17" t="n">
        <x:v>185</x:v>
      </x:c>
      <x:c r="E532" s="17" t="n">
        <x:v>323</x:v>
      </x:c>
      <x:c r="F532" s="18" t="n">
        <x:v>2868.14</x:v>
      </x:c>
    </x:row>
    <x:row r="533">
      <x:c r="A533" s="14" t="str">
        <x:v>站点</x:v>
      </x:c>
      <x:c r="B533" s="15" t="str">
        <x:v>越南</x:v>
      </x:c>
      <x:c r="C533" s="16" t="n">
        <x:v>46090</x:v>
      </x:c>
      <x:c r="D533" s="17" t="n">
        <x:v>155</x:v>
      </x:c>
      <x:c r="E533" s="17" t="n">
        <x:v>249</x:v>
      </x:c>
      <x:c r="F533" s="18" t="n">
        <x:v>2339.95</x:v>
      </x:c>
    </x:row>
    <x:row r="534">
      <x:c r="A534" s="14" t="str">
        <x:v>站点</x:v>
      </x:c>
      <x:c r="B534" s="15" t="str">
        <x:v>越南</x:v>
      </x:c>
      <x:c r="C534" s="16" t="n">
        <x:v>46091</x:v>
      </x:c>
      <x:c r="D534" s="17" t="n">
        <x:v>147</x:v>
      </x:c>
      <x:c r="E534" s="17" t="n">
        <x:v>246</x:v>
      </x:c>
      <x:c r="F534" s="18" t="n">
        <x:v>2306.5</x:v>
      </x:c>
    </x:row>
    <x:row r="535">
      <x:c r="A535" s="14" t="str">
        <x:v>站点</x:v>
      </x:c>
      <x:c r="B535" s="15" t="str">
        <x:v>越南</x:v>
      </x:c>
      <x:c r="C535" s="16" t="n">
        <x:v>46092</x:v>
      </x:c>
      <x:c r="D535" s="17" t="n">
        <x:v>120</x:v>
      </x:c>
      <x:c r="E535" s="17" t="n">
        <x:v>233</x:v>
      </x:c>
      <x:c r="F535" s="18" t="n">
        <x:v>1968.59</x:v>
      </x:c>
    </x:row>
    <x:row r="536">
      <x:c r="A536" s="14" t="str">
        <x:v>站点</x:v>
      </x:c>
      <x:c r="B536" s="15" t="str">
        <x:v>越南</x:v>
      </x:c>
      <x:c r="C536" s="16" t="n">
        <x:v>46093</x:v>
      </x:c>
      <x:c r="D536" s="17" t="n">
        <x:v>151</x:v>
      </x:c>
      <x:c r="E536" s="17" t="n">
        <x:v>254</x:v>
      </x:c>
      <x:c r="F536" s="18" t="n">
        <x:v>2142.06</x:v>
      </x:c>
    </x:row>
    <x:row r="537">
      <x:c r="A537" s="14" t="str">
        <x:v>站点</x:v>
      </x:c>
      <x:c r="B537" s="15" t="str">
        <x:v>越南</x:v>
      </x:c>
      <x:c r="C537" s="16" t="n">
        <x:v>46094</x:v>
      </x:c>
      <x:c r="D537" s="17" t="n">
        <x:v>160</x:v>
      </x:c>
      <x:c r="E537" s="17" t="n">
        <x:v>258</x:v>
      </x:c>
      <x:c r="F537" s="18" t="n">
        <x:v>2176.93</x:v>
      </x:c>
    </x:row>
    <x:row r="538">
      <x:c r="A538" s="14" t="str">
        <x:v>站点</x:v>
      </x:c>
      <x:c r="B538" s="15" t="str">
        <x:v>越南</x:v>
      </x:c>
      <x:c r="C538" s="16" t="n">
        <x:v>46095</x:v>
      </x:c>
      <x:c r="D538" s="17" t="n">
        <x:v>164</x:v>
      </x:c>
      <x:c r="E538" s="17" t="n">
        <x:v>263</x:v>
      </x:c>
      <x:c r="F538" s="18" t="n">
        <x:v>2202.6</x:v>
      </x:c>
    </x:row>
    <x:row r="539">
      <x:c r="A539" s="14" t="str">
        <x:v>站点</x:v>
      </x:c>
      <x:c r="B539" s="15" t="str">
        <x:v>越南</x:v>
      </x:c>
      <x:c r="C539" s="16" t="n">
        <x:v>46096</x:v>
      </x:c>
      <x:c r="D539" s="17" t="n">
        <x:v>176</x:v>
      </x:c>
      <x:c r="E539" s="17" t="n">
        <x:v>252</x:v>
      </x:c>
      <x:c r="F539" s="18" t="n">
        <x:v>2358.61</x:v>
      </x:c>
    </x:row>
    <x:row r="540">
      <x:c r="A540" s="14" t="str">
        <x:v>站点</x:v>
      </x:c>
      <x:c r="B540" s="15" t="str">
        <x:v>越南</x:v>
      </x:c>
      <x:c r="C540" s="16" t="n">
        <x:v>46097</x:v>
      </x:c>
      <x:c r="D540" s="17" t="n">
        <x:v>151</x:v>
      </x:c>
      <x:c r="E540" s="17" t="n">
        <x:v>250</x:v>
      </x:c>
      <x:c r="F540" s="18" t="n">
        <x:v>2147.24</x:v>
      </x:c>
    </x:row>
    <x:row r="541">
      <x:c r="A541" s="14" t="str">
        <x:v>站点</x:v>
      </x:c>
      <x:c r="B541" s="15" t="str">
        <x:v>越南</x:v>
      </x:c>
      <x:c r="C541" s="16" t="n">
        <x:v>46098</x:v>
      </x:c>
      <x:c r="D541" s="17" t="n">
        <x:v>163</x:v>
      </x:c>
      <x:c r="E541" s="17" t="n">
        <x:v>290</x:v>
      </x:c>
      <x:c r="F541" s="18" t="n">
        <x:v>2673.16</x:v>
      </x:c>
    </x:row>
    <x:row r="542">
      <x:c r="A542" s="14" t="str">
        <x:v>站点</x:v>
      </x:c>
      <x:c r="B542" s="15" t="str">
        <x:v>越南</x:v>
      </x:c>
      <x:c r="C542" s="16" t="n">
        <x:v>46099</x:v>
      </x:c>
      <x:c r="D542" s="17" t="n">
        <x:v>204</x:v>
      </x:c>
      <x:c r="E542" s="17" t="n">
        <x:v>470</x:v>
      </x:c>
      <x:c r="F542" s="18" t="n">
        <x:v>3111</x:v>
      </x:c>
    </x:row>
    <x:row r="543">
      <x:c r="A543" s="14" t="str">
        <x:v>站点</x:v>
      </x:c>
      <x:c r="B543" s="15" t="str">
        <x:v>越南</x:v>
      </x:c>
      <x:c r="C543" s="16" t="n">
        <x:v>46100</x:v>
      </x:c>
      <x:c r="D543" s="17" t="n">
        <x:v>165</x:v>
      </x:c>
      <x:c r="E543" s="17" t="n">
        <x:v>388</x:v>
      </x:c>
      <x:c r="F543" s="18" t="n">
        <x:v>2288.79</x:v>
      </x:c>
    </x:row>
    <x:row r="544">
      <x:c r="A544" s="14" t="str">
        <x:v>站点</x:v>
      </x:c>
      <x:c r="B544" s="15" t="str">
        <x:v>越南</x:v>
      </x:c>
      <x:c r="C544" s="16" t="n">
        <x:v>46101</x:v>
      </x:c>
      <x:c r="D544" s="17" t="n">
        <x:v>239</x:v>
      </x:c>
      <x:c r="E544" s="17" t="n">
        <x:v>490</x:v>
      </x:c>
      <x:c r="F544" s="18" t="n">
        <x:v>3346.14</x:v>
      </x:c>
    </x:row>
    <x:row r="545">
      <x:c r="A545" s="14" t="str">
        <x:v>站点</x:v>
      </x:c>
      <x:c r="B545" s="15" t="str">
        <x:v>越南</x:v>
      </x:c>
      <x:c r="C545" s="16" t="n">
        <x:v>46102</x:v>
      </x:c>
      <x:c r="D545" s="17" t="n">
        <x:v>217</x:v>
      </x:c>
      <x:c r="E545" s="17" t="n">
        <x:v>449</x:v>
      </x:c>
      <x:c r="F545" s="18" t="n">
        <x:v>3127.07</x:v>
      </x:c>
    </x:row>
    <x:row r="546">
      <x:c r="A546" s="14" t="str">
        <x:v>站点</x:v>
      </x:c>
      <x:c r="B546" s="15" t="str">
        <x:v>越南</x:v>
      </x:c>
      <x:c r="C546" s="16" t="n">
        <x:v>46103</x:v>
      </x:c>
      <x:c r="D546" s="17" t="n">
        <x:v>226</x:v>
      </x:c>
      <x:c r="E546" s="17" t="n">
        <x:v>440</x:v>
      </x:c>
      <x:c r="F546" s="18" t="n">
        <x:v>4086.38</x:v>
      </x:c>
    </x:row>
    <x:row r="547">
      <x:c r="A547" s="14" t="str">
        <x:v>站点</x:v>
      </x:c>
      <x:c r="B547" s="15" t="str">
        <x:v>越南</x:v>
      </x:c>
      <x:c r="C547" s="16" t="n">
        <x:v>46104</x:v>
      </x:c>
      <x:c r="D547" s="17" t="n">
        <x:v>167</x:v>
      </x:c>
      <x:c r="E547" s="17" t="n">
        <x:v>283</x:v>
      </x:c>
      <x:c r="F547" s="18" t="n">
        <x:v>2625.04</x:v>
      </x:c>
    </x:row>
    <x:row r="548">
      <x:c r="A548" s="14" t="str">
        <x:v>站点</x:v>
      </x:c>
      <x:c r="B548" s="15" t="str">
        <x:v>越南</x:v>
      </x:c>
      <x:c r="C548" s="16" t="n">
        <x:v>46105</x:v>
      </x:c>
      <x:c r="D548" s="17" t="n">
        <x:v>224</x:v>
      </x:c>
      <x:c r="E548" s="17" t="n">
        <x:v>386</x:v>
      </x:c>
      <x:c r="F548" s="18" t="n">
        <x:v>3706.28</x:v>
      </x:c>
    </x:row>
    <x:row r="549">
      <x:c r="A549" s="14" t="str">
        <x:v>站点</x:v>
      </x:c>
      <x:c r="B549" s="15" t="str">
        <x:v>越南</x:v>
      </x:c>
      <x:c r="C549" s="16" t="n">
        <x:v>46106</x:v>
      </x:c>
      <x:c r="D549" s="17" t="n">
        <x:v>241</x:v>
      </x:c>
      <x:c r="E549" s="17" t="n">
        <x:v>429</x:v>
      </x:c>
      <x:c r="F549" s="18" t="n">
        <x:v>3653.8</x:v>
      </x:c>
    </x:row>
    <x:row r="550">
      <x:c r="A550" s="14" t="str">
        <x:v>站点</x:v>
      </x:c>
      <x:c r="B550" s="15" t="str">
        <x:v>越南</x:v>
      </x:c>
      <x:c r="C550" s="16" t="n">
        <x:v>46107</x:v>
      </x:c>
      <x:c r="D550" s="17" t="n">
        <x:v>251</x:v>
      </x:c>
      <x:c r="E550" s="17" t="n">
        <x:v>393</x:v>
      </x:c>
      <x:c r="F550" s="18" t="n">
        <x:v>3547.16</x:v>
      </x:c>
    </x:row>
    <x:row r="551">
      <x:c r="A551" s="14" t="str">
        <x:v>站点</x:v>
      </x:c>
      <x:c r="B551" s="15" t="str">
        <x:v>越南</x:v>
      </x:c>
      <x:c r="C551" s="16" t="n">
        <x:v>46108</x:v>
      </x:c>
      <x:c r="D551" s="17" t="n">
        <x:v>197</x:v>
      </x:c>
      <x:c r="E551" s="17" t="n">
        <x:v>334</x:v>
      </x:c>
      <x:c r="F551" s="18" t="n">
        <x:v>2876.77</x:v>
      </x:c>
    </x:row>
    <x:row r="552">
      <x:c r="A552" s="14" t="str">
        <x:v>站点</x:v>
      </x:c>
      <x:c r="B552" s="15" t="str">
        <x:v>越南</x:v>
      </x:c>
      <x:c r="C552" s="16" t="n">
        <x:v>46109</x:v>
      </x:c>
      <x:c r="D552" s="17" t="n">
        <x:v>237</x:v>
      </x:c>
      <x:c r="E552" s="17" t="n">
        <x:v>447</x:v>
      </x:c>
      <x:c r="F552" s="18" t="n">
        <x:v>3247.09</x:v>
      </x:c>
    </x:row>
    <x:row r="553">
      <x:c r="A553" s="14" t="str">
        <x:v>站点</x:v>
      </x:c>
      <x:c r="B553" s="15" t="str">
        <x:v>越南</x:v>
      </x:c>
      <x:c r="C553" s="16" t="n">
        <x:v>46110</x:v>
      </x:c>
      <x:c r="D553" s="17" t="n">
        <x:v>262</x:v>
      </x:c>
      <x:c r="E553" s="17" t="n">
        <x:v>507</x:v>
      </x:c>
      <x:c r="F553" s="18" t="n">
        <x:v>3655.27</x:v>
      </x:c>
    </x:row>
    <x:row r="554">
      <x:c r="A554" s="14" t="str">
        <x:v>站点</x:v>
      </x:c>
      <x:c r="B554" s="15" t="str">
        <x:v>越南</x:v>
      </x:c>
      <x:c r="C554" s="16" t="n">
        <x:v>46111</x:v>
      </x:c>
      <x:c r="D554" s="17" t="n">
        <x:v>270</x:v>
      </x:c>
      <x:c r="E554" s="17" t="n">
        <x:v>540</x:v>
      </x:c>
      <x:c r="F554" s="18" t="n">
        <x:v>4120.3</x:v>
      </x:c>
    </x:row>
    <x:row r="555">
      <x:c r="A555" s="14" t="str">
        <x:v>站点</x:v>
      </x:c>
      <x:c r="B555" s="15" t="str">
        <x:v>越南</x:v>
      </x:c>
      <x:c r="C555" s="16" t="n">
        <x:v>46112</x:v>
      </x:c>
      <x:c r="D555" s="17" t="n">
        <x:v>298</x:v>
      </x:c>
      <x:c r="E555" s="17" t="n">
        <x:v>554</x:v>
      </x:c>
      <x:c r="F555" s="18" t="n">
        <x:v>4353.8</x:v>
      </x:c>
    </x:row>
    <x:row r="556">
      <x:c r="A556" s="14" t="str">
        <x:v>站点</x:v>
      </x:c>
      <x:c r="B556" s="15" t="str">
        <x:v>越南</x:v>
      </x:c>
      <x:c r="C556" s="16" t="n">
        <x:v>46113</x:v>
      </x:c>
      <x:c r="D556" s="17" t="n">
        <x:v>229</x:v>
      </x:c>
      <x:c r="E556" s="17" t="n">
        <x:v>435</x:v>
      </x:c>
      <x:c r="F556" s="18" t="n">
        <x:v>3310.61</x:v>
      </x:c>
    </x:row>
    <x:row r="557">
      <x:c r="A557" s="14" t="str">
        <x:v>站点</x:v>
      </x:c>
      <x:c r="B557" s="15" t="str">
        <x:v>越南</x:v>
      </x:c>
      <x:c r="C557" s="16" t="n">
        <x:v>46114</x:v>
      </x:c>
      <x:c r="D557" s="17" t="n">
        <x:v>202</x:v>
      </x:c>
      <x:c r="E557" s="17" t="n">
        <x:v>402</x:v>
      </x:c>
      <x:c r="F557" s="18" t="n">
        <x:v>3072.15</x:v>
      </x:c>
    </x:row>
    <x:row r="558">
      <x:c r="A558" s="14" t="str">
        <x:v>站点</x:v>
      </x:c>
      <x:c r="B558" s="15" t="str">
        <x:v>越南</x:v>
      </x:c>
      <x:c r="C558" s="16" t="n">
        <x:v>46115</x:v>
      </x:c>
      <x:c r="D558" s="17" t="n">
        <x:v>280</x:v>
      </x:c>
      <x:c r="E558" s="17" t="n">
        <x:v>571</x:v>
      </x:c>
      <x:c r="F558" s="18" t="n">
        <x:v>4105.63</x:v>
      </x:c>
    </x:row>
    <x:row r="559">
      <x:c r="A559" s="14" t="str">
        <x:v>站点</x:v>
      </x:c>
      <x:c r="B559" s="15" t="str">
        <x:v>越南</x:v>
      </x:c>
      <x:c r="C559" s="16" t="n">
        <x:v>46116</x:v>
      </x:c>
      <x:c r="D559" s="17" t="n">
        <x:v>351</x:v>
      </x:c>
      <x:c r="E559" s="17" t="n">
        <x:v>719</x:v>
      </x:c>
      <x:c r="F559" s="18" t="n">
        <x:v>4845.65</x:v>
      </x:c>
    </x:row>
    <x:row r="560">
      <x:c r="A560" s="14" t="str">
        <x:v>站点</x:v>
      </x:c>
      <x:c r="B560" s="15" t="str">
        <x:v>越南</x:v>
      </x:c>
      <x:c r="C560" s="16" t="n">
        <x:v>46117</x:v>
      </x:c>
      <x:c r="D560" s="17" t="n">
        <x:v>256</x:v>
      </x:c>
      <x:c r="E560" s="17" t="n">
        <x:v>515</x:v>
      </x:c>
      <x:c r="F560" s="18" t="n">
        <x:v>3862.72</x:v>
      </x:c>
    </x:row>
    <x:row r="561">
      <x:c r="A561" s="14" t="str">
        <x:v>站点</x:v>
      </x:c>
      <x:c r="B561" s="15" t="str">
        <x:v>越南</x:v>
      </x:c>
      <x:c r="C561" s="16" t="n">
        <x:v>46118</x:v>
      </x:c>
      <x:c r="D561" s="17" t="n">
        <x:v>258</x:v>
      </x:c>
      <x:c r="E561" s="17" t="n">
        <x:v>514</x:v>
      </x:c>
      <x:c r="F561" s="18" t="n">
        <x:v>3949.17</x:v>
      </x:c>
    </x:row>
    <x:row r="562">
      <x:c r="A562" s="14" t="str">
        <x:v>站点</x:v>
      </x:c>
      <x:c r="B562" s="15" t="str">
        <x:v>越南</x:v>
      </x:c>
      <x:c r="C562" s="16" t="n">
        <x:v>46119</x:v>
      </x:c>
      <x:c r="D562" s="17" t="n">
        <x:v>208</x:v>
      </x:c>
      <x:c r="E562" s="17" t="n">
        <x:v>420</x:v>
      </x:c>
      <x:c r="F562" s="18" t="n">
        <x:v>3348.25</x:v>
      </x:c>
    </x:row>
    <x:row r="563">
      <x:c r="A563" s="14" t="str">
        <x:v>站点</x:v>
      </x:c>
      <x:c r="B563" s="15" t="str">
        <x:v>越南</x:v>
      </x:c>
      <x:c r="C563" s="16" t="n">
        <x:v>46120</x:v>
      </x:c>
      <x:c r="D563" s="17" t="n">
        <x:v>272</x:v>
      </x:c>
      <x:c r="E563" s="17" t="n">
        <x:v>514</x:v>
      </x:c>
      <x:c r="F563" s="18" t="n">
        <x:v>3840.01</x:v>
      </x:c>
    </x:row>
    <x:row r="564">
      <x:c r="A564" s="14" t="str">
        <x:v>站点</x:v>
      </x:c>
      <x:c r="B564" s="15" t="str">
        <x:v>越南</x:v>
      </x:c>
      <x:c r="C564" s="16" t="n">
        <x:v>46121</x:v>
      </x:c>
      <x:c r="D564" s="17" t="n">
        <x:v>318</x:v>
      </x:c>
      <x:c r="E564" s="17" t="n">
        <x:v>603</x:v>
      </x:c>
      <x:c r="F564" s="18" t="n">
        <x:v>4828.69</x:v>
      </x:c>
    </x:row>
    <x:row r="565">
      <x:c r="A565" s="14" t="str">
        <x:v>站点</x:v>
      </x:c>
      <x:c r="B565" s="15" t="str">
        <x:v>越南</x:v>
      </x:c>
      <x:c r="C565" s="16" t="n">
        <x:v>46122</x:v>
      </x:c>
      <x:c r="D565" s="17" t="n">
        <x:v>481</x:v>
      </x:c>
      <x:c r="E565" s="17" t="n">
        <x:v>899</x:v>
      </x:c>
      <x:c r="F565" s="18" t="n">
        <x:v>7070.84</x:v>
      </x:c>
    </x:row>
    <x:row r="566">
      <x:c r="A566" s="14" t="str">
        <x:v>站点</x:v>
      </x:c>
      <x:c r="B566" s="15" t="str">
        <x:v>越南</x:v>
      </x:c>
      <x:c r="C566" s="16" t="n">
        <x:v>46123</x:v>
      </x:c>
      <x:c r="D566" s="17" t="n">
        <x:v>467</x:v>
      </x:c>
      <x:c r="E566" s="17" t="n">
        <x:v>873</x:v>
      </x:c>
      <x:c r="F566" s="18" t="n">
        <x:v>6873.42</x:v>
      </x:c>
    </x:row>
    <x:row r="567">
      <x:c r="A567" s="14" t="str">
        <x:v>站点</x:v>
      </x:c>
      <x:c r="B567" s="15" t="str">
        <x:v>越南</x:v>
      </x:c>
      <x:c r="C567" s="16" t="n">
        <x:v>46124</x:v>
      </x:c>
      <x:c r="D567" s="17" t="n">
        <x:v>429</x:v>
      </x:c>
      <x:c r="E567" s="17" t="n">
        <x:v>654</x:v>
      </x:c>
      <x:c r="F567" s="18" t="n">
        <x:v>5140.55</x:v>
      </x:c>
    </x:row>
    <x:row r="568">
      <x:c r="A568" s="14" t="str">
        <x:v>站点</x:v>
      </x:c>
      <x:c r="B568" s="15" t="str">
        <x:v>越南</x:v>
      </x:c>
      <x:c r="C568" s="16" t="n">
        <x:v>46125</x:v>
      </x:c>
      <x:c r="D568" s="17" t="n">
        <x:v>521</x:v>
      </x:c>
      <x:c r="E568" s="17" t="n">
        <x:v>1049</x:v>
      </x:c>
      <x:c r="F568" s="18" t="n">
        <x:v>7069.97</x:v>
      </x:c>
    </x:row>
    <x:row r="569">
      <x:c r="A569" s="14" t="str">
        <x:v>站点</x:v>
      </x:c>
      <x:c r="B569" s="15" t="str">
        <x:v>越南</x:v>
      </x:c>
      <x:c r="C569" s="16" t="n">
        <x:v>46126</x:v>
      </x:c>
      <x:c r="D569" s="17" t="n">
        <x:v>461</x:v>
      </x:c>
      <x:c r="E569" s="17" t="n">
        <x:v>887</x:v>
      </x:c>
      <x:c r="F569" s="18" t="n">
        <x:v>5386.3</x:v>
      </x:c>
    </x:row>
    <x:row r="570">
      <x:c r="A570" s="14" t="str">
        <x:v>站点</x:v>
      </x:c>
      <x:c r="B570" s="15" t="str">
        <x:v>越南</x:v>
      </x:c>
      <x:c r="C570" s="16" t="n">
        <x:v>46127</x:v>
      </x:c>
      <x:c r="D570" s="17" t="n">
        <x:v>493</x:v>
      </x:c>
      <x:c r="E570" s="17" t="n">
        <x:v>753</x:v>
      </x:c>
      <x:c r="F570" s="18" t="n">
        <x:v>5343.12</x:v>
      </x:c>
    </x:row>
    <x:row r="571">
      <x:c r="A571" s="14" t="str">
        <x:v>站点</x:v>
      </x:c>
      <x:c r="B571" s="15" t="str">
        <x:v>越南</x:v>
      </x:c>
      <x:c r="C571" s="16" t="n">
        <x:v>46128</x:v>
      </x:c>
      <x:c r="D571" s="17" t="n">
        <x:v>158</x:v>
      </x:c>
      <x:c r="E571" s="17" t="n">
        <x:v>275</x:v>
      </x:c>
      <x:c r="F571" s="18" t="n">
        <x:v>2563.34</x:v>
      </x:c>
    </x:row>
    <x:row r="572">
      <x:c r="A572" s="14" t="str">
        <x:v>站点</x:v>
      </x:c>
      <x:c r="B572" s="15" t="str">
        <x:v>越南</x:v>
      </x:c>
      <x:c r="C572" s="16" t="n">
        <x:v>46129</x:v>
      </x:c>
      <x:c r="D572" s="17" t="n">
        <x:v>178</x:v>
      </x:c>
      <x:c r="E572" s="17" t="n">
        <x:v>307</x:v>
      </x:c>
      <x:c r="F572" s="18" t="n">
        <x:v>2909.99</x:v>
      </x:c>
    </x:row>
    <x:row r="573">
      <x:c r="A573" s="14" t="str">
        <x:v>站点</x:v>
      </x:c>
      <x:c r="B573" s="15" t="str">
        <x:v>越南</x:v>
      </x:c>
      <x:c r="C573" s="16" t="n">
        <x:v>46130</x:v>
      </x:c>
      <x:c r="D573" s="17" t="n">
        <x:v>190</x:v>
      </x:c>
      <x:c r="E573" s="17" t="n">
        <x:v>338</x:v>
      </x:c>
      <x:c r="F573" s="18" t="n">
        <x:v>3107.05</x:v>
      </x:c>
    </x:row>
    <x:row r="574">
      <x:c r="A574" s="14" t="str">
        <x:v>站点</x:v>
      </x:c>
      <x:c r="B574" s="15" t="str">
        <x:v>越南</x:v>
      </x:c>
      <x:c r="C574" s="16" t="n">
        <x:v>46131</x:v>
      </x:c>
      <x:c r="D574" s="17" t="n">
        <x:v>212</x:v>
      </x:c>
      <x:c r="E574" s="17" t="n">
        <x:v>391</x:v>
      </x:c>
      <x:c r="F574" s="18" t="n">
        <x:v>3383.59</x:v>
      </x:c>
    </x:row>
    <x:row r="575">
      <x:c r="A575" s="14" t="str">
        <x:v>站点</x:v>
      </x:c>
      <x:c r="B575" s="15" t="str">
        <x:v>越南</x:v>
      </x:c>
      <x:c r="C575" s="16" t="n">
        <x:v>46132</x:v>
      </x:c>
      <x:c r="D575" s="17" t="n">
        <x:v>181</x:v>
      </x:c>
      <x:c r="E575" s="17" t="n">
        <x:v>366</x:v>
      </x:c>
      <x:c r="F575" s="18" t="n">
        <x:v>2977.94</x:v>
      </x:c>
    </x:row>
    <x:row r="576">
      <x:c r="A576" s="14" t="str">
        <x:v>站点</x:v>
      </x:c>
      <x:c r="B576" s="15" t="str">
        <x:v>越南</x:v>
      </x:c>
      <x:c r="C576" s="16" t="n">
        <x:v>46133</x:v>
      </x:c>
      <x:c r="D576" s="17" t="n">
        <x:v>216</x:v>
      </x:c>
      <x:c r="E576" s="17" t="n">
        <x:v>431</x:v>
      </x:c>
      <x:c r="F576" s="18" t="n">
        <x:v>3819.24</x:v>
      </x:c>
    </x:row>
    <x:row r="577">
      <x:c r="A577" s="14" t="str">
        <x:v>站点</x:v>
      </x:c>
      <x:c r="B577" s="15" t="str">
        <x:v>越南</x:v>
      </x:c>
      <x:c r="C577" s="16" t="n">
        <x:v>46134</x:v>
      </x:c>
      <x:c r="D577" s="17" t="n">
        <x:v>218</x:v>
      </x:c>
      <x:c r="E577" s="17" t="n">
        <x:v>438</x:v>
      </x:c>
      <x:c r="F577" s="18" t="n">
        <x:v>3655.32</x:v>
      </x:c>
    </x:row>
    <x:row r="578">
      <x:c r="A578" s="14" t="str">
        <x:v>站点</x:v>
      </x:c>
      <x:c r="B578" s="15" t="str">
        <x:v>越南</x:v>
      </x:c>
      <x:c r="C578" s="16" t="n">
        <x:v>46135</x:v>
      </x:c>
      <x:c r="D578" s="17" t="n">
        <x:v>160</x:v>
      </x:c>
      <x:c r="E578" s="17" t="n">
        <x:v>310</x:v>
      </x:c>
      <x:c r="F578" s="18" t="n">
        <x:v>2908.65</x:v>
      </x:c>
    </x:row>
    <x:row r="579">
      <x:c r="A579" s="14" t="str">
        <x:v>站点</x:v>
      </x:c>
      <x:c r="B579" s="15" t="str">
        <x:v>越南</x:v>
      </x:c>
      <x:c r="C579" s="16" t="n">
        <x:v>46136</x:v>
      </x:c>
      <x:c r="D579" s="17" t="n">
        <x:v>175</x:v>
      </x:c>
      <x:c r="E579" s="17" t="n">
        <x:v>365</x:v>
      </x:c>
      <x:c r="F579" s="18" t="n">
        <x:v>3459.38</x:v>
      </x:c>
    </x:row>
    <x:row r="580">
      <x:c r="A580" s="14" t="str">
        <x:v>站点</x:v>
      </x:c>
      <x:c r="B580" s="15" t="str">
        <x:v>越南</x:v>
      </x:c>
      <x:c r="C580" s="16" t="n">
        <x:v>46137</x:v>
      </x:c>
      <x:c r="D580" s="17" t="n">
        <x:v>192</x:v>
      </x:c>
      <x:c r="E580" s="17" t="n">
        <x:v>353</x:v>
      </x:c>
      <x:c r="F580" s="18" t="n">
        <x:v>3272.86</x:v>
      </x:c>
    </x:row>
    <x:row r="581">
      <x:c r="A581" s="14" t="str">
        <x:v>站点</x:v>
      </x:c>
      <x:c r="B581" s="15" t="str">
        <x:v>越南</x:v>
      </x:c>
      <x:c r="C581" s="16" t="n">
        <x:v>46138</x:v>
      </x:c>
      <x:c r="D581" s="17" t="n">
        <x:v>0</x:v>
      </x:c>
      <x:c r="E581" s="17" t="n">
        <x:v>0</x:v>
      </x:c>
      <x:c r="F581" s="18" t="n">
        <x:v>0</x:v>
      </x:c>
    </x:row>
    <x:row r="582">
      <x:c r="A582" s="14" t="str">
        <x:v>站点</x:v>
      </x:c>
      <x:c r="B582" s="15" t="str">
        <x:v>越南</x:v>
      </x:c>
      <x:c r="C582" s="16" t="n">
        <x:v>46139</x:v>
      </x:c>
      <x:c r="D582" s="17" t="n">
        <x:v>289</x:v>
      </x:c>
      <x:c r="E582" s="17" t="n">
        <x:v>528</x:v>
      </x:c>
      <x:c r="F582" s="18" t="n">
        <x:v>4809.23</x:v>
      </x:c>
    </x:row>
    <x:row r="583">
      <x:c r="A583" s="14" t="str">
        <x:v>站点</x:v>
      </x:c>
      <x:c r="B583" s="15" t="str">
        <x:v>越南</x:v>
      </x:c>
      <x:c r="C583" s="16" t="n">
        <x:v>46140</x:v>
      </x:c>
      <x:c r="D583" s="17" t="n">
        <x:v>319</x:v>
      </x:c>
      <x:c r="E583" s="17" t="n">
        <x:v>552</x:v>
      </x:c>
      <x:c r="F583" s="18" t="n">
        <x:v>4483.2</x:v>
      </x:c>
    </x:row>
    <x:row r="584">
      <x:c r="A584" s="14" t="str">
        <x:v>站点</x:v>
      </x:c>
      <x:c r="B584" s="15" t="str">
        <x:v>越南</x:v>
      </x:c>
      <x:c r="C584" s="16" t="n">
        <x:v>46141</x:v>
      </x:c>
      <x:c r="D584" s="17" t="n">
        <x:v>297</x:v>
      </x:c>
      <x:c r="E584" s="17" t="n">
        <x:v>493</x:v>
      </x:c>
      <x:c r="F584" s="18" t="n">
        <x:v>3905.59</x:v>
      </x:c>
    </x:row>
    <x:row r="585">
      <x:c r="A585" s="14" t="str">
        <x:v>站点</x:v>
      </x:c>
      <x:c r="B585" s="15" t="str">
        <x:v>越南</x:v>
      </x:c>
      <x:c r="C585" s="16" t="n">
        <x:v>46142</x:v>
      </x:c>
      <x:c r="D585" s="17" t="n">
        <x:v>3</x:v>
      </x:c>
      <x:c r="E585" s="17" t="n">
        <x:v>16</x:v>
      </x:c>
      <x:c r="F585" s="18" t="n">
        <x:v>35.54</x:v>
      </x:c>
    </x:row>
    <x:row r="586">
      <x:c r="A586" s="14" t="str">
        <x:v>站点</x:v>
      </x:c>
      <x:c r="B586" s="15" t="str">
        <x:v>越南</x:v>
      </x:c>
      <x:c r="C586" s="16" t="n">
        <x:v>46143</x:v>
      </x:c>
      <x:c r="D586" s="17" t="n">
        <x:v>734</x:v>
      </x:c>
      <x:c r="E586" s="17" t="n">
        <x:v>1300</x:v>
      </x:c>
      <x:c r="F586" s="18" t="n">
        <x:v>8485.01</x:v>
      </x:c>
    </x:row>
    <x:row r="587">
      <x:c r="A587" s="14" t="str">
        <x:v>站点</x:v>
      </x:c>
      <x:c r="B587" s="15" t="str">
        <x:v>越南</x:v>
      </x:c>
      <x:c r="C587" s="16" t="n">
        <x:v>46144</x:v>
      </x:c>
      <x:c r="D587" s="17" t="n">
        <x:v>462</x:v>
      </x:c>
      <x:c r="E587" s="17" t="n">
        <x:v>1001</x:v>
      </x:c>
      <x:c r="F587" s="18" t="n">
        <x:v>6837.32</x:v>
      </x:c>
    </x:row>
    <x:row r="588">
      <x:c r="A588" s="14" t="str">
        <x:v>站点</x:v>
      </x:c>
      <x:c r="B588" s="15" t="str">
        <x:v>越南</x:v>
      </x:c>
      <x:c r="C588" s="16" t="n">
        <x:v>46145</x:v>
      </x:c>
      <x:c r="D588" s="17" t="n">
        <x:v>374</x:v>
      </x:c>
      <x:c r="E588" s="17" t="n">
        <x:v>698</x:v>
      </x:c>
      <x:c r="F588" s="18" t="n">
        <x:v>4517.37</x:v>
      </x:c>
    </x:row>
    <x:row r="589">
      <x:c r="A589" s="14" t="str">
        <x:v>站点</x:v>
      </x:c>
      <x:c r="B589" s="15" t="str">
        <x:v>越南</x:v>
      </x:c>
      <x:c r="C589" s="16" t="n">
        <x:v>46146</x:v>
      </x:c>
      <x:c r="D589" s="17" t="n">
        <x:v>396</x:v>
      </x:c>
      <x:c r="E589" s="17" t="n">
        <x:v>772</x:v>
      </x:c>
      <x:c r="F589" s="18" t="n">
        <x:v>5130.99</x:v>
      </x:c>
    </x:row>
    <x:row r="590">
      <x:c r="A590" s="14" t="str">
        <x:v>站点</x:v>
      </x:c>
      <x:c r="B590" s="15" t="str">
        <x:v>越南</x:v>
      </x:c>
      <x:c r="C590" s="16" t="n">
        <x:v>46147</x:v>
      </x:c>
      <x:c r="D590" s="17" t="n">
        <x:v>331</x:v>
      </x:c>
      <x:c r="E590" s="17" t="n">
        <x:v>651</x:v>
      </x:c>
      <x:c r="F590" s="18" t="n">
        <x:v>4491.12</x:v>
      </x:c>
    </x:row>
    <x:row r="591">
      <x:c r="A591" s="14" t="str">
        <x:v>站点</x:v>
      </x:c>
      <x:c r="B591" s="15" t="str">
        <x:v>越南</x:v>
      </x:c>
      <x:c r="C591" s="16" t="n">
        <x:v>46148</x:v>
      </x:c>
      <x:c r="D591" s="17" t="n">
        <x:v>376</x:v>
      </x:c>
      <x:c r="E591" s="17" t="n">
        <x:v>723</x:v>
      </x:c>
      <x:c r="F591" s="18" t="n">
        <x:v>4502.37</x:v>
      </x:c>
    </x:row>
    <x:row r="592">
      <x:c r="A592" s="14" t="str">
        <x:v>站点</x:v>
      </x:c>
      <x:c r="B592" s="15" t="str">
        <x:v>越南</x:v>
      </x:c>
      <x:c r="C592" s="16" t="n">
        <x:v>46149</x:v>
      </x:c>
      <x:c r="D592" s="17" t="n">
        <x:v>373</x:v>
      </x:c>
      <x:c r="E592" s="17" t="n">
        <x:v>625</x:v>
      </x:c>
      <x:c r="F592" s="18" t="n">
        <x:v>5146.18</x:v>
      </x:c>
    </x:row>
    <x:row r="593">
      <x:c r="A593" s="14" t="str">
        <x:v>站点</x:v>
      </x:c>
      <x:c r="B593" s="15" t="str">
        <x:v>越南</x:v>
      </x:c>
      <x:c r="C593" s="16" t="n">
        <x:v>46150</x:v>
      </x:c>
      <x:c r="D593" s="17" t="n">
        <x:v>363</x:v>
      </x:c>
      <x:c r="E593" s="17" t="n">
        <x:v>692</x:v>
      </x:c>
      <x:c r="F593" s="18" t="n">
        <x:v>4456.36</x:v>
      </x:c>
    </x:row>
    <x:row r="594">
      <x:c r="A594" s="14" t="str">
        <x:v>站点</x:v>
      </x:c>
      <x:c r="B594" s="15" t="str">
        <x:v>越南</x:v>
      </x:c>
      <x:c r="C594" s="16" t="n">
        <x:v>46151</x:v>
      </x:c>
      <x:c r="D594" s="17" t="n">
        <x:v>556</x:v>
      </x:c>
      <x:c r="E594" s="17" t="n">
        <x:v>895</x:v>
      </x:c>
      <x:c r="F594" s="18" t="n">
        <x:v>6561.81</x:v>
      </x:c>
    </x:row>
    <x:row r="595">
      <x:c r="A595" s="14" t="str">
        <x:v>站点</x:v>
      </x:c>
      <x:c r="B595" s="15" t="str">
        <x:v>越南</x:v>
      </x:c>
      <x:c r="C595" s="16" t="n">
        <x:v>46152</x:v>
      </x:c>
      <x:c r="D595" s="17" t="n">
        <x:v>509</x:v>
      </x:c>
      <x:c r="E595" s="17" t="n">
        <x:v>944</x:v>
      </x:c>
      <x:c r="F595" s="18" t="n">
        <x:v>6526.92</x:v>
      </x:c>
    </x:row>
    <x:row r="596">
      <x:c r="A596" s="14" t="str">
        <x:v>站点</x:v>
      </x:c>
      <x:c r="B596" s="15" t="str">
        <x:v>越南</x:v>
      </x:c>
      <x:c r="C596" s="16" t="n">
        <x:v>46153</x:v>
      </x:c>
      <x:c r="D596" s="17" t="n">
        <x:v>548</x:v>
      </x:c>
      <x:c r="E596" s="17" t="n">
        <x:v>984</x:v>
      </x:c>
      <x:c r="F596" s="18" t="n">
        <x:v>6926.85</x:v>
      </x:c>
    </x:row>
    <x:row r="597">
      <x:c r="A597" s="14" t="str">
        <x:v>站点</x:v>
      </x:c>
      <x:c r="B597" s="15" t="str">
        <x:v>越南</x:v>
      </x:c>
      <x:c r="C597" s="16" t="n">
        <x:v>46154</x:v>
      </x:c>
      <x:c r="D597" s="17" t="n">
        <x:v>544</x:v>
      </x:c>
      <x:c r="E597" s="17" t="n">
        <x:v>1023</x:v>
      </x:c>
      <x:c r="F597" s="18" t="n">
        <x:v>7131.67</x:v>
      </x:c>
    </x:row>
    <x:row r="598">
      <x:c r="A598" s="14" t="str">
        <x:v>站点</x:v>
      </x:c>
      <x:c r="B598" s="15" t="str">
        <x:v>越南</x:v>
      </x:c>
      <x:c r="C598" s="16" t="n">
        <x:v>46155</x:v>
      </x:c>
      <x:c r="D598" s="17" t="n">
        <x:v>589</x:v>
      </x:c>
      <x:c r="E598" s="17" t="n">
        <x:v>1023</x:v>
      </x:c>
      <x:c r="F598" s="18" t="n">
        <x:v>6912.68</x:v>
      </x:c>
    </x:row>
    <x:row r="599">
      <x:c r="A599" s="14" t="str">
        <x:v>站点</x:v>
      </x:c>
      <x:c r="B599" s="15" t="str">
        <x:v>越南</x:v>
      </x:c>
      <x:c r="C599" s="16" t="n">
        <x:v>46156</x:v>
      </x:c>
      <x:c r="D599" s="17" t="n">
        <x:v>585</x:v>
      </x:c>
      <x:c r="E599" s="17" t="n">
        <x:v>1107</x:v>
      </x:c>
      <x:c r="F599" s="18" t="n">
        <x:v>7445.58</x:v>
      </x:c>
    </x:row>
    <x:row r="600">
      <x:c r="A600" s="14" t="str">
        <x:v>站点</x:v>
      </x:c>
      <x:c r="B600" s="15" t="str">
        <x:v>越南</x:v>
      </x:c>
      <x:c r="C600" s="16" t="n">
        <x:v>46157</x:v>
      </x:c>
      <x:c r="D600" s="17" t="n">
        <x:v>544</x:v>
      </x:c>
      <x:c r="E600" s="17" t="n">
        <x:v>1094</x:v>
      </x:c>
      <x:c r="F600" s="18" t="n">
        <x:v>7587.82</x:v>
      </x:c>
    </x:row>
    <x:row r="601">
      <x:c r="A601" s="14" t="str">
        <x:v>站点</x:v>
      </x:c>
      <x:c r="B601" s="15" t="str">
        <x:v>越南</x:v>
      </x:c>
      <x:c r="C601" s="16" t="n">
        <x:v>46158</x:v>
      </x:c>
      <x:c r="D601" s="17" t="n">
        <x:v>589</x:v>
      </x:c>
      <x:c r="E601" s="17" t="n">
        <x:v>1074</x:v>
      </x:c>
      <x:c r="F601" s="18" t="n">
        <x:v>8217.01</x:v>
      </x:c>
    </x:row>
    <x:row r="602">
      <x:c r="A602" s="14" t="str">
        <x:v>站点</x:v>
      </x:c>
      <x:c r="B602" s="15" t="str">
        <x:v>越南</x:v>
      </x:c>
      <x:c r="C602" s="16" t="n">
        <x:v>46159</x:v>
      </x:c>
      <x:c r="D602" s="17" t="n">
        <x:v>572</x:v>
      </x:c>
      <x:c r="E602" s="17" t="n">
        <x:v>1009</x:v>
      </x:c>
      <x:c r="F602" s="18" t="n">
        <x:v>8181.42</x:v>
      </x:c>
    </x:row>
    <x:row r="603">
      <x:c r="A603" s="14" t="str">
        <x:v>站点</x:v>
      </x:c>
      <x:c r="B603" s="15" t="str">
        <x:v>越南</x:v>
      </x:c>
      <x:c r="C603" s="16" t="n">
        <x:v>46160</x:v>
      </x:c>
      <x:c r="D603" s="17" t="n">
        <x:v>583</x:v>
      </x:c>
      <x:c r="E603" s="17" t="n">
        <x:v>984</x:v>
      </x:c>
      <x:c r="F603" s="18" t="n">
        <x:v>7910.81</x:v>
      </x:c>
    </x:row>
    <x:row r="604">
      <x:c r="A604" s="14" t="str">
        <x:v>站点</x:v>
      </x:c>
      <x:c r="B604" s="15" t="str">
        <x:v>越南</x:v>
      </x:c>
      <x:c r="C604" s="16" t="n">
        <x:v>46161</x:v>
      </x:c>
      <x:c r="D604" s="17" t="n">
        <x:v>517</x:v>
      </x:c>
      <x:c r="E604" s="17" t="n">
        <x:v>835</x:v>
      </x:c>
      <x:c r="F604" s="18" t="n">
        <x:v>6753.64</x:v>
      </x:c>
    </x:row>
    <x:row r="605">
      <x:c r="A605" s="14" t="str">
        <x:v>站点</x:v>
      </x:c>
      <x:c r="B605" s="15" t="str">
        <x:v>越南</x:v>
      </x:c>
      <x:c r="C605" s="16" t="n">
        <x:v>46162</x:v>
      </x:c>
      <x:c r="D605" s="17" t="n">
        <x:v>562</x:v>
      </x:c>
      <x:c r="E605" s="17" t="n">
        <x:v>950</x:v>
      </x:c>
      <x:c r="F605" s="18" t="n">
        <x:v>7330.45</x:v>
      </x:c>
    </x:row>
    <x:row r="606">
      <x:c r="A606" s="14" t="str">
        <x:v>站点</x:v>
      </x:c>
      <x:c r="B606" s="15" t="str">
        <x:v>越南</x:v>
      </x:c>
      <x:c r="C606" s="16" t="n">
        <x:v>46163</x:v>
      </x:c>
      <x:c r="D606" s="17" t="n">
        <x:v>491</x:v>
      </x:c>
      <x:c r="E606" s="17" t="n">
        <x:v>927</x:v>
      </x:c>
      <x:c r="F606" s="18" t="n">
        <x:v>6767.86</x:v>
      </x:c>
    </x:row>
    <x:row r="607">
      <x:c r="A607" s="14" t="str">
        <x:v>站点</x:v>
      </x:c>
      <x:c r="B607" s="15" t="str">
        <x:v>越南</x:v>
      </x:c>
      <x:c r="C607" s="16" t="n">
        <x:v>46164</x:v>
      </x:c>
      <x:c r="D607" s="17" t="n">
        <x:v>585</x:v>
      </x:c>
      <x:c r="E607" s="17" t="n">
        <x:v>1128</x:v>
      </x:c>
      <x:c r="F607" s="18" t="n">
        <x:v>8005.17</x:v>
      </x:c>
    </x:row>
    <x:row r="608">
      <x:c r="A608" s="14" t="str">
        <x:v>站点</x:v>
      </x:c>
      <x:c r="B608" s="15" t="str">
        <x:v>越南</x:v>
      </x:c>
      <x:c r="C608" s="16" t="n">
        <x:v>46165</x:v>
      </x:c>
      <x:c r="D608" s="17" t="n">
        <x:v>625</x:v>
      </x:c>
      <x:c r="E608" s="17" t="n">
        <x:v>1074</x:v>
      </x:c>
      <x:c r="F608" s="18" t="n">
        <x:v>8838.41</x:v>
      </x:c>
    </x:row>
    <x:row r="609">
      <x:c r="A609" s="14" t="str">
        <x:v>站点</x:v>
      </x:c>
      <x:c r="B609" s="15" t="str">
        <x:v>越南</x:v>
      </x:c>
      <x:c r="C609" s="16" t="n">
        <x:v>46166</x:v>
      </x:c>
      <x:c r="D609" s="17" t="n">
        <x:v>571</x:v>
      </x:c>
      <x:c r="E609" s="17" t="n">
        <x:v>933</x:v>
      </x:c>
      <x:c r="F609" s="18" t="n">
        <x:v>8121.51</x:v>
      </x:c>
    </x:row>
    <x:row r="610">
      <x:c r="A610" s="14" t="str">
        <x:v>站点</x:v>
      </x:c>
      <x:c r="B610" s="15" t="str">
        <x:v>越南</x:v>
      </x:c>
      <x:c r="C610" s="16" t="n">
        <x:v>46167</x:v>
      </x:c>
      <x:c r="D610" s="17" t="n">
        <x:v>719</x:v>
      </x:c>
      <x:c r="E610" s="17" t="n">
        <x:v>1239</x:v>
      </x:c>
      <x:c r="F610" s="18" t="n">
        <x:v>11023.11</x:v>
      </x:c>
    </x:row>
    <x:row r="611">
      <x:c r="A611" s="14" t="str">
        <x:v>站点</x:v>
      </x:c>
      <x:c r="B611" s="15" t="str">
        <x:v>越南</x:v>
      </x:c>
      <x:c r="C611" s="16" t="n">
        <x:v>46168</x:v>
      </x:c>
      <x:c r="D611" s="17" t="n">
        <x:v>609</x:v>
      </x:c>
      <x:c r="E611" s="17" t="n">
        <x:v>1048</x:v>
      </x:c>
      <x:c r="F611" s="18" t="n">
        <x:v>9019.02</x:v>
      </x:c>
    </x:row>
    <x:row r="612">
      <x:c r="A612" s="14" t="str">
        <x:v>站点</x:v>
      </x:c>
      <x:c r="B612" s="15" t="str">
        <x:v>越南</x:v>
      </x:c>
      <x:c r="C612" s="16" t="n">
        <x:v>46169</x:v>
      </x:c>
      <x:c r="D612" s="17" t="n">
        <x:v>599</x:v>
      </x:c>
      <x:c r="E612" s="17" t="n">
        <x:v>987</x:v>
      </x:c>
      <x:c r="F612" s="18" t="n">
        <x:v>9051.98</x:v>
      </x:c>
    </x:row>
    <x:row r="613">
      <x:c r="A613" s="14" t="str">
        <x:v>站点</x:v>
      </x:c>
      <x:c r="B613" s="15" t="str">
        <x:v>越南</x:v>
      </x:c>
      <x:c r="C613" s="16" t="n">
        <x:v>46170</x:v>
      </x:c>
      <x:c r="D613" s="17" t="n">
        <x:v>625</x:v>
      </x:c>
      <x:c r="E613" s="17" t="n">
        <x:v>1081</x:v>
      </x:c>
      <x:c r="F613" s="18" t="n">
        <x:v>9076.23</x:v>
      </x:c>
    </x:row>
    <x:row r="614">
      <x:c r="A614" s="14" t="str">
        <x:v>站点</x:v>
      </x:c>
      <x:c r="B614" s="15" t="str">
        <x:v>越南</x:v>
      </x:c>
      <x:c r="C614" s="16" t="n">
        <x:v>46171</x:v>
      </x:c>
      <x:c r="D614" s="17" t="n">
        <x:v>622</x:v>
      </x:c>
      <x:c r="E614" s="17" t="n">
        <x:v>1027</x:v>
      </x:c>
      <x:c r="F614" s="18" t="n">
        <x:v>8960.26</x:v>
      </x:c>
    </x:row>
    <x:row r="615">
      <x:c r="A615" s="14" t="str">
        <x:v>站点</x:v>
      </x:c>
      <x:c r="B615" s="15" t="str">
        <x:v>越南</x:v>
      </x:c>
      <x:c r="C615" s="16" t="n">
        <x:v>46172</x:v>
      </x:c>
      <x:c r="D615" s="17" t="n">
        <x:v>540</x:v>
      </x:c>
      <x:c r="E615" s="17" t="n">
        <x:v>855</x:v>
      </x:c>
      <x:c r="F615" s="18" t="n">
        <x:v>7162.13</x:v>
      </x:c>
    </x:row>
    <x:row r="616">
      <x:c r="A616" s="14" t="str">
        <x:v>站点</x:v>
      </x:c>
      <x:c r="B616" s="15" t="str">
        <x:v>越南</x:v>
      </x:c>
      <x:c r="C616" s="16" t="n">
        <x:v>46173</x:v>
      </x:c>
      <x:c r="D616" s="17" t="n">
        <x:v>516</x:v>
      </x:c>
      <x:c r="E616" s="17" t="n">
        <x:v>923</x:v>
      </x:c>
      <x:c r="F616" s="18" t="n">
        <x:v>14643.78</x:v>
      </x:c>
    </x:row>
    <x:row r="617">
      <x:c r="A617" s="14" t="str">
        <x:v>站点</x:v>
      </x:c>
      <x:c r="B617" s="15" t="str">
        <x:v>越南</x:v>
      </x:c>
      <x:c r="C617" s="16" t="n">
        <x:v>46174</x:v>
      </x:c>
      <x:c r="D617" s="17" t="n">
        <x:v>552</x:v>
      </x:c>
      <x:c r="E617" s="17" t="n">
        <x:v>898</x:v>
      </x:c>
      <x:c r="F617" s="18" t="n">
        <x:v>7523.74</x:v>
      </x:c>
    </x:row>
    <x:row r="618">
      <x:c r="A618" s="14" t="str">
        <x:v>站点</x:v>
      </x:c>
      <x:c r="B618" s="15" t="str">
        <x:v>越南</x:v>
      </x:c>
      <x:c r="C618" s="16" t="n">
        <x:v>46175</x:v>
      </x:c>
      <x:c r="D618" s="17" t="n">
        <x:v>530</x:v>
      </x:c>
      <x:c r="E618" s="17" t="n">
        <x:v>944</x:v>
      </x:c>
      <x:c r="F618" s="18" t="n">
        <x:v>7694.71</x:v>
      </x:c>
    </x:row>
    <x:row r="619">
      <x:c r="A619" s="14" t="str">
        <x:v>站点</x:v>
      </x:c>
      <x:c r="B619" s="15" t="str">
        <x:v>越南</x:v>
      </x:c>
      <x:c r="C619" s="16" t="n">
        <x:v>46176</x:v>
      </x:c>
      <x:c r="D619" s="17" t="n">
        <x:v>541</x:v>
      </x:c>
      <x:c r="E619" s="17" t="n">
        <x:v>942</x:v>
      </x:c>
      <x:c r="F619" s="18" t="n">
        <x:v>7394.77</x:v>
      </x:c>
    </x:row>
    <x:row r="620">
      <x:c r="A620" s="14" t="str">
        <x:v>站点</x:v>
      </x:c>
      <x:c r="B620" s="15" t="str">
        <x:v>越南</x:v>
      </x:c>
      <x:c r="C620" s="16" t="n">
        <x:v>46177</x:v>
      </x:c>
      <x:c r="D620" s="17" t="n">
        <x:v>544</x:v>
      </x:c>
      <x:c r="E620" s="17" t="n">
        <x:v>949</x:v>
      </x:c>
      <x:c r="F620" s="18" t="n">
        <x:v>7476.16</x:v>
      </x:c>
    </x:row>
    <x:row r="621">
      <x:c r="A621" s="14" t="str">
        <x:v>站点</x:v>
      </x:c>
      <x:c r="B621" s="15" t="str">
        <x:v>越南</x:v>
      </x:c>
      <x:c r="C621" s="16" t="n">
        <x:v>46178</x:v>
      </x:c>
      <x:c r="D621" s="17" t="n">
        <x:v>445</x:v>
      </x:c>
      <x:c r="E621" s="17" t="n">
        <x:v>798</x:v>
      </x:c>
      <x:c r="F621" s="18" t="n">
        <x:v>6246.12</x:v>
      </x:c>
    </x:row>
    <x:row r="622">
      <x:c r="A622" s="14" t="str">
        <x:v>站点</x:v>
      </x:c>
      <x:c r="B622" s="15" t="str">
        <x:v>越南</x:v>
      </x:c>
      <x:c r="C622" s="16" t="n">
        <x:v>46179</x:v>
      </x:c>
      <x:c r="D622" s="17" t="n">
        <x:v>621</x:v>
      </x:c>
      <x:c r="E622" s="17" t="n">
        <x:v>1151</x:v>
      </x:c>
      <x:c r="F622" s="18" t="n">
        <x:v>8623.36</x:v>
      </x:c>
    </x:row>
    <x:row r="623">
      <x:c r="A623" s="14" t="str">
        <x:v>站点</x:v>
      </x:c>
      <x:c r="B623" s="15" t="str">
        <x:v>越南</x:v>
      </x:c>
      <x:c r="C623" s="16" t="n">
        <x:v>46180</x:v>
      </x:c>
      <x:c r="D623" s="17" t="n">
        <x:v>750</x:v>
      </x:c>
      <x:c r="E623" s="17" t="n">
        <x:v>1363</x:v>
      </x:c>
      <x:c r="F623" s="18" t="n">
        <x:v>10398.48</x:v>
      </x:c>
    </x:row>
    <x:row r="624">
      <x:c r="A624" s="14" t="str">
        <x:v>站点</x:v>
      </x:c>
      <x:c r="B624" s="15" t="str">
        <x:v>越南</x:v>
      </x:c>
      <x:c r="C624" s="16" t="n">
        <x:v>46181</x:v>
      </x:c>
      <x:c r="D624" s="17" t="n">
        <x:v>550</x:v>
      </x:c>
      <x:c r="E624" s="17" t="n">
        <x:v>1019</x:v>
      </x:c>
      <x:c r="F624" s="18" t="n">
        <x:v>7953.81</x:v>
      </x:c>
    </x:row>
    <x:row r="625">
      <x:c r="A625" s="14" t="str">
        <x:v>站点</x:v>
      </x:c>
      <x:c r="B625" s="15" t="str">
        <x:v>越南</x:v>
      </x:c>
      <x:c r="C625" s="16" t="n">
        <x:v>46182</x:v>
      </x:c>
      <x:c r="D625" s="17" t="n">
        <x:v>594</x:v>
      </x:c>
      <x:c r="E625" s="17" t="n">
        <x:v>1099</x:v>
      </x:c>
      <x:c r="F625" s="18" t="n">
        <x:v>8670.06</x:v>
      </x:c>
    </x:row>
    <x:row r="626">
      <x:c r="A626" s="14" t="str">
        <x:v>站点</x:v>
      </x:c>
      <x:c r="B626" s="15" t="str">
        <x:v>越南</x:v>
      </x:c>
      <x:c r="C626" s="16" t="n">
        <x:v>46183</x:v>
      </x:c>
      <x:c r="D626" s="17" t="n">
        <x:v>587</x:v>
      </x:c>
      <x:c r="E626" s="17" t="n">
        <x:v>1073</x:v>
      </x:c>
      <x:c r="F626" s="18" t="n">
        <x:v>8162.53</x:v>
      </x:c>
    </x:row>
    <x:row r="627">
      <x:c r="A627" s="14" t="str">
        <x:v>站点</x:v>
      </x:c>
      <x:c r="B627" s="15" t="str">
        <x:v>越南</x:v>
      </x:c>
      <x:c r="C627" s="16" t="n">
        <x:v>46184</x:v>
      </x:c>
      <x:c r="D627" s="17" t="n">
        <x:v>511</x:v>
      </x:c>
      <x:c r="E627" s="17" t="n">
        <x:v>942</x:v>
      </x:c>
      <x:c r="F627" s="18" t="n">
        <x:v>7209.11</x:v>
      </x:c>
    </x:row>
    <x:row r="628">
      <x:c r="A628" s="14" t="str">
        <x:v>站点</x:v>
      </x:c>
      <x:c r="B628" s="15" t="str">
        <x:v>越南</x:v>
      </x:c>
      <x:c r="C628" s="16" t="n">
        <x:v>46185</x:v>
      </x:c>
      <x:c r="D628" s="17" t="n">
        <x:v>589</x:v>
      </x:c>
      <x:c r="E628" s="17" t="n">
        <x:v>1139</x:v>
      </x:c>
      <x:c r="F628" s="18" t="n">
        <x:v>8585.11</x:v>
      </x:c>
    </x:row>
    <x:row r="629">
      <x:c r="A629" s="14" t="str">
        <x:v>站点</x:v>
      </x:c>
      <x:c r="B629" s="15" t="str">
        <x:v>越南</x:v>
      </x:c>
      <x:c r="C629" s="16" t="n">
        <x:v>46186</x:v>
      </x:c>
      <x:c r="D629" s="17" t="n">
        <x:v>704</x:v>
      </x:c>
      <x:c r="E629" s="17" t="n">
        <x:v>1269</x:v>
      </x:c>
      <x:c r="F629" s="18" t="n">
        <x:v>9805.35</x:v>
      </x:c>
    </x:row>
    <x:row r="630">
      <x:c r="A630" s="14" t="str">
        <x:v>站点</x:v>
      </x:c>
      <x:c r="B630" s="15" t="str">
        <x:v>越南</x:v>
      </x:c>
      <x:c r="C630" s="16" t="n">
        <x:v>46187</x:v>
      </x:c>
      <x:c r="D630" s="17" t="n">
        <x:v>638</x:v>
      </x:c>
      <x:c r="E630" s="17" t="n">
        <x:v>1174</x:v>
      </x:c>
      <x:c r="F630" s="18" t="n">
        <x:v>9224.54</x:v>
      </x:c>
    </x:row>
    <x:row r="631">
      <x:c r="A631" s="14" t="str">
        <x:v>站点</x:v>
      </x:c>
      <x:c r="B631" s="15" t="str">
        <x:v>越南</x:v>
      </x:c>
      <x:c r="C631" s="16" t="n">
        <x:v>46188</x:v>
      </x:c>
      <x:c r="D631" s="17" t="n">
        <x:v>590</x:v>
      </x:c>
      <x:c r="E631" s="17" t="n">
        <x:v>1071</x:v>
      </x:c>
      <x:c r="F631" s="18" t="n">
        <x:v>8671.09</x:v>
      </x:c>
    </x:row>
    <x:row r="632">
      <x:c r="A632" s="14" t="str">
        <x:v>站点</x:v>
      </x:c>
      <x:c r="B632" s="15" t="str">
        <x:v>越南</x:v>
      </x:c>
      <x:c r="C632" s="16" t="n">
        <x:v>46189</x:v>
      </x:c>
      <x:c r="D632" s="17" t="n">
        <x:v>673</x:v>
      </x:c>
      <x:c r="E632" s="17" t="n">
        <x:v>1232</x:v>
      </x:c>
      <x:c r="F632" s="18" t="n">
        <x:v>9618.24</x:v>
      </x:c>
    </x:row>
    <x:row r="633">
      <x:c r="A633" s="14" t="str">
        <x:v>站点</x:v>
      </x:c>
      <x:c r="B633" s="15" t="str">
        <x:v>越南</x:v>
      </x:c>
      <x:c r="C633" s="16" t="n">
        <x:v>46190</x:v>
      </x:c>
      <x:c r="D633" s="17" t="n">
        <x:v>569</x:v>
      </x:c>
      <x:c r="E633" s="17" t="n">
        <x:v>1029</x:v>
      </x:c>
      <x:c r="F633" s="18" t="n">
        <x:v>7989.44</x:v>
      </x:c>
    </x:row>
    <x:row r="634">
      <x:c r="A634" s="14" t="str">
        <x:v>站点</x:v>
      </x:c>
      <x:c r="B634" s="15" t="str">
        <x:v>越南</x:v>
      </x:c>
      <x:c r="C634" s="16" t="n">
        <x:v>46191</x:v>
      </x:c>
      <x:c r="D634" s="17" t="n">
        <x:v>733</x:v>
      </x:c>
      <x:c r="E634" s="17" t="n">
        <x:v>1369</x:v>
      </x:c>
      <x:c r="F634" s="18" t="n">
        <x:v>10381.81</x:v>
      </x:c>
    </x:row>
    <x:row r="635">
      <x:c r="A635" s="14" t="str">
        <x:v>站点</x:v>
      </x:c>
      <x:c r="B635" s="15" t="str">
        <x:v>越南</x:v>
      </x:c>
      <x:c r="C635" s="16" t="n">
        <x:v>46192</x:v>
      </x:c>
      <x:c r="D635" s="17" t="n">
        <x:v>704</x:v>
      </x:c>
      <x:c r="E635" s="17" t="n">
        <x:v>1349</x:v>
      </x:c>
      <x:c r="F635" s="18" t="n">
        <x:v>10305.6</x:v>
      </x:c>
    </x:row>
    <x:row r="636">
      <x:c r="A636" s="14" t="str">
        <x:v>站点</x:v>
      </x:c>
      <x:c r="B636" s="15" t="str">
        <x:v>越南</x:v>
      </x:c>
      <x:c r="C636" s="16" t="n">
        <x:v>46193</x:v>
      </x:c>
      <x:c r="D636" s="17" t="n">
        <x:v>472</x:v>
      </x:c>
      <x:c r="E636" s="17" t="n">
        <x:v>887</x:v>
      </x:c>
      <x:c r="F636" s="18" t="n">
        <x:v>6713.28</x:v>
      </x:c>
    </x:row>
    <x:row r="637">
      <x:c r="A637" s="14" t="str">
        <x:v>站点</x:v>
      </x:c>
      <x:c r="B637" s="15" t="str">
        <x:v>越南</x:v>
      </x:c>
      <x:c r="C637" s="16" t="n">
        <x:v>46194</x:v>
      </x:c>
      <x:c r="D637" s="17" t="n">
        <x:v>646</x:v>
      </x:c>
      <x:c r="E637" s="17" t="n">
        <x:v>1241</x:v>
      </x:c>
      <x:c r="F637" s="18" t="n">
        <x:v>9752.35</x:v>
      </x:c>
    </x:row>
    <x:row r="638">
      <x:c r="A638" s="14" t="str">
        <x:v>站点</x:v>
      </x:c>
      <x:c r="B638" s="15" t="str">
        <x:v>越南</x:v>
      </x:c>
      <x:c r="C638" s="16" t="n">
        <x:v>46195</x:v>
      </x:c>
      <x:c r="D638" s="17" t="n">
        <x:v>743</x:v>
      </x:c>
      <x:c r="E638" s="17" t="n">
        <x:v>1381</x:v>
      </x:c>
      <x:c r="F638" s="18" t="n">
        <x:v>10790.89</x:v>
      </x:c>
    </x:row>
    <x:row r="639">
      <x:c r="A639" s="14" t="str">
        <x:v>站点</x:v>
      </x:c>
      <x:c r="B639" s="15" t="str">
        <x:v>越南</x:v>
      </x:c>
      <x:c r="C639" s="16" t="n">
        <x:v>46196</x:v>
      </x:c>
      <x:c r="D639" s="17" t="n">
        <x:v>696</x:v>
      </x:c>
      <x:c r="E639" s="17" t="n">
        <x:v>1299</x:v>
      </x:c>
      <x:c r="F639" s="18" t="n">
        <x:v>9984.66</x:v>
      </x:c>
    </x:row>
    <x:row r="640">
      <x:c r="A640" s="14" t="str">
        <x:v>站点</x:v>
      </x:c>
      <x:c r="B640" s="15" t="str">
        <x:v>越南</x:v>
      </x:c>
      <x:c r="C640" s="16" t="n">
        <x:v>46197</x:v>
      </x:c>
      <x:c r="D640" s="17" t="n">
        <x:v>688</x:v>
      </x:c>
      <x:c r="E640" s="17" t="n">
        <x:v>1282</x:v>
      </x:c>
      <x:c r="F640" s="18" t="n">
        <x:v>10035.64</x:v>
      </x:c>
    </x:row>
    <x:row r="641">
      <x:c r="A641" s="14" t="str">
        <x:v>站点</x:v>
      </x:c>
      <x:c r="B641" s="15" t="str">
        <x:v>越南</x:v>
      </x:c>
      <x:c r="C641" s="16" t="n">
        <x:v>46198</x:v>
      </x:c>
      <x:c r="D641" s="17" t="n">
        <x:v>668</x:v>
      </x:c>
      <x:c r="E641" s="17" t="n">
        <x:v>1214</x:v>
      </x:c>
      <x:c r="F641" s="18" t="n">
        <x:v>9991.21</x:v>
      </x:c>
    </x:row>
    <x:row r="642">
      <x:c r="A642" s="14" t="str">
        <x:v>站点</x:v>
      </x:c>
      <x:c r="B642" s="15" t="str">
        <x:v>越南</x:v>
      </x:c>
      <x:c r="C642" s="16" t="n">
        <x:v>46199</x:v>
      </x:c>
      <x:c r="D642" s="17" t="n">
        <x:v>700</x:v>
      </x:c>
      <x:c r="E642" s="17" t="n">
        <x:v>1271</x:v>
      </x:c>
      <x:c r="F642" s="18" t="n">
        <x:v>10248.66</x:v>
      </x:c>
    </x:row>
    <x:row r="643">
      <x:c r="A643" s="14" t="str">
        <x:v>站点</x:v>
      </x:c>
      <x:c r="B643" s="15" t="str">
        <x:v>越南</x:v>
      </x:c>
      <x:c r="C643" s="16" t="n">
        <x:v>46200</x:v>
      </x:c>
      <x:c r="D643" s="17" t="n">
        <x:v>618</x:v>
      </x:c>
      <x:c r="E643" s="17" t="n">
        <x:v>1150</x:v>
      </x:c>
      <x:c r="F643" s="18" t="n">
        <x:v>8856.58</x:v>
      </x:c>
    </x:row>
    <x:row r="644">
      <x:c r="A644" s="14" t="str">
        <x:v>站点</x:v>
      </x:c>
      <x:c r="B644" s="15" t="str">
        <x:v>越南</x:v>
      </x:c>
      <x:c r="C644" s="16" t="n">
        <x:v>46201</x:v>
      </x:c>
      <x:c r="D644" s="17" t="n">
        <x:v>547</x:v>
      </x:c>
      <x:c r="E644" s="17" t="n">
        <x:v>1026</x:v>
      </x:c>
      <x:c r="F644" s="18" t="n">
        <x:v>8324.57</x:v>
      </x:c>
    </x:row>
    <x:row r="645">
      <x:c r="A645" s="14" t="str">
        <x:v>站点</x:v>
      </x:c>
      <x:c r="B645" s="15" t="str">
        <x:v>越南</x:v>
      </x:c>
      <x:c r="C645" s="16" t="n">
        <x:v>46202</x:v>
      </x:c>
      <x:c r="D645" s="17" t="n">
        <x:v>520</x:v>
      </x:c>
      <x:c r="E645" s="17" t="n">
        <x:v>977</x:v>
      </x:c>
      <x:c r="F645" s="18" t="n">
        <x:v>7404.7</x:v>
      </x:c>
    </x:row>
    <x:row r="646">
      <x:c r="A646" s="14" t="str">
        <x:v>站点</x:v>
      </x:c>
      <x:c r="B646" s="15" t="str">
        <x:v>越南</x:v>
      </x:c>
      <x:c r="C646" s="16" t="n">
        <x:v>46203</x:v>
      </x:c>
      <x:c r="D646" s="17" t="n">
        <x:v>648</x:v>
      </x:c>
      <x:c r="E646" s="17" t="n">
        <x:v>1249</x:v>
      </x:c>
      <x:c r="F646" s="18" t="n">
        <x:v>9613.39</x:v>
      </x:c>
    </x:row>
    <x:row r="647">
      <x:c r="A647" s="14" t="str">
        <x:v>站点</x:v>
      </x:c>
      <x:c r="B647" s="15" t="str">
        <x:v>越南</x:v>
      </x:c>
      <x:c r="C647" s="16" t="n">
        <x:v>46204</x:v>
      </x:c>
      <x:c r="D647" s="17" t="n">
        <x:v>564</x:v>
      </x:c>
      <x:c r="E647" s="17" t="n">
        <x:v>1007</x:v>
      </x:c>
      <x:c r="F647" s="18" t="n">
        <x:v>7976.85</x:v>
      </x:c>
    </x:row>
    <x:row r="648">
      <x:c r="A648" s="14" t="str">
        <x:v>站点</x:v>
      </x:c>
      <x:c r="B648" s="15" t="str">
        <x:v>越南</x:v>
      </x:c>
      <x:c r="C648" s="16" t="n">
        <x:v>46205</x:v>
      </x:c>
      <x:c r="D648" s="17" t="n">
        <x:v>502</x:v>
      </x:c>
      <x:c r="E648" s="17" t="n">
        <x:v>944</x:v>
      </x:c>
      <x:c r="F648" s="18" t="n">
        <x:v>7802.41</x:v>
      </x:c>
    </x:row>
    <x:row r="649">
      <x:c r="A649" s="14" t="str">
        <x:v>站点</x:v>
      </x:c>
      <x:c r="B649" s="15" t="str">
        <x:v>越南</x:v>
      </x:c>
      <x:c r="C649" s="16" t="n">
        <x:v>46206</x:v>
      </x:c>
      <x:c r="D649" s="17" t="n">
        <x:v>520</x:v>
      </x:c>
      <x:c r="E649" s="17" t="n">
        <x:v>935</x:v>
      </x:c>
      <x:c r="F649" s="18" t="n">
        <x:v>7707.22</x:v>
      </x:c>
    </x:row>
    <x:row r="650">
      <x:c r="A650" s="14" t="str">
        <x:v>站点</x:v>
      </x:c>
      <x:c r="B650" s="15" t="str">
        <x:v>越南</x:v>
      </x:c>
      <x:c r="C650" s="16" t="n">
        <x:v>46207</x:v>
      </x:c>
      <x:c r="D650" s="17" t="n">
        <x:v>451</x:v>
      </x:c>
      <x:c r="E650" s="17" t="n">
        <x:v>939</x:v>
      </x:c>
      <x:c r="F650" s="18" t="n">
        <x:v>6629.12</x:v>
      </x:c>
    </x:row>
    <x:row r="651">
      <x:c r="A651" s="14" t="str">
        <x:v>站点</x:v>
      </x:c>
      <x:c r="B651" s="15" t="str">
        <x:v>越南</x:v>
      </x:c>
      <x:c r="C651" s="16" t="n">
        <x:v>46208</x:v>
      </x:c>
      <x:c r="D651" s="17" t="n">
        <x:v>422</x:v>
      </x:c>
      <x:c r="E651" s="17" t="n">
        <x:v>826</x:v>
      </x:c>
      <x:c r="F651" s="18" t="n">
        <x:v>6172.58</x:v>
      </x:c>
    </x:row>
    <x:row r="652">
      <x:c r="A652" s="14" t="str">
        <x:v>站点</x:v>
      </x:c>
      <x:c r="B652" s="15" t="str">
        <x:v>越南</x:v>
      </x:c>
      <x:c r="C652" s="16" t="n">
        <x:v>46209</x:v>
      </x:c>
      <x:c r="D652" s="17" t="n">
        <x:v>465</x:v>
      </x:c>
      <x:c r="E652" s="17" t="n">
        <x:v>939</x:v>
      </x:c>
      <x:c r="F652" s="18" t="n">
        <x:v>7025.13</x:v>
      </x:c>
    </x:row>
    <x:row r="653">
      <x:c r="A653" s="14" t="str">
        <x:v>站点</x:v>
      </x:c>
      <x:c r="B653" s="15" t="str">
        <x:v>越南</x:v>
      </x:c>
      <x:c r="C653" s="16" t="n">
        <x:v>46210</x:v>
      </x:c>
      <x:c r="D653" s="17" t="n">
        <x:v>415</x:v>
      </x:c>
      <x:c r="E653" s="17" t="n">
        <x:v>958</x:v>
      </x:c>
      <x:c r="F653" s="18" t="n">
        <x:v>6626.6</x:v>
      </x:c>
    </x:row>
    <x:row r="654">
      <x:c r="A654" s="14" t="str">
        <x:v>站点</x:v>
      </x:c>
      <x:c r="B654" s="15" t="str">
        <x:v>越南</x:v>
      </x:c>
      <x:c r="C654" s="16" t="n">
        <x:v>46211</x:v>
      </x:c>
      <x:c r="D654" s="17" t="n">
        <x:v>524</x:v>
      </x:c>
      <x:c r="E654" s="17" t="n">
        <x:v>1065</x:v>
      </x:c>
      <x:c r="F654" s="18" t="n">
        <x:v>7870.37</x:v>
      </x:c>
    </x:row>
    <x:row r="655">
      <x:c r="A655" s="14" t="str">
        <x:v>站点</x:v>
      </x:c>
      <x:c r="B655" s="15" t="str">
        <x:v>越南</x:v>
      </x:c>
      <x:c r="C655" s="16" t="n">
        <x:v>46212</x:v>
      </x:c>
      <x:c r="D655" s="17" t="n">
        <x:v>370</x:v>
      </x:c>
      <x:c r="E655" s="17" t="n">
        <x:v>821</x:v>
      </x:c>
      <x:c r="F655" s="18" t="n">
        <x:v>6808.9</x:v>
      </x:c>
    </x:row>
    <x:row r="656">
      <x:c r="A656" s="14" t="str">
        <x:v>站点</x:v>
      </x:c>
      <x:c r="B656" s="15" t="str">
        <x:v>越南</x:v>
      </x:c>
      <x:c r="C656" s="16" t="n">
        <x:v>46213</x:v>
      </x:c>
      <x:c r="D656" s="17" t="n">
        <x:v>390</x:v>
      </x:c>
      <x:c r="E656" s="17" t="n">
        <x:v>739</x:v>
      </x:c>
      <x:c r="F656" s="18" t="n">
        <x:v>6230.17</x:v>
      </x:c>
    </x:row>
    <x:row r="657">
      <x:c r="A657" s="14" t="str">
        <x:v>站点</x:v>
      </x:c>
      <x:c r="B657" s="15" t="str">
        <x:v>越南</x:v>
      </x:c>
      <x:c r="C657" s="16" t="n">
        <x:v>46214</x:v>
      </x:c>
      <x:c r="D657" s="17" t="n">
        <x:v>395</x:v>
      </x:c>
      <x:c r="E657" s="17" t="n">
        <x:v>812</x:v>
      </x:c>
      <x:c r="F657" s="18" t="n">
        <x:v>6680.88</x:v>
      </x:c>
    </x:row>
    <x:row r="658">
      <x:c r="A658" s="14" t="str">
        <x:v>站点</x:v>
      </x:c>
      <x:c r="B658" s="15" t="str">
        <x:v>越南</x:v>
      </x:c>
      <x:c r="C658" s="16" t="n">
        <x:v>46215</x:v>
      </x:c>
      <x:c r="D658" s="17" t="n">
        <x:v>337</x:v>
      </x:c>
      <x:c r="E658" s="17" t="n">
        <x:v>603</x:v>
      </x:c>
      <x:c r="F658" s="18" t="n">
        <x:v>5284.99</x:v>
      </x:c>
    </x:row>
    <x:row r="659">
      <x:c r="A659" s="14" t="str">
        <x:v>站点</x:v>
      </x:c>
      <x:c r="B659" s="15" t="str">
        <x:v>越南</x:v>
      </x:c>
      <x:c r="C659" s="16" t="n">
        <x:v>46216</x:v>
      </x:c>
      <x:c r="D659" s="17" t="n">
        <x:v>361</x:v>
      </x:c>
      <x:c r="E659" s="17" t="n">
        <x:v>678</x:v>
      </x:c>
      <x:c r="F659" s="18" t="n">
        <x:v>6000.3</x:v>
      </x:c>
    </x:row>
    <x:row r="660">
      <x:c r="A660" s="14" t="str">
        <x:v>站点</x:v>
      </x:c>
      <x:c r="B660" s="15" t="str">
        <x:v>越南</x:v>
      </x:c>
      <x:c r="C660" s="16" t="n">
        <x:v>46217</x:v>
      </x:c>
      <x:c r="D660" s="17" t="n">
        <x:v>370</x:v>
      </x:c>
      <x:c r="E660" s="17" t="n">
        <x:v>705</x:v>
      </x:c>
      <x:c r="F660" s="18" t="n">
        <x:v>5404.15</x:v>
      </x:c>
    </x:row>
    <x:row r="661">
      <x:c r="A661" s="14" t="str">
        <x:v>站点</x:v>
      </x:c>
      <x:c r="B661" s="15" t="str">
        <x:v>越南</x:v>
      </x:c>
      <x:c r="C661" s="16" t="n">
        <x:v>46218</x:v>
      </x:c>
      <x:c r="D661" s="17" t="n">
        <x:v>360</x:v>
      </x:c>
      <x:c r="E661" s="17" t="n">
        <x:v>657</x:v>
      </x:c>
      <x:c r="F661" s="18" t="n">
        <x:v>5349.4</x:v>
      </x:c>
    </x:row>
    <x:row r="662">
      <x:c r="A662" s="14" t="str">
        <x:v>站点</x:v>
      </x:c>
      <x:c r="B662" s="15" t="str">
        <x:v>越南</x:v>
      </x:c>
      <x:c r="C662" s="16" t="n">
        <x:v>46219</x:v>
      </x:c>
      <x:c r="D662" s="17" t="n">
        <x:v>402</x:v>
      </x:c>
      <x:c r="E662" s="17" t="n">
        <x:v>774</x:v>
      </x:c>
      <x:c r="F662" s="18" t="n">
        <x:v>6234.29</x:v>
      </x:c>
    </x:row>
    <x:row r="663">
      <x:c r="A663" s="14" t="str">
        <x:v>站点</x:v>
      </x:c>
      <x:c r="B663" s="15" t="str">
        <x:v>越南</x:v>
      </x:c>
      <x:c r="C663" s="16" t="n">
        <x:v>46220</x:v>
      </x:c>
      <x:c r="D663" s="17" t="n">
        <x:v>389</x:v>
      </x:c>
      <x:c r="E663" s="17" t="n">
        <x:v>726</x:v>
      </x:c>
      <x:c r="F663" s="18" t="n">
        <x:v>5846.39</x:v>
      </x:c>
    </x:row>
    <x:row r="664">
      <x:c r="A664" s="14" t="str">
        <x:v>站点</x:v>
      </x:c>
      <x:c r="B664" s="15" t="str">
        <x:v>越南</x:v>
      </x:c>
      <x:c r="C664" s="16" t="n">
        <x:v>46221</x:v>
      </x:c>
      <x:c r="D664" s="17" t="n">
        <x:v>256</x:v>
      </x:c>
      <x:c r="E664" s="17" t="n">
        <x:v>476</x:v>
      </x:c>
      <x:c r="F664" s="18" t="n">
        <x:v>3865.56</x:v>
      </x:c>
    </x:row>
    <x:row r="665">
      <x:c r="A665" s="14" t="str">
        <x:v>站点</x:v>
      </x:c>
      <x:c r="B665" s="15" t="str">
        <x:v>越南</x:v>
      </x:c>
      <x:c r="C665" s="16" t="n">
        <x:v>46222</x:v>
      </x:c>
      <x:c r="D665" s="17" t="n">
        <x:v>366</x:v>
      </x:c>
      <x:c r="E665" s="17" t="n">
        <x:v>681</x:v>
      </x:c>
      <x:c r="F665" s="18" t="n">
        <x:v>5840.22</x:v>
      </x:c>
    </x:row>
    <x:row r="666">
      <x:c r="A666" s="14" t="str">
        <x:v>站点</x:v>
      </x:c>
      <x:c r="B666" s="15" t="str">
        <x:v>越南</x:v>
      </x:c>
      <x:c r="C666" s="16" t="n">
        <x:v>46223</x:v>
      </x:c>
      <x:c r="D666" s="17" t="n">
        <x:v>338</x:v>
      </x:c>
      <x:c r="E666" s="17" t="n">
        <x:v>637</x:v>
      </x:c>
      <x:c r="F666" s="18" t="n">
        <x:v>5065.9</x:v>
      </x:c>
    </x:row>
    <x:row r="667">
      <x:c r="A667" s="14" t="str">
        <x:v>站点</x:v>
      </x:c>
      <x:c r="B667" s="15" t="str">
        <x:v>越南</x:v>
      </x:c>
      <x:c r="C667" s="16" t="n">
        <x:v>46224</x:v>
      </x:c>
      <x:c r="D667" s="17" t="n">
        <x:v>583</x:v>
      </x:c>
      <x:c r="E667" s="17" t="n">
        <x:v>1094</x:v>
      </x:c>
      <x:c r="F667" s="18" t="n">
        <x:v>9376.68</x:v>
      </x:c>
    </x:row>
    <x:row r="668">
      <x:c r="A668" s="14" t="str">
        <x:v>站点</x:v>
      </x:c>
      <x:c r="B668" s="15" t="str">
        <x:v>越南</x:v>
      </x:c>
      <x:c r="C668" s="16" t="n">
        <x:v>46225</x:v>
      </x:c>
      <x:c r="D668" s="17" t="n">
        <x:v>417</x:v>
      </x:c>
      <x:c r="E668" s="17" t="n">
        <x:v>792</x:v>
      </x:c>
      <x:c r="F668" s="18" t="n">
        <x:v>6508.92</x:v>
      </x:c>
    </x:row>
    <x:row r="669">
      <x:c r="A669" s="14" t="str">
        <x:v>站点</x:v>
      </x:c>
      <x:c r="B669" s="15" t="str">
        <x:v>越南</x:v>
      </x:c>
      <x:c r="C669" s="16" t="n">
        <x:v>46226</x:v>
      </x:c>
      <x:c r="D669" s="17" t="n">
        <x:v>436</x:v>
      </x:c>
      <x:c r="E669" s="17" t="n">
        <x:v>824</x:v>
      </x:c>
      <x:c r="F669" s="18" t="n">
        <x:v>6502.4</x:v>
      </x:c>
    </x:row>
    <x:row r="670">
      <x:c r="A670" s="14" t="str">
        <x:v>站点</x:v>
      </x:c>
      <x:c r="B670" s="15" t="str">
        <x:v>越南</x:v>
      </x:c>
      <x:c r="C670" s="16" t="n">
        <x:v>46227</x:v>
      </x:c>
      <x:c r="D670" s="17" t="n">
        <x:v>368</x:v>
      </x:c>
      <x:c r="E670" s="17" t="n">
        <x:v>645</x:v>
      </x:c>
      <x:c r="F670" s="18" t="n">
        <x:v>5350.27</x:v>
      </x:c>
    </x:row>
    <x:row r="671">
      <x:c r="A671" s="14" t="str">
        <x:v>站点</x:v>
      </x:c>
      <x:c r="B671" s="15" t="str">
        <x:v>越南</x:v>
      </x:c>
      <x:c r="C671" s="16" t="n">
        <x:v>46228</x:v>
      </x:c>
      <x:c r="D671" s="17" t="n">
        <x:v>288</x:v>
      </x:c>
      <x:c r="E671" s="17" t="n">
        <x:v>542</x:v>
      </x:c>
      <x:c r="F671" s="18" t="n">
        <x:v>4420.41</x:v>
      </x:c>
    </x:row>
    <x:row r="672">
      <x:c r="A672" s="14" t="str">
        <x:v>站点</x:v>
      </x:c>
      <x:c r="B672" s="15" t="str">
        <x:v>越南</x:v>
      </x:c>
      <x:c r="C672" s="16" t="n">
        <x:v>46229</x:v>
      </x:c>
      <x:c r="D672" s="17" t="n">
        <x:v>467</x:v>
      </x:c>
      <x:c r="E672" s="17" t="n">
        <x:v>836</x:v>
      </x:c>
      <x:c r="F672" s="18" t="n">
        <x:v>6871.41</x:v>
      </x:c>
    </x:row>
    <x:row r="673">
      <x:c r="A673" s="14" t="str">
        <x:v>站点</x:v>
      </x:c>
      <x:c r="B673" s="15" t="str">
        <x:v>越南</x:v>
      </x:c>
      <x:c r="C673" s="16" t="n">
        <x:v>46230</x:v>
      </x:c>
      <x:c r="D673" s="17" t="n">
        <x:v>381</x:v>
      </x:c>
      <x:c r="E673" s="17" t="n">
        <x:v>699</x:v>
      </x:c>
      <x:c r="F673" s="18" t="n">
        <x:v>5710.91</x:v>
      </x:c>
    </x:row>
    <x:row r="674">
      <x:c r="A674" s="14" t="str">
        <x:v>站点</x:v>
      </x:c>
      <x:c r="B674" s="15" t="str">
        <x:v>越南</x:v>
      </x:c>
      <x:c r="C674" s="16" t="n">
        <x:v>46231</x:v>
      </x:c>
      <x:c r="D674" s="17" t="n">
        <x:v>407</x:v>
      </x:c>
      <x:c r="E674" s="17" t="n">
        <x:v>755</x:v>
      </x:c>
      <x:c r="F674" s="18" t="n">
        <x:v>6376.23</x:v>
      </x:c>
    </x:row>
    <x:row r="675">
      <x:c r="A675" s="14" t="str">
        <x:v>站点</x:v>
      </x:c>
      <x:c r="B675" s="15" t="str">
        <x:v>越南</x:v>
      </x:c>
      <x:c r="C675" s="16" t="n">
        <x:v>46232</x:v>
      </x:c>
      <x:c r="D675" s="17" t="n">
        <x:v>326</x:v>
      </x:c>
      <x:c r="E675" s="17" t="n">
        <x:v>549</x:v>
      </x:c>
      <x:c r="F675" s="18" t="n">
        <x:v>5066.85</x:v>
      </x:c>
    </x:row>
    <x:row r="676">
      <x:c r="A676" s="14" t="str">
        <x:v>站点</x:v>
      </x:c>
      <x:c r="B676" s="15" t="str">
        <x:v>越南</x:v>
      </x:c>
      <x:c r="C676" s="16" t="n">
        <x:v>46233</x:v>
      </x:c>
      <x:c r="D676" s="17" t="n">
        <x:v>374</x:v>
      </x:c>
      <x:c r="E676" s="17" t="n">
        <x:v>704</x:v>
      </x:c>
      <x:c r="F676" s="18" t="n">
        <x:v>5814.8</x:v>
      </x:c>
    </x:row>
    <x:row r="677">
      <x:c r="A677" s="14" t="str">
        <x:v>站点</x:v>
      </x:c>
      <x:c r="B677" s="15" t="str">
        <x:v>越南</x:v>
      </x:c>
      <x:c r="C677" s="16" t="n">
        <x:v>46234</x:v>
      </x:c>
      <x:c r="D677" s="17" t="n">
        <x:v>352</x:v>
      </x:c>
      <x:c r="E677" s="17" t="n">
        <x:v>656</x:v>
      </x:c>
      <x:c r="F677" s="18" t="n">
        <x:v>5365.9</x:v>
      </x:c>
    </x:row>
    <x:row r="678">
      <x:c r="A678" s="14" t="str">
        <x:v>站点</x:v>
      </x:c>
      <x:c r="B678" s="15" t="str">
        <x:v>越南</x:v>
      </x:c>
      <x:c r="C678" s="16" t="n">
        <x:v>46235</x:v>
      </x:c>
      <x:c r="D678" s="17" t="n">
        <x:v>369</x:v>
      </x:c>
      <x:c r="E678" s="17" t="n">
        <x:v>670</x:v>
      </x:c>
      <x:c r="F678" s="18" t="n">
        <x:v>5486.84</x:v>
      </x:c>
    </x:row>
    <x:row r="679">
      <x:c r="A679" s="14" t="str">
        <x:v>站点</x:v>
      </x:c>
      <x:c r="B679" s="15" t="str">
        <x:v>越南</x:v>
      </x:c>
      <x:c r="C679" s="16" t="n">
        <x:v>46236</x:v>
      </x:c>
      <x:c r="D679" s="17" t="n">
        <x:v>365</x:v>
      </x:c>
      <x:c r="E679" s="17" t="n">
        <x:v>646</x:v>
      </x:c>
      <x:c r="F679" s="18" t="n">
        <x:v>5236.27</x:v>
      </x:c>
    </x:row>
    <x:row r="680">
      <x:c r="A680" s="14" t="str">
        <x:v>站点</x:v>
      </x:c>
      <x:c r="B680" s="15" t="str">
        <x:v>越南</x:v>
      </x:c>
      <x:c r="C680" s="16" t="n">
        <x:v>46237</x:v>
      </x:c>
      <x:c r="D680" s="17" t="n">
        <x:v>506</x:v>
      </x:c>
      <x:c r="E680" s="17" t="n">
        <x:v>876</x:v>
      </x:c>
      <x:c r="F680" s="18" t="n">
        <x:v>7957.23</x:v>
      </x:c>
    </x:row>
    <x:row r="681">
      <x:c r="A681" s="14" t="str">
        <x:v>站点</x:v>
      </x:c>
      <x:c r="B681" s="15" t="str">
        <x:v>越南</x:v>
      </x:c>
      <x:c r="C681" s="16" t="n">
        <x:v>46238</x:v>
      </x:c>
      <x:c r="D681" s="17" t="n">
        <x:v>481</x:v>
      </x:c>
      <x:c r="E681" s="17" t="n">
        <x:v>821</x:v>
      </x:c>
      <x:c r="F681" s="18" t="n">
        <x:v>6583.84</x:v>
      </x:c>
    </x:row>
    <x:row r="682">
      <x:c r="A682" s="14" t="str">
        <x:v>站点</x:v>
      </x:c>
      <x:c r="B682" s="15" t="str">
        <x:v>越南</x:v>
      </x:c>
      <x:c r="C682" s="16" t="n">
        <x:v>46239</x:v>
      </x:c>
      <x:c r="D682" s="17" t="n">
        <x:v>379</x:v>
      </x:c>
      <x:c r="E682" s="17" t="n">
        <x:v>698</x:v>
      </x:c>
      <x:c r="F682" s="18" t="n">
        <x:v>5713.22</x:v>
      </x:c>
    </x:row>
    <x:row r="683">
      <x:c r="A683" s="14" t="str">
        <x:v>站点</x:v>
      </x:c>
      <x:c r="B683" s="15" t="str">
        <x:v>越南</x:v>
      </x:c>
      <x:c r="C683" s="16" t="n">
        <x:v>46240</x:v>
      </x:c>
      <x:c r="D683" s="17" t="n">
        <x:v>388</x:v>
      </x:c>
      <x:c r="E683" s="17" t="n">
        <x:v>691</x:v>
      </x:c>
      <x:c r="F683" s="18" t="n">
        <x:v>5881.15</x:v>
      </x:c>
    </x:row>
    <x:row r="684">
      <x:c r="A684" s="14" t="str">
        <x:v>站点</x:v>
      </x:c>
      <x:c r="B684" s="15" t="str">
        <x:v>越南</x:v>
      </x:c>
      <x:c r="C684" s="16" t="n">
        <x:v>46241</x:v>
      </x:c>
      <x:c r="D684" s="17" t="n">
        <x:v>386</x:v>
      </x:c>
      <x:c r="E684" s="17" t="n">
        <x:v>634</x:v>
      </x:c>
      <x:c r="F684" s="18" t="n">
        <x:v>5353</x:v>
      </x:c>
    </x:row>
    <x:row r="685">
      <x:c r="A685" s="14" t="str">
        <x:v>站点</x:v>
      </x:c>
      <x:c r="B685" s="15" t="str">
        <x:v>越南</x:v>
      </x:c>
      <x:c r="C685" s="16" t="n">
        <x:v>46242</x:v>
      </x:c>
      <x:c r="D685" s="17" t="n">
        <x:v>438</x:v>
      </x:c>
      <x:c r="E685" s="17" t="n">
        <x:v>908</x:v>
      </x:c>
      <x:c r="F685" s="18" t="n">
        <x:v>7320.95</x:v>
      </x:c>
    </x:row>
    <x:row r="686">
      <x:c r="A686" s="14" t="str">
        <x:v>站点</x:v>
      </x:c>
      <x:c r="B686" s="15" t="str">
        <x:v>越南</x:v>
      </x:c>
      <x:c r="C686" s="16" t="n">
        <x:v>46243</x:v>
      </x:c>
      <x:c r="D686" s="17" t="n">
        <x:v>510</x:v>
      </x:c>
      <x:c r="E686" s="17" t="n">
        <x:v>873</x:v>
      </x:c>
      <x:c r="F686" s="18" t="n">
        <x:v>7930.71</x:v>
      </x:c>
    </x:row>
    <x:row r="687">
      <x:c r="A687" s="14" t="str">
        <x:v>站点</x:v>
      </x:c>
      <x:c r="B687" s="15" t="str">
        <x:v>越南</x:v>
      </x:c>
      <x:c r="C687" s="16" t="n">
        <x:v>46244</x:v>
      </x:c>
      <x:c r="D687" s="17" t="n">
        <x:v>575</x:v>
      </x:c>
      <x:c r="E687" s="17" t="n">
        <x:v>941</x:v>
      </x:c>
      <x:c r="F687" s="18" t="n">
        <x:v>8749.39</x:v>
      </x:c>
    </x:row>
    <x:row r="688">
      <x:c r="A688" s="14" t="str">
        <x:v>站点</x:v>
      </x:c>
      <x:c r="B688" s="15" t="str">
        <x:v>越南</x:v>
      </x:c>
      <x:c r="C688" s="16" t="n">
        <x:v>46245</x:v>
      </x:c>
      <x:c r="D688" s="17" t="n">
        <x:v>504</x:v>
      </x:c>
      <x:c r="E688" s="17" t="n">
        <x:v>838</x:v>
      </x:c>
      <x:c r="F688" s="18" t="n">
        <x:v>7904.18</x:v>
      </x:c>
    </x:row>
    <x:row r="689">
      <x:c r="A689" s="14" t="str">
        <x:v>站点</x:v>
      </x:c>
      <x:c r="B689" s="15" t="str">
        <x:v>越南</x:v>
      </x:c>
      <x:c r="C689" s="16" t="n">
        <x:v>46246</x:v>
      </x:c>
      <x:c r="D689" s="17" t="n">
        <x:v>447</x:v>
      </x:c>
      <x:c r="E689" s="17" t="n">
        <x:v>691</x:v>
      </x:c>
      <x:c r="F689" s="18" t="n">
        <x:v>6897.78</x:v>
      </x:c>
    </x:row>
    <x:row r="690">
      <x:c r="A690" s="14" t="str">
        <x:v>站点</x:v>
      </x:c>
      <x:c r="B690" s="15" t="str">
        <x:v>越南</x:v>
      </x:c>
      <x:c r="C690" s="16" t="n">
        <x:v>46247</x:v>
      </x:c>
      <x:c r="D690" s="17" t="n">
        <x:v>553</x:v>
      </x:c>
      <x:c r="E690" s="17" t="n">
        <x:v>911</x:v>
      </x:c>
      <x:c r="F690" s="18" t="n">
        <x:v>8638.38</x:v>
      </x:c>
    </x:row>
    <x:row r="691">
      <x:c r="A691" s="14" t="str">
        <x:v>站点</x:v>
      </x:c>
      <x:c r="B691" s="15" t="str">
        <x:v>越南</x:v>
      </x:c>
      <x:c r="C691" s="16" t="n">
        <x:v>46248</x:v>
      </x:c>
      <x:c r="D691" s="17" t="n">
        <x:v>477</x:v>
      </x:c>
      <x:c r="E691" s="17" t="n">
        <x:v>808</x:v>
      </x:c>
      <x:c r="F691" s="18" t="n">
        <x:v>7420.35</x:v>
      </x:c>
    </x:row>
    <x:row r="692">
      <x:c r="A692" s="14" t="str">
        <x:v>站点</x:v>
      </x:c>
      <x:c r="B692" s="15" t="str">
        <x:v>越南</x:v>
      </x:c>
      <x:c r="C692" s="16" t="n">
        <x:v>46249</x:v>
      </x:c>
      <x:c r="D692" s="17" t="n">
        <x:v>425</x:v>
      </x:c>
      <x:c r="E692" s="17" t="n">
        <x:v>740</x:v>
      </x:c>
      <x:c r="F692" s="18" t="n">
        <x:v>7148.46</x:v>
      </x:c>
    </x:row>
    <x:row r="693">
      <x:c r="A693" s="14" t="str">
        <x:v>站点</x:v>
      </x:c>
      <x:c r="B693" s="15" t="str">
        <x:v>越南</x:v>
      </x:c>
      <x:c r="C693" s="16" t="n">
        <x:v>46250</x:v>
      </x:c>
      <x:c r="D693" s="17" t="n">
        <x:v>516</x:v>
      </x:c>
      <x:c r="E693" s="17" t="n">
        <x:v>923</x:v>
      </x:c>
      <x:c r="F693" s="18" t="n">
        <x:v>8857.58</x:v>
      </x:c>
    </x:row>
    <x:row r="694">
      <x:c r="A694" s="14" t="str">
        <x:v>站点</x:v>
      </x:c>
      <x:c r="B694" s="15" t="str">
        <x:v>越南</x:v>
      </x:c>
      <x:c r="C694" s="16" t="n">
        <x:v>46251</x:v>
      </x:c>
      <x:c r="D694" s="17" t="n">
        <x:v>578</x:v>
      </x:c>
      <x:c r="E694" s="17" t="n">
        <x:v>901</x:v>
      </x:c>
      <x:c r="F694" s="18" t="n">
        <x:v>8940.15</x:v>
      </x:c>
    </x:row>
    <x:row r="695">
      <x:c r="A695" s="14" t="str">
        <x:v>站点</x:v>
      </x:c>
      <x:c r="B695" s="15" t="str">
        <x:v>越南</x:v>
      </x:c>
      <x:c r="C695" s="16" t="n">
        <x:v>46252</x:v>
      </x:c>
      <x:c r="D695" s="17" t="n">
        <x:v>324</x:v>
      </x:c>
      <x:c r="E695" s="17" t="n">
        <x:v>502</x:v>
      </x:c>
      <x:c r="F695" s="18" t="n">
        <x:v>4746.42</x:v>
      </x:c>
    </x:row>
    <x:row r="696">
      <x:c r="A696" s="14" t="str">
        <x:v>站点</x:v>
      </x:c>
      <x:c r="B696" s="15" t="str">
        <x:v>越南</x:v>
      </x:c>
      <x:c r="C696" s="16" t="n">
        <x:v>46253</x:v>
      </x:c>
      <x:c r="D696" s="17" t="n">
        <x:v>535</x:v>
      </x:c>
      <x:c r="E696" s="17" t="n">
        <x:v>858</x:v>
      </x:c>
      <x:c r="F696" s="18" t="n">
        <x:v>8372.24</x:v>
      </x:c>
    </x:row>
    <x:row r="697">
      <x:c r="A697" s="14" t="str">
        <x:v>站点</x:v>
      </x:c>
      <x:c r="B697" s="15" t="str">
        <x:v>越南</x:v>
      </x:c>
      <x:c r="C697" s="16" t="n">
        <x:v>46254</x:v>
      </x:c>
      <x:c r="D697" s="17" t="n">
        <x:v>377</x:v>
      </x:c>
      <x:c r="E697" s="17" t="n">
        <x:v>574</x:v>
      </x:c>
      <x:c r="F697" s="18" t="n">
        <x:v>5542.91</x:v>
      </x:c>
    </x:row>
    <x:row r="698">
      <x:c r="A698" s="14" t="str">
        <x:v>站点</x:v>
      </x:c>
      <x:c r="B698" s="15" t="str">
        <x:v>马来西亚</x:v>
      </x:c>
      <x:c r="C698" s="16" t="n">
        <x:v>46023</x:v>
      </x:c>
      <x:c r="D698" s="17" t="n">
        <x:v>36</x:v>
      </x:c>
      <x:c r="E698" s="17" t="n">
        <x:v>87</x:v>
      </x:c>
      <x:c r="F698" s="18" t="n">
        <x:v>612.27</x:v>
      </x:c>
    </x:row>
    <x:row r="699">
      <x:c r="A699" s="14" t="str">
        <x:v>站点</x:v>
      </x:c>
      <x:c r="B699" s="15" t="str">
        <x:v>马来西亚</x:v>
      </x:c>
      <x:c r="C699" s="16" t="n">
        <x:v>46024</x:v>
      </x:c>
      <x:c r="D699" s="17" t="n">
        <x:v>56</x:v>
      </x:c>
      <x:c r="E699" s="17" t="n">
        <x:v>156</x:v>
      </x:c>
      <x:c r="F699" s="18" t="n">
        <x:v>1238.95</x:v>
      </x:c>
    </x:row>
    <x:row r="700">
      <x:c r="A700" s="14" t="str">
        <x:v>站点</x:v>
      </x:c>
      <x:c r="B700" s="15" t="str">
        <x:v>马来西亚</x:v>
      </x:c>
      <x:c r="C700" s="16" t="n">
        <x:v>46025</x:v>
      </x:c>
      <x:c r="D700" s="17" t="n">
        <x:v>34</x:v>
      </x:c>
      <x:c r="E700" s="17" t="n">
        <x:v>92</x:v>
      </x:c>
      <x:c r="F700" s="18" t="n">
        <x:v>753.96</x:v>
      </x:c>
    </x:row>
    <x:row r="701">
      <x:c r="A701" s="14" t="str">
        <x:v>站点</x:v>
      </x:c>
      <x:c r="B701" s="15" t="str">
        <x:v>马来西亚</x:v>
      </x:c>
      <x:c r="C701" s="16" t="n">
        <x:v>46026</x:v>
      </x:c>
      <x:c r="D701" s="17" t="n">
        <x:v>29</x:v>
      </x:c>
      <x:c r="E701" s="17" t="n">
        <x:v>77</x:v>
      </x:c>
      <x:c r="F701" s="18" t="n">
        <x:v>642.46</x:v>
      </x:c>
    </x:row>
    <x:row r="702">
      <x:c r="A702" s="14" t="str">
        <x:v>站点</x:v>
      </x:c>
      <x:c r="B702" s="15" t="str">
        <x:v>马来西亚</x:v>
      </x:c>
      <x:c r="C702" s="16" t="n">
        <x:v>46027</x:v>
      </x:c>
      <x:c r="D702" s="17" t="n">
        <x:v>62</x:v>
      </x:c>
      <x:c r="E702" s="17" t="n">
        <x:v>92</x:v>
      </x:c>
      <x:c r="F702" s="18" t="n">
        <x:v>255.57</x:v>
      </x:c>
    </x:row>
    <x:row r="703">
      <x:c r="A703" s="14" t="str">
        <x:v>站点</x:v>
      </x:c>
      <x:c r="B703" s="15" t="str">
        <x:v>马来西亚</x:v>
      </x:c>
      <x:c r="C703" s="16" t="n">
        <x:v>46028</x:v>
      </x:c>
      <x:c r="D703" s="17" t="n">
        <x:v>12</x:v>
      </x:c>
      <x:c r="E703" s="17" t="n">
        <x:v>26</x:v>
      </x:c>
      <x:c r="F703" s="18" t="n">
        <x:v>231.81</x:v>
      </x:c>
    </x:row>
    <x:row r="704">
      <x:c r="A704" s="14" t="str">
        <x:v>站点</x:v>
      </x:c>
      <x:c r="B704" s="15" t="str">
        <x:v>马来西亚</x:v>
      </x:c>
      <x:c r="C704" s="16" t="n">
        <x:v>46029</x:v>
      </x:c>
      <x:c r="D704" s="17" t="n">
        <x:v>24</x:v>
      </x:c>
      <x:c r="E704" s="17" t="n">
        <x:v>56</x:v>
      </x:c>
      <x:c r="F704" s="18" t="n">
        <x:v>387.2</x:v>
      </x:c>
    </x:row>
    <x:row r="705">
      <x:c r="A705" s="14" t="str">
        <x:v>站点</x:v>
      </x:c>
      <x:c r="B705" s="15" t="str">
        <x:v>马来西亚</x:v>
      </x:c>
      <x:c r="C705" s="16" t="n">
        <x:v>46030</x:v>
      </x:c>
      <x:c r="D705" s="17" t="n">
        <x:v>55</x:v>
      </x:c>
      <x:c r="E705" s="17" t="n">
        <x:v>126</x:v>
      </x:c>
      <x:c r="F705" s="18" t="n">
        <x:v>656</x:v>
      </x:c>
    </x:row>
    <x:row r="706">
      <x:c r="A706" s="14" t="str">
        <x:v>站点</x:v>
      </x:c>
      <x:c r="B706" s="15" t="str">
        <x:v>马来西亚</x:v>
      </x:c>
      <x:c r="C706" s="16" t="n">
        <x:v>46031</x:v>
      </x:c>
      <x:c r="D706" s="17" t="n">
        <x:v>26</x:v>
      </x:c>
      <x:c r="E706" s="17" t="n">
        <x:v>69</x:v>
      </x:c>
      <x:c r="F706" s="18" t="n">
        <x:v>332.37</x:v>
      </x:c>
    </x:row>
    <x:row r="707">
      <x:c r="A707" s="14" t="str">
        <x:v>站点</x:v>
      </x:c>
      <x:c r="B707" s="15" t="str">
        <x:v>马来西亚</x:v>
      </x:c>
      <x:c r="C707" s="16" t="n">
        <x:v>46032</x:v>
      </x:c>
      <x:c r="D707" s="17" t="n">
        <x:v>15</x:v>
      </x:c>
      <x:c r="E707" s="17" t="n">
        <x:v>31</x:v>
      </x:c>
      <x:c r="F707" s="18" t="n">
        <x:v>266.86</x:v>
      </x:c>
    </x:row>
    <x:row r="708">
      <x:c r="A708" s="14" t="str">
        <x:v>站点</x:v>
      </x:c>
      <x:c r="B708" s="15" t="str">
        <x:v>马来西亚</x:v>
      </x:c>
      <x:c r="C708" s="16" t="n">
        <x:v>46033</x:v>
      </x:c>
      <x:c r="D708" s="17" t="n">
        <x:v>2</x:v>
      </x:c>
      <x:c r="E708" s="17" t="n">
        <x:v>5</x:v>
      </x:c>
      <x:c r="F708" s="18" t="n">
        <x:v>47.06</x:v>
      </x:c>
    </x:row>
    <x:row r="709">
      <x:c r="A709" s="14" t="str">
        <x:v>站点</x:v>
      </x:c>
      <x:c r="B709" s="15" t="str">
        <x:v>马来西亚</x:v>
      </x:c>
      <x:c r="C709" s="16" t="n">
        <x:v>46034</x:v>
      </x:c>
      <x:c r="D709" s="17" t="n">
        <x:v>3</x:v>
      </x:c>
      <x:c r="E709" s="17" t="n">
        <x:v>10</x:v>
      </x:c>
      <x:c r="F709" s="18" t="n">
        <x:v>62.59</x:v>
      </x:c>
    </x:row>
    <x:row r="710">
      <x:c r="A710" s="14" t="str">
        <x:v>站点</x:v>
      </x:c>
      <x:c r="B710" s="15" t="str">
        <x:v>马来西亚</x:v>
      </x:c>
      <x:c r="C710" s="16" t="n">
        <x:v>46035</x:v>
      </x:c>
      <x:c r="D710" s="17" t="n">
        <x:v>45</x:v>
      </x:c>
      <x:c r="E710" s="17" t="n">
        <x:v>57</x:v>
      </x:c>
      <x:c r="F710" s="18" t="n">
        <x:v>116.72</x:v>
      </x:c>
    </x:row>
    <x:row r="711">
      <x:c r="A711" s="14" t="str">
        <x:v>站点</x:v>
      </x:c>
      <x:c r="B711" s="15" t="str">
        <x:v>马来西亚</x:v>
      </x:c>
      <x:c r="C711" s="16" t="n">
        <x:v>46036</x:v>
      </x:c>
      <x:c r="D711" s="17" t="n">
        <x:v>6</x:v>
      </x:c>
      <x:c r="E711" s="17" t="n">
        <x:v>12</x:v>
      </x:c>
      <x:c r="F711" s="18" t="n">
        <x:v>93.58</x:v>
      </x:c>
    </x:row>
    <x:row r="712">
      <x:c r="A712" s="14" t="str">
        <x:v>站点</x:v>
      </x:c>
      <x:c r="B712" s="15" t="str">
        <x:v>马来西亚</x:v>
      </x:c>
      <x:c r="C712" s="16" t="n">
        <x:v>46037</x:v>
      </x:c>
      <x:c r="D712" s="17" t="n">
        <x:v>17</x:v>
      </x:c>
      <x:c r="E712" s="17" t="n">
        <x:v>47</x:v>
      </x:c>
      <x:c r="F712" s="18" t="n">
        <x:v>331.05</x:v>
      </x:c>
    </x:row>
    <x:row r="713">
      <x:c r="A713" s="14" t="str">
        <x:v>站点</x:v>
      </x:c>
      <x:c r="B713" s="15" t="str">
        <x:v>马来西亚</x:v>
      </x:c>
      <x:c r="C713" s="16" t="n">
        <x:v>46038</x:v>
      </x:c>
      <x:c r="D713" s="17" t="n">
        <x:v>40</x:v>
      </x:c>
      <x:c r="E713" s="17" t="n">
        <x:v>95</x:v>
      </x:c>
      <x:c r="F713" s="18" t="n">
        <x:v>670.75</x:v>
      </x:c>
    </x:row>
    <x:row r="714">
      <x:c r="A714" s="14" t="str">
        <x:v>站点</x:v>
      </x:c>
      <x:c r="B714" s="15" t="str">
        <x:v>马来西亚</x:v>
      </x:c>
      <x:c r="C714" s="16" t="n">
        <x:v>46039</x:v>
      </x:c>
      <x:c r="D714" s="17" t="n">
        <x:v>31</x:v>
      </x:c>
      <x:c r="E714" s="17" t="n">
        <x:v>53</x:v>
      </x:c>
      <x:c r="F714" s="18" t="n">
        <x:v>182.59</x:v>
      </x:c>
    </x:row>
    <x:row r="715">
      <x:c r="A715" s="14" t="str">
        <x:v>站点</x:v>
      </x:c>
      <x:c r="B715" s="15" t="str">
        <x:v>马来西亚</x:v>
      </x:c>
      <x:c r="C715" s="16" t="n">
        <x:v>46040</x:v>
      </x:c>
      <x:c r="D715" s="17" t="n">
        <x:v>21</x:v>
      </x:c>
      <x:c r="E715" s="17" t="n">
        <x:v>57</x:v>
      </x:c>
      <x:c r="F715" s="18" t="n">
        <x:v>478.22</x:v>
      </x:c>
    </x:row>
    <x:row r="716">
      <x:c r="A716" s="14" t="str">
        <x:v>站点</x:v>
      </x:c>
      <x:c r="B716" s="15" t="str">
        <x:v>马来西亚</x:v>
      </x:c>
      <x:c r="C716" s="16" t="n">
        <x:v>46041</x:v>
      </x:c>
      <x:c r="D716" s="17" t="n">
        <x:v>18</x:v>
      </x:c>
      <x:c r="E716" s="17" t="n">
        <x:v>49</x:v>
      </x:c>
      <x:c r="F716" s="18" t="n">
        <x:v>393.87</x:v>
      </x:c>
    </x:row>
    <x:row r="717">
      <x:c r="A717" s="14" t="str">
        <x:v>站点</x:v>
      </x:c>
      <x:c r="B717" s="15" t="str">
        <x:v>马来西亚</x:v>
      </x:c>
      <x:c r="C717" s="16" t="n">
        <x:v>46042</x:v>
      </x:c>
      <x:c r="D717" s="17" t="n">
        <x:v>21</x:v>
      </x:c>
      <x:c r="E717" s="17" t="n">
        <x:v>46</x:v>
      </x:c>
      <x:c r="F717" s="18" t="n">
        <x:v>247.14</x:v>
      </x:c>
    </x:row>
    <x:row r="718">
      <x:c r="A718" s="14" t="str">
        <x:v>站点</x:v>
      </x:c>
      <x:c r="B718" s="15" t="str">
        <x:v>马来西亚</x:v>
      </x:c>
      <x:c r="C718" s="16" t="n">
        <x:v>46043</x:v>
      </x:c>
      <x:c r="D718" s="17" t="n">
        <x:v>43</x:v>
      </x:c>
      <x:c r="E718" s="17" t="n">
        <x:v>77</x:v>
      </x:c>
      <x:c r="F718" s="18" t="n">
        <x:v>351.04</x:v>
      </x:c>
    </x:row>
    <x:row r="719">
      <x:c r="A719" s="14" t="str">
        <x:v>站点</x:v>
      </x:c>
      <x:c r="B719" s="15" t="str">
        <x:v>马来西亚</x:v>
      </x:c>
      <x:c r="C719" s="16" t="n">
        <x:v>46044</x:v>
      </x:c>
      <x:c r="D719" s="17" t="n">
        <x:v>64</x:v>
      </x:c>
      <x:c r="E719" s="17" t="n">
        <x:v>161</x:v>
      </x:c>
      <x:c r="F719" s="18" t="n">
        <x:v>1113.43</x:v>
      </x:c>
    </x:row>
    <x:row r="720">
      <x:c r="A720" s="14" t="str">
        <x:v>站点</x:v>
      </x:c>
      <x:c r="B720" s="15" t="str">
        <x:v>马来西亚</x:v>
      </x:c>
      <x:c r="C720" s="16" t="n">
        <x:v>46045</x:v>
      </x:c>
      <x:c r="D720" s="17" t="n">
        <x:v>66</x:v>
      </x:c>
      <x:c r="E720" s="17" t="n">
        <x:v>121</x:v>
      </x:c>
      <x:c r="F720" s="18" t="n">
        <x:v>673.84</x:v>
      </x:c>
    </x:row>
    <x:row r="721">
      <x:c r="A721" s="14" t="str">
        <x:v>站点</x:v>
      </x:c>
      <x:c r="B721" s="15" t="str">
        <x:v>马来西亚</x:v>
      </x:c>
      <x:c r="C721" s="16" t="n">
        <x:v>46046</x:v>
      </x:c>
      <x:c r="D721" s="17" t="n">
        <x:v>30</x:v>
      </x:c>
      <x:c r="E721" s="17" t="n">
        <x:v>54</x:v>
      </x:c>
      <x:c r="F721" s="18" t="n">
        <x:v>291.58</x:v>
      </x:c>
    </x:row>
    <x:row r="722">
      <x:c r="A722" s="14" t="str">
        <x:v>站点</x:v>
      </x:c>
      <x:c r="B722" s="15" t="str">
        <x:v>马来西亚</x:v>
      </x:c>
      <x:c r="C722" s="16" t="n">
        <x:v>46047</x:v>
      </x:c>
      <x:c r="D722" s="17" t="n">
        <x:v>14</x:v>
      </x:c>
      <x:c r="E722" s="17" t="n">
        <x:v>27</x:v>
      </x:c>
      <x:c r="F722" s="18" t="n">
        <x:v>193.89</x:v>
      </x:c>
    </x:row>
    <x:row r="723">
      <x:c r="A723" s="14" t="str">
        <x:v>站点</x:v>
      </x:c>
      <x:c r="B723" s="15" t="str">
        <x:v>马来西亚</x:v>
      </x:c>
      <x:c r="C723" s="16" t="n">
        <x:v>46048</x:v>
      </x:c>
      <x:c r="D723" s="17" t="n">
        <x:v>25</x:v>
      </x:c>
      <x:c r="E723" s="17" t="n">
        <x:v>73</x:v>
      </x:c>
      <x:c r="F723" s="18" t="n">
        <x:v>559.41</x:v>
      </x:c>
    </x:row>
    <x:row r="724">
      <x:c r="A724" s="14" t="str">
        <x:v>站点</x:v>
      </x:c>
      <x:c r="B724" s="15" t="str">
        <x:v>马来西亚</x:v>
      </x:c>
      <x:c r="C724" s="16" t="n">
        <x:v>46049</x:v>
      </x:c>
      <x:c r="D724" s="17" t="n">
        <x:v>7</x:v>
      </x:c>
      <x:c r="E724" s="17" t="n">
        <x:v>12</x:v>
      </x:c>
      <x:c r="F724" s="18" t="n">
        <x:v>88.35</x:v>
      </x:c>
    </x:row>
    <x:row r="725">
      <x:c r="A725" s="14" t="str">
        <x:v>站点</x:v>
      </x:c>
      <x:c r="B725" s="15" t="str">
        <x:v>马来西亚</x:v>
      </x:c>
      <x:c r="C725" s="16" t="n">
        <x:v>46050</x:v>
      </x:c>
      <x:c r="D725" s="17" t="n">
        <x:v>22</x:v>
      </x:c>
      <x:c r="E725" s="17" t="n">
        <x:v>37</x:v>
      </x:c>
      <x:c r="F725" s="18" t="n">
        <x:v>175.71</x:v>
      </x:c>
    </x:row>
    <x:row r="726">
      <x:c r="A726" s="14" t="str">
        <x:v>站点</x:v>
      </x:c>
      <x:c r="B726" s="15" t="str">
        <x:v>马来西亚</x:v>
      </x:c>
      <x:c r="C726" s="16" t="n">
        <x:v>46051</x:v>
      </x:c>
      <x:c r="D726" s="17" t="n">
        <x:v>16</x:v>
      </x:c>
      <x:c r="E726" s="17" t="n">
        <x:v>42</x:v>
      </x:c>
      <x:c r="F726" s="18" t="n">
        <x:v>315.36</x:v>
      </x:c>
    </x:row>
    <x:row r="727">
      <x:c r="A727" s="14" t="str">
        <x:v>站点</x:v>
      </x:c>
      <x:c r="B727" s="15" t="str">
        <x:v>马来西亚</x:v>
      </x:c>
      <x:c r="C727" s="16" t="n">
        <x:v>46052</x:v>
      </x:c>
      <x:c r="D727" s="17" t="n">
        <x:v>24</x:v>
      </x:c>
      <x:c r="E727" s="17" t="n">
        <x:v>62</x:v>
      </x:c>
      <x:c r="F727" s="18" t="n">
        <x:v>463.32</x:v>
      </x:c>
    </x:row>
    <x:row r="728">
      <x:c r="A728" s="14" t="str">
        <x:v>站点</x:v>
      </x:c>
      <x:c r="B728" s="15" t="str">
        <x:v>马来西亚</x:v>
      </x:c>
      <x:c r="C728" s="16" t="n">
        <x:v>46053</x:v>
      </x:c>
      <x:c r="D728" s="17" t="n">
        <x:v>10</x:v>
      </x:c>
      <x:c r="E728" s="17" t="n">
        <x:v>24</x:v>
      </x:c>
      <x:c r="F728" s="18" t="n">
        <x:v>205.51</x:v>
      </x:c>
    </x:row>
    <x:row r="729">
      <x:c r="A729" s="14" t="str">
        <x:v>站点</x:v>
      </x:c>
      <x:c r="B729" s="15" t="str">
        <x:v>马来西亚</x:v>
      </x:c>
      <x:c r="C729" s="16" t="n">
        <x:v>46054</x:v>
      </x:c>
      <x:c r="D729" s="17" t="n">
        <x:v>24</x:v>
      </x:c>
      <x:c r="E729" s="17" t="n">
        <x:v>62</x:v>
      </x:c>
      <x:c r="F729" s="18" t="n">
        <x:v>500.3</x:v>
      </x:c>
    </x:row>
    <x:row r="730">
      <x:c r="A730" s="14" t="str">
        <x:v>站点</x:v>
      </x:c>
      <x:c r="B730" s="15" t="str">
        <x:v>马来西亚</x:v>
      </x:c>
      <x:c r="C730" s="16" t="n">
        <x:v>46055</x:v>
      </x:c>
      <x:c r="D730" s="17" t="n">
        <x:v>12</x:v>
      </x:c>
      <x:c r="E730" s="17" t="n">
        <x:v>33</x:v>
      </x:c>
      <x:c r="F730" s="18" t="n">
        <x:v>262.14</x:v>
      </x:c>
    </x:row>
    <x:row r="731">
      <x:c r="A731" s="14" t="str">
        <x:v>站点</x:v>
      </x:c>
      <x:c r="B731" s="15" t="str">
        <x:v>马来西亚</x:v>
      </x:c>
      <x:c r="C731" s="16" t="n">
        <x:v>46056</x:v>
      </x:c>
      <x:c r="D731" s="17" t="n">
        <x:v>24</x:v>
      </x:c>
      <x:c r="E731" s="17" t="n">
        <x:v>49</x:v>
      </x:c>
      <x:c r="F731" s="18" t="n">
        <x:v>291.61</x:v>
      </x:c>
    </x:row>
    <x:row r="732">
      <x:c r="A732" s="14" t="str">
        <x:v>站点</x:v>
      </x:c>
      <x:c r="B732" s="15" t="str">
        <x:v>马来西亚</x:v>
      </x:c>
      <x:c r="C732" s="16" t="n">
        <x:v>46057</x:v>
      </x:c>
      <x:c r="D732" s="17" t="n">
        <x:v>18</x:v>
      </x:c>
      <x:c r="E732" s="17" t="n">
        <x:v>34</x:v>
      </x:c>
      <x:c r="F732" s="18" t="n">
        <x:v>215.68</x:v>
      </x:c>
    </x:row>
    <x:row r="733">
      <x:c r="A733" s="14" t="str">
        <x:v>站点</x:v>
      </x:c>
      <x:c r="B733" s="15" t="str">
        <x:v>马来西亚</x:v>
      </x:c>
      <x:c r="C733" s="16" t="n">
        <x:v>46058</x:v>
      </x:c>
      <x:c r="D733" s="17" t="n">
        <x:v>15</x:v>
      </x:c>
      <x:c r="E733" s="17" t="n">
        <x:v>29</x:v>
      </x:c>
      <x:c r="F733" s="18" t="n">
        <x:v>247.97</x:v>
      </x:c>
    </x:row>
    <x:row r="734">
      <x:c r="A734" s="14" t="str">
        <x:v>站点</x:v>
      </x:c>
      <x:c r="B734" s="15" t="str">
        <x:v>马来西亚</x:v>
      </x:c>
      <x:c r="C734" s="16" t="n">
        <x:v>46059</x:v>
      </x:c>
      <x:c r="D734" s="17" t="n">
        <x:v>44</x:v>
      </x:c>
      <x:c r="E734" s="17" t="n">
        <x:v>100</x:v>
      </x:c>
      <x:c r="F734" s="18" t="n">
        <x:v>679.27</x:v>
      </x:c>
    </x:row>
    <x:row r="735">
      <x:c r="A735" s="14" t="str">
        <x:v>站点</x:v>
      </x:c>
      <x:c r="B735" s="15" t="str">
        <x:v>马来西亚</x:v>
      </x:c>
      <x:c r="C735" s="16" t="n">
        <x:v>46060</x:v>
      </x:c>
      <x:c r="D735" s="17" t="n">
        <x:v>16</x:v>
      </x:c>
      <x:c r="E735" s="17" t="n">
        <x:v>30</x:v>
      </x:c>
      <x:c r="F735" s="18" t="n">
        <x:v>191.18</x:v>
      </x:c>
    </x:row>
    <x:row r="736">
      <x:c r="A736" s="14" t="str">
        <x:v>站点</x:v>
      </x:c>
      <x:c r="B736" s="15" t="str">
        <x:v>马来西亚</x:v>
      </x:c>
      <x:c r="C736" s="16" t="n">
        <x:v>46061</x:v>
      </x:c>
      <x:c r="D736" s="17" t="n">
        <x:v>24</x:v>
      </x:c>
      <x:c r="E736" s="17" t="n">
        <x:v>64</x:v>
      </x:c>
      <x:c r="F736" s="18" t="n">
        <x:v>521.84</x:v>
      </x:c>
    </x:row>
    <x:row r="737">
      <x:c r="A737" s="14" t="str">
        <x:v>站点</x:v>
      </x:c>
      <x:c r="B737" s="15" t="str">
        <x:v>马来西亚</x:v>
      </x:c>
      <x:c r="C737" s="16" t="n">
        <x:v>46062</x:v>
      </x:c>
      <x:c r="D737" s="17" t="n">
        <x:v>15</x:v>
      </x:c>
      <x:c r="E737" s="17" t="n">
        <x:v>54</x:v>
      </x:c>
      <x:c r="F737" s="18" t="n">
        <x:v>613.97</x:v>
      </x:c>
    </x:row>
    <x:row r="738">
      <x:c r="A738" s="14" t="str">
        <x:v>站点</x:v>
      </x:c>
      <x:c r="B738" s="15" t="str">
        <x:v>马来西亚</x:v>
      </x:c>
      <x:c r="C738" s="16" t="n">
        <x:v>46063</x:v>
      </x:c>
      <x:c r="D738" s="17" t="n">
        <x:v>39</x:v>
      </x:c>
      <x:c r="E738" s="17" t="n">
        <x:v>64</x:v>
      </x:c>
      <x:c r="F738" s="18" t="n">
        <x:v>371.34</x:v>
      </x:c>
    </x:row>
    <x:row r="739">
      <x:c r="A739" s="14" t="str">
        <x:v>站点</x:v>
      </x:c>
      <x:c r="B739" s="15" t="str">
        <x:v>马来西亚</x:v>
      </x:c>
      <x:c r="C739" s="16" t="n">
        <x:v>46064</x:v>
      </x:c>
      <x:c r="D739" s="17" t="n">
        <x:v>5</x:v>
      </x:c>
      <x:c r="E739" s="17" t="n">
        <x:v>7</x:v>
      </x:c>
      <x:c r="F739" s="18" t="n">
        <x:v>67.04</x:v>
      </x:c>
    </x:row>
    <x:row r="740">
      <x:c r="A740" s="14" t="str">
        <x:v>站点</x:v>
      </x:c>
      <x:c r="B740" s="15" t="str">
        <x:v>马来西亚</x:v>
      </x:c>
      <x:c r="C740" s="16" t="n">
        <x:v>46065</x:v>
      </x:c>
      <x:c r="D740" s="17" t="n">
        <x:v>4</x:v>
      </x:c>
      <x:c r="E740" s="17" t="n">
        <x:v>14</x:v>
      </x:c>
      <x:c r="F740" s="18" t="n">
        <x:v>109.5</x:v>
      </x:c>
    </x:row>
    <x:row r="741">
      <x:c r="A741" s="14" t="str">
        <x:v>站点</x:v>
      </x:c>
      <x:c r="B741" s="15" t="str">
        <x:v>马来西亚</x:v>
      </x:c>
      <x:c r="C741" s="16" t="n">
        <x:v>46066</x:v>
      </x:c>
      <x:c r="D741" s="17" t="n">
        <x:v>17</x:v>
      </x:c>
      <x:c r="E741" s="17" t="n">
        <x:v>36</x:v>
      </x:c>
      <x:c r="F741" s="18" t="n">
        <x:v>110.93</x:v>
      </x:c>
    </x:row>
    <x:row r="742">
      <x:c r="A742" s="14" t="str">
        <x:v>站点</x:v>
      </x:c>
      <x:c r="B742" s="15" t="str">
        <x:v>马来西亚</x:v>
      </x:c>
      <x:c r="C742" s="16" t="n">
        <x:v>46067</x:v>
      </x:c>
      <x:c r="D742" s="17" t="n">
        <x:v>10</x:v>
      </x:c>
      <x:c r="E742" s="17" t="n">
        <x:v>24</x:v>
      </x:c>
      <x:c r="F742" s="18" t="n">
        <x:v>219.38</x:v>
      </x:c>
    </x:row>
    <x:row r="743">
      <x:c r="A743" s="14" t="str">
        <x:v>站点</x:v>
      </x:c>
      <x:c r="B743" s="15" t="str">
        <x:v>马来西亚</x:v>
      </x:c>
      <x:c r="C743" s="16" t="n">
        <x:v>46068</x:v>
      </x:c>
      <x:c r="D743" s="17" t="n">
        <x:v>8</x:v>
      </x:c>
      <x:c r="E743" s="17" t="n">
        <x:v>16</x:v>
      </x:c>
      <x:c r="F743" s="18" t="n">
        <x:v>120.13</x:v>
      </x:c>
    </x:row>
    <x:row r="744">
      <x:c r="A744" s="14" t="str">
        <x:v>站点</x:v>
      </x:c>
      <x:c r="B744" s="15" t="str">
        <x:v>马来西亚</x:v>
      </x:c>
      <x:c r="C744" s="16" t="n">
        <x:v>46069</x:v>
      </x:c>
      <x:c r="D744" s="17" t="n">
        <x:v>7</x:v>
      </x:c>
      <x:c r="E744" s="17" t="n">
        <x:v>23</x:v>
      </x:c>
      <x:c r="F744" s="18" t="n">
        <x:v>199.95</x:v>
      </x:c>
    </x:row>
    <x:row r="745">
      <x:c r="A745" s="14" t="str">
        <x:v>站点</x:v>
      </x:c>
      <x:c r="B745" s="15" t="str">
        <x:v>马来西亚</x:v>
      </x:c>
      <x:c r="C745" s="16" t="n">
        <x:v>46070</x:v>
      </x:c>
      <x:c r="D745" s="17" t="n">
        <x:v>0</x:v>
      </x:c>
      <x:c r="E745" s="17" t="n">
        <x:v>0</x:v>
      </x:c>
      <x:c r="F745" s="18" t="n">
        <x:v>0</x:v>
      </x:c>
    </x:row>
    <x:row r="746">
      <x:c r="A746" s="14" t="str">
        <x:v>站点</x:v>
      </x:c>
      <x:c r="B746" s="15" t="str">
        <x:v>马来西亚</x:v>
      </x:c>
      <x:c r="C746" s="16" t="n">
        <x:v>46071</x:v>
      </x:c>
      <x:c r="D746" s="17" t="n">
        <x:v>20</x:v>
      </x:c>
      <x:c r="E746" s="17" t="n">
        <x:v>43</x:v>
      </x:c>
      <x:c r="F746" s="18" t="n">
        <x:v>305.47</x:v>
      </x:c>
    </x:row>
    <x:row r="747">
      <x:c r="A747" s="14" t="str">
        <x:v>站点</x:v>
      </x:c>
      <x:c r="B747" s="15" t="str">
        <x:v>马来西亚</x:v>
      </x:c>
      <x:c r="C747" s="16" t="n">
        <x:v>46072</x:v>
      </x:c>
      <x:c r="D747" s="17" t="n">
        <x:v>2</x:v>
      </x:c>
      <x:c r="E747" s="17" t="n">
        <x:v>5</x:v>
      </x:c>
      <x:c r="F747" s="18" t="n">
        <x:v>43.47</x:v>
      </x:c>
    </x:row>
    <x:row r="748">
      <x:c r="A748" s="14" t="str">
        <x:v>站点</x:v>
      </x:c>
      <x:c r="B748" s="15" t="str">
        <x:v>马来西亚</x:v>
      </x:c>
      <x:c r="C748" s="16" t="n">
        <x:v>46073</x:v>
      </x:c>
      <x:c r="D748" s="17" t="n">
        <x:v>2</x:v>
      </x:c>
      <x:c r="E748" s="17" t="n">
        <x:v>4</x:v>
      </x:c>
      <x:c r="F748" s="18" t="n">
        <x:v>35.46</x:v>
      </x:c>
    </x:row>
    <x:row r="749">
      <x:c r="A749" s="14" t="str">
        <x:v>站点</x:v>
      </x:c>
      <x:c r="B749" s="15" t="str">
        <x:v>马来西亚</x:v>
      </x:c>
      <x:c r="C749" s="16" t="n">
        <x:v>46074</x:v>
      </x:c>
      <x:c r="D749" s="17" t="n">
        <x:v>0</x:v>
      </x:c>
      <x:c r="E749" s="17" t="n">
        <x:v>0</x:v>
      </x:c>
      <x:c r="F749" s="18" t="n">
        <x:v>0</x:v>
      </x:c>
    </x:row>
    <x:row r="750">
      <x:c r="A750" s="14" t="str">
        <x:v>站点</x:v>
      </x:c>
      <x:c r="B750" s="15" t="str">
        <x:v>马来西亚</x:v>
      </x:c>
      <x:c r="C750" s="16" t="n">
        <x:v>46075</x:v>
      </x:c>
      <x:c r="D750" s="17" t="n">
        <x:v>4</x:v>
      </x:c>
      <x:c r="E750" s="17" t="n">
        <x:v>17</x:v>
      </x:c>
      <x:c r="F750" s="18" t="n">
        <x:v>182.24</x:v>
      </x:c>
    </x:row>
    <x:row r="751">
      <x:c r="A751" s="14" t="str">
        <x:v>站点</x:v>
      </x:c>
      <x:c r="B751" s="15" t="str">
        <x:v>马来西亚</x:v>
      </x:c>
      <x:c r="C751" s="16" t="n">
        <x:v>46076</x:v>
      </x:c>
      <x:c r="D751" s="17" t="n">
        <x:v>33</x:v>
      </x:c>
      <x:c r="E751" s="17" t="n">
        <x:v>42</x:v>
      </x:c>
      <x:c r="F751" s="18" t="n">
        <x:v>112.69</x:v>
      </x:c>
    </x:row>
    <x:row r="752">
      <x:c r="A752" s="14" t="str">
        <x:v>站点</x:v>
      </x:c>
      <x:c r="B752" s="15" t="str">
        <x:v>马来西亚</x:v>
      </x:c>
      <x:c r="C752" s="16" t="n">
        <x:v>46077</x:v>
      </x:c>
      <x:c r="D752" s="17" t="n">
        <x:v>12</x:v>
      </x:c>
      <x:c r="E752" s="17" t="n">
        <x:v>19</x:v>
      </x:c>
      <x:c r="F752" s="18" t="n">
        <x:v>104.67</x:v>
      </x:c>
    </x:row>
    <x:row r="753">
      <x:c r="A753" s="14" t="str">
        <x:v>站点</x:v>
      </x:c>
      <x:c r="B753" s="15" t="str">
        <x:v>马来西亚</x:v>
      </x:c>
      <x:c r="C753" s="16" t="n">
        <x:v>46078</x:v>
      </x:c>
      <x:c r="D753" s="17" t="n">
        <x:v>50</x:v>
      </x:c>
      <x:c r="E753" s="17" t="n">
        <x:v>57</x:v>
      </x:c>
      <x:c r="F753" s="18" t="n">
        <x:v>61.2</x:v>
      </x:c>
    </x:row>
    <x:row r="754">
      <x:c r="A754" s="14" t="str">
        <x:v>站点</x:v>
      </x:c>
      <x:c r="B754" s="15" t="str">
        <x:v>马来西亚</x:v>
      </x:c>
      <x:c r="C754" s="16" t="n">
        <x:v>46079</x:v>
      </x:c>
      <x:c r="D754" s="17" t="n">
        <x:v>50</x:v>
      </x:c>
      <x:c r="E754" s="17" t="n">
        <x:v>67</x:v>
      </x:c>
      <x:c r="F754" s="18" t="n">
        <x:v>174.92</x:v>
      </x:c>
    </x:row>
    <x:row r="755">
      <x:c r="A755" s="14" t="str">
        <x:v>站点</x:v>
      </x:c>
      <x:c r="B755" s="15" t="str">
        <x:v>马来西亚</x:v>
      </x:c>
      <x:c r="C755" s="16" t="n">
        <x:v>46080</x:v>
      </x:c>
      <x:c r="D755" s="17" t="n">
        <x:v>7</x:v>
      </x:c>
      <x:c r="E755" s="17" t="n">
        <x:v>17</x:v>
      </x:c>
      <x:c r="F755" s="18" t="n">
        <x:v>133.06</x:v>
      </x:c>
    </x:row>
    <x:row r="756">
      <x:c r="A756" s="14" t="str">
        <x:v>站点</x:v>
      </x:c>
      <x:c r="B756" s="15" t="str">
        <x:v>马来西亚</x:v>
      </x:c>
      <x:c r="C756" s="16" t="n">
        <x:v>46081</x:v>
      </x:c>
      <x:c r="D756" s="17" t="n">
        <x:v>4</x:v>
      </x:c>
      <x:c r="E756" s="17" t="n">
        <x:v>7</x:v>
      </x:c>
      <x:c r="F756" s="18" t="n">
        <x:v>63.42</x:v>
      </x:c>
    </x:row>
    <x:row r="757">
      <x:c r="A757" s="14" t="str">
        <x:v>站点</x:v>
      </x:c>
      <x:c r="B757" s="15" t="str">
        <x:v>马来西亚</x:v>
      </x:c>
      <x:c r="C757" s="16" t="n">
        <x:v>46082</x:v>
      </x:c>
      <x:c r="D757" s="17" t="n">
        <x:v>10</x:v>
      </x:c>
      <x:c r="E757" s="17" t="n">
        <x:v>13</x:v>
      </x:c>
      <x:c r="F757" s="18" t="n">
        <x:v>39.84</x:v>
      </x:c>
    </x:row>
    <x:row r="758">
      <x:c r="A758" s="14" t="str">
        <x:v>站点</x:v>
      </x:c>
      <x:c r="B758" s="15" t="str">
        <x:v>马来西亚</x:v>
      </x:c>
      <x:c r="C758" s="16" t="n">
        <x:v>46083</x:v>
      </x:c>
      <x:c r="D758" s="17" t="n">
        <x:v>34</x:v>
      </x:c>
      <x:c r="E758" s="17" t="n">
        <x:v>74</x:v>
      </x:c>
      <x:c r="F758" s="18" t="n">
        <x:v>594.48</x:v>
      </x:c>
    </x:row>
    <x:row r="759">
      <x:c r="A759" s="14" t="str">
        <x:v>站点</x:v>
      </x:c>
      <x:c r="B759" s="15" t="str">
        <x:v>马来西亚</x:v>
      </x:c>
      <x:c r="C759" s="16" t="n">
        <x:v>46084</x:v>
      </x:c>
      <x:c r="D759" s="17" t="n">
        <x:v>21</x:v>
      </x:c>
      <x:c r="E759" s="17" t="n">
        <x:v>40</x:v>
      </x:c>
      <x:c r="F759" s="18" t="n">
        <x:v>179.55</x:v>
      </x:c>
    </x:row>
    <x:row r="760">
      <x:c r="A760" s="14" t="str">
        <x:v>站点</x:v>
      </x:c>
      <x:c r="B760" s="15" t="str">
        <x:v>马来西亚</x:v>
      </x:c>
      <x:c r="C760" s="16" t="n">
        <x:v>46085</x:v>
      </x:c>
      <x:c r="D760" s="17" t="n">
        <x:v>15</x:v>
      </x:c>
      <x:c r="E760" s="17" t="n">
        <x:v>21</x:v>
      </x:c>
      <x:c r="F760" s="18" t="n">
        <x:v>100.22</x:v>
      </x:c>
    </x:row>
    <x:row r="761">
      <x:c r="A761" s="14" t="str">
        <x:v>站点</x:v>
      </x:c>
      <x:c r="B761" s="15" t="str">
        <x:v>马来西亚</x:v>
      </x:c>
      <x:c r="C761" s="16" t="n">
        <x:v>46086</x:v>
      </x:c>
      <x:c r="D761" s="17" t="n">
        <x:v>25</x:v>
      </x:c>
      <x:c r="E761" s="17" t="n">
        <x:v>44</x:v>
      </x:c>
      <x:c r="F761" s="18" t="n">
        <x:v>405.23</x:v>
      </x:c>
    </x:row>
    <x:row r="762">
      <x:c r="A762" s="14" t="str">
        <x:v>站点</x:v>
      </x:c>
      <x:c r="B762" s="15" t="str">
        <x:v>马来西亚</x:v>
      </x:c>
      <x:c r="C762" s="16" t="n">
        <x:v>46087</x:v>
      </x:c>
      <x:c r="D762" s="17" t="n">
        <x:v>17</x:v>
      </x:c>
      <x:c r="E762" s="17" t="n">
        <x:v>23</x:v>
      </x:c>
      <x:c r="F762" s="18" t="n">
        <x:v>360.64</x:v>
      </x:c>
    </x:row>
    <x:row r="763">
      <x:c r="A763" s="14" t="str">
        <x:v>站点</x:v>
      </x:c>
      <x:c r="B763" s="15" t="str">
        <x:v>马来西亚</x:v>
      </x:c>
      <x:c r="C763" s="16" t="n">
        <x:v>46088</x:v>
      </x:c>
      <x:c r="D763" s="17" t="n">
        <x:v>23</x:v>
      </x:c>
      <x:c r="E763" s="17" t="n">
        <x:v>30</x:v>
      </x:c>
      <x:c r="F763" s="18" t="n">
        <x:v>240.9</x:v>
      </x:c>
    </x:row>
    <x:row r="764">
      <x:c r="A764" s="14" t="str">
        <x:v>站点</x:v>
      </x:c>
      <x:c r="B764" s="15" t="str">
        <x:v>马来西亚</x:v>
      </x:c>
      <x:c r="C764" s="16" t="n">
        <x:v>46089</x:v>
      </x:c>
      <x:c r="D764" s="17" t="n">
        <x:v>6</x:v>
      </x:c>
      <x:c r="E764" s="17" t="n">
        <x:v>8</x:v>
      </x:c>
      <x:c r="F764" s="18" t="n">
        <x:v>120.37</x:v>
      </x:c>
    </x:row>
    <x:row r="765">
      <x:c r="A765" s="14" t="str">
        <x:v>站点</x:v>
      </x:c>
      <x:c r="B765" s="15" t="str">
        <x:v>马来西亚</x:v>
      </x:c>
      <x:c r="C765" s="16" t="n">
        <x:v>46090</x:v>
      </x:c>
      <x:c r="D765" s="17" t="n">
        <x:v>22</x:v>
      </x:c>
      <x:c r="E765" s="17" t="n">
        <x:v>28</x:v>
      </x:c>
      <x:c r="F765" s="18" t="n">
        <x:v>331.14</x:v>
      </x:c>
    </x:row>
    <x:row r="766">
      <x:c r="A766" s="14" t="str">
        <x:v>站点</x:v>
      </x:c>
      <x:c r="B766" s="15" t="str">
        <x:v>马来西亚</x:v>
      </x:c>
      <x:c r="C766" s="16" t="n">
        <x:v>46091</x:v>
      </x:c>
      <x:c r="D766" s="17" t="n">
        <x:v>22</x:v>
      </x:c>
      <x:c r="E766" s="17" t="n">
        <x:v>29</x:v>
      </x:c>
      <x:c r="F766" s="18" t="n">
        <x:v>153.86</x:v>
      </x:c>
    </x:row>
    <x:row r="767">
      <x:c r="A767" s="14" t="str">
        <x:v>站点</x:v>
      </x:c>
      <x:c r="B767" s="15" t="str">
        <x:v>马来西亚</x:v>
      </x:c>
      <x:c r="C767" s="16" t="n">
        <x:v>46092</x:v>
      </x:c>
      <x:c r="D767" s="17" t="n">
        <x:v>16</x:v>
      </x:c>
      <x:c r="E767" s="17" t="n">
        <x:v>20</x:v>
      </x:c>
      <x:c r="F767" s="18" t="n">
        <x:v>199.34</x:v>
      </x:c>
    </x:row>
    <x:row r="768">
      <x:c r="A768" s="14" t="str">
        <x:v>站点</x:v>
      </x:c>
      <x:c r="B768" s="15" t="str">
        <x:v>马来西亚</x:v>
      </x:c>
      <x:c r="C768" s="16" t="n">
        <x:v>46093</x:v>
      </x:c>
      <x:c r="D768" s="17" t="n">
        <x:v>27</x:v>
      </x:c>
      <x:c r="E768" s="17" t="n">
        <x:v>47</x:v>
      </x:c>
      <x:c r="F768" s="18" t="n">
        <x:v>235.2</x:v>
      </x:c>
    </x:row>
    <x:row r="769">
      <x:c r="A769" s="14" t="str">
        <x:v>站点</x:v>
      </x:c>
      <x:c r="B769" s="15" t="str">
        <x:v>马来西亚</x:v>
      </x:c>
      <x:c r="C769" s="16" t="n">
        <x:v>46094</x:v>
      </x:c>
      <x:c r="D769" s="17" t="n">
        <x:v>18</x:v>
      </x:c>
      <x:c r="E769" s="17" t="n">
        <x:v>20</x:v>
      </x:c>
      <x:c r="F769" s="18" t="n">
        <x:v>89.79</x:v>
      </x:c>
    </x:row>
    <x:row r="770">
      <x:c r="A770" s="14" t="str">
        <x:v>站点</x:v>
      </x:c>
      <x:c r="B770" s="15" t="str">
        <x:v>马来西亚</x:v>
      </x:c>
      <x:c r="C770" s="16" t="n">
        <x:v>46095</x:v>
      </x:c>
      <x:c r="D770" s="17" t="n">
        <x:v>13</x:v>
      </x:c>
      <x:c r="E770" s="17" t="n">
        <x:v>23</x:v>
      </x:c>
      <x:c r="F770" s="18" t="n">
        <x:v>204.19</x:v>
      </x:c>
    </x:row>
    <x:row r="771">
      <x:c r="A771" s="14" t="str">
        <x:v>站点</x:v>
      </x:c>
      <x:c r="B771" s="15" t="str">
        <x:v>马来西亚</x:v>
      </x:c>
      <x:c r="C771" s="16" t="n">
        <x:v>46096</x:v>
      </x:c>
      <x:c r="D771" s="17" t="n">
        <x:v>9</x:v>
      </x:c>
      <x:c r="E771" s="17" t="n">
        <x:v>13</x:v>
      </x:c>
      <x:c r="F771" s="18" t="n">
        <x:v>191.97</x:v>
      </x:c>
    </x:row>
    <x:row r="772">
      <x:c r="A772" s="14" t="str">
        <x:v>站点</x:v>
      </x:c>
      <x:c r="B772" s="15" t="str">
        <x:v>马来西亚</x:v>
      </x:c>
      <x:c r="C772" s="16" t="n">
        <x:v>46097</x:v>
      </x:c>
      <x:c r="D772" s="17" t="n">
        <x:v>2</x:v>
      </x:c>
      <x:c r="E772" s="17" t="n">
        <x:v>4</x:v>
      </x:c>
      <x:c r="F772" s="18" t="n">
        <x:v>49.76</x:v>
      </x:c>
    </x:row>
    <x:row r="773">
      <x:c r="A773" s="14" t="str">
        <x:v>站点</x:v>
      </x:c>
      <x:c r="B773" s="15" t="str">
        <x:v>马来西亚</x:v>
      </x:c>
      <x:c r="C773" s="16" t="n">
        <x:v>46098</x:v>
      </x:c>
      <x:c r="D773" s="17" t="n">
        <x:v>9</x:v>
      </x:c>
      <x:c r="E773" s="17" t="n">
        <x:v>10</x:v>
      </x:c>
      <x:c r="F773" s="18" t="n">
        <x:v>53.42</x:v>
      </x:c>
    </x:row>
    <x:row r="774">
      <x:c r="A774" s="14" t="str">
        <x:v>站点</x:v>
      </x:c>
      <x:c r="B774" s="15" t="str">
        <x:v>马来西亚</x:v>
      </x:c>
      <x:c r="C774" s="16" t="n">
        <x:v>46099</x:v>
      </x:c>
      <x:c r="D774" s="17" t="n">
        <x:v>11</x:v>
      </x:c>
      <x:c r="E774" s="17" t="n">
        <x:v>11</x:v>
      </x:c>
      <x:c r="F774" s="18" t="n">
        <x:v>79.14</x:v>
      </x:c>
    </x:row>
    <x:row r="775">
      <x:c r="A775" s="14" t="str">
        <x:v>站点</x:v>
      </x:c>
      <x:c r="B775" s="15" t="str">
        <x:v>马来西亚</x:v>
      </x:c>
      <x:c r="C775" s="16" t="n">
        <x:v>46100</x:v>
      </x:c>
      <x:c r="D775" s="17" t="n">
        <x:v>4</x:v>
      </x:c>
      <x:c r="E775" s="17" t="n">
        <x:v>6</x:v>
      </x:c>
      <x:c r="F775" s="18" t="n">
        <x:v>30.98</x:v>
      </x:c>
    </x:row>
    <x:row r="776">
      <x:c r="A776" s="14" t="str">
        <x:v>站点</x:v>
      </x:c>
      <x:c r="B776" s="15" t="str">
        <x:v>马来西亚</x:v>
      </x:c>
      <x:c r="C776" s="16" t="n">
        <x:v>46101</x:v>
      </x:c>
      <x:c r="D776" s="17" t="n">
        <x:v>3</x:v>
      </x:c>
      <x:c r="E776" s="17" t="n">
        <x:v>3</x:v>
      </x:c>
      <x:c r="F776" s="18" t="n">
        <x:v>-2.59</x:v>
      </x:c>
    </x:row>
    <x:row r="777">
      <x:c r="A777" s="14" t="str">
        <x:v>站点</x:v>
      </x:c>
      <x:c r="B777" s="15" t="str">
        <x:v>马来西亚</x:v>
      </x:c>
      <x:c r="C777" s="16" t="n">
        <x:v>46102</x:v>
      </x:c>
      <x:c r="D777" s="17" t="n">
        <x:v>1</x:v>
      </x:c>
      <x:c r="E777" s="17" t="n">
        <x:v>1</x:v>
      </x:c>
      <x:c r="F777" s="18" t="n">
        <x:v>-0.86</x:v>
      </x:c>
    </x:row>
    <x:row r="778">
      <x:c r="A778" s="14" t="str">
        <x:v>站点</x:v>
      </x:c>
      <x:c r="B778" s="15" t="str">
        <x:v>马来西亚</x:v>
      </x:c>
      <x:c r="C778" s="16" t="n">
        <x:v>46103</x:v>
      </x:c>
      <x:c r="D778" s="17" t="n">
        <x:v>3</x:v>
      </x:c>
      <x:c r="E778" s="17" t="n">
        <x:v>5</x:v>
      </x:c>
      <x:c r="F778" s="18" t="n">
        <x:v>112.45</x:v>
      </x:c>
    </x:row>
    <x:row r="779">
      <x:c r="A779" s="14" t="str">
        <x:v>站点</x:v>
      </x:c>
      <x:c r="B779" s="15" t="str">
        <x:v>马来西亚</x:v>
      </x:c>
      <x:c r="C779" s="16" t="n">
        <x:v>46104</x:v>
      </x:c>
      <x:c r="D779" s="17" t="n">
        <x:v>4</x:v>
      </x:c>
      <x:c r="E779" s="17" t="n">
        <x:v>4</x:v>
      </x:c>
      <x:c r="F779" s="18" t="n">
        <x:v>55.04</x:v>
      </x:c>
    </x:row>
    <x:row r="780">
      <x:c r="A780" s="14" t="str">
        <x:v>站点</x:v>
      </x:c>
      <x:c r="B780" s="15" t="str">
        <x:v>马来西亚</x:v>
      </x:c>
      <x:c r="C780" s="16" t="n">
        <x:v>46105</x:v>
      </x:c>
      <x:c r="D780" s="17" t="n">
        <x:v>6</x:v>
      </x:c>
      <x:c r="E780" s="17" t="n">
        <x:v>10</x:v>
      </x:c>
      <x:c r="F780" s="18" t="n">
        <x:v>70.93</x:v>
      </x:c>
    </x:row>
    <x:row r="781">
      <x:c r="A781" s="14" t="str">
        <x:v>站点</x:v>
      </x:c>
      <x:c r="B781" s="15" t="str">
        <x:v>马来西亚</x:v>
      </x:c>
      <x:c r="C781" s="16" t="n">
        <x:v>46106</x:v>
      </x:c>
      <x:c r="D781" s="17" t="n">
        <x:v>6</x:v>
      </x:c>
      <x:c r="E781" s="17" t="n">
        <x:v>7</x:v>
      </x:c>
      <x:c r="F781" s="18" t="n">
        <x:v>170.53</x:v>
      </x:c>
    </x:row>
    <x:row r="782">
      <x:c r="A782" s="14" t="str">
        <x:v>站点</x:v>
      </x:c>
      <x:c r="B782" s="15" t="str">
        <x:v>马来西亚</x:v>
      </x:c>
      <x:c r="C782" s="16" t="n">
        <x:v>46107</x:v>
      </x:c>
      <x:c r="D782" s="17" t="n">
        <x:v>10</x:v>
      </x:c>
      <x:c r="E782" s="17" t="n">
        <x:v>14</x:v>
      </x:c>
      <x:c r="F782" s="18" t="n">
        <x:v>195.3</x:v>
      </x:c>
    </x:row>
    <x:row r="783">
      <x:c r="A783" s="14" t="str">
        <x:v>站点</x:v>
      </x:c>
      <x:c r="B783" s="15" t="str">
        <x:v>马来西亚</x:v>
      </x:c>
      <x:c r="C783" s="16" t="n">
        <x:v>46108</x:v>
      </x:c>
      <x:c r="D783" s="17" t="n">
        <x:v>8</x:v>
      </x:c>
      <x:c r="E783" s="17" t="n">
        <x:v>9</x:v>
      </x:c>
      <x:c r="F783" s="18" t="n">
        <x:v>81.06</x:v>
      </x:c>
    </x:row>
    <x:row r="784">
      <x:c r="A784" s="14" t="str">
        <x:v>站点</x:v>
      </x:c>
      <x:c r="B784" s="15" t="str">
        <x:v>马来西亚</x:v>
      </x:c>
      <x:c r="C784" s="16" t="n">
        <x:v>46109</x:v>
      </x:c>
      <x:c r="D784" s="17" t="n">
        <x:v>1</x:v>
      </x:c>
      <x:c r="E784" s="17" t="n">
        <x:v>1</x:v>
      </x:c>
      <x:c r="F784" s="18" t="n">
        <x:v>28.38</x:v>
      </x:c>
    </x:row>
    <x:row r="785">
      <x:c r="A785" s="14" t="str">
        <x:v>站点</x:v>
      </x:c>
      <x:c r="B785" s="15" t="str">
        <x:v>马来西亚</x:v>
      </x:c>
      <x:c r="C785" s="16" t="n">
        <x:v>46110</x:v>
      </x:c>
      <x:c r="D785" s="17" t="n">
        <x:v>2</x:v>
      </x:c>
      <x:c r="E785" s="17" t="n">
        <x:v>3</x:v>
      </x:c>
      <x:c r="F785" s="18" t="n">
        <x:v>60.72</x:v>
      </x:c>
    </x:row>
    <x:row r="786">
      <x:c r="A786" s="14" t="str">
        <x:v>站点</x:v>
      </x:c>
      <x:c r="B786" s="15" t="str">
        <x:v>马来西亚</x:v>
      </x:c>
      <x:c r="C786" s="16" t="n">
        <x:v>46111</x:v>
      </x:c>
      <x:c r="D786" s="17" t="n">
        <x:v>5</x:v>
      </x:c>
      <x:c r="E786" s="17" t="n">
        <x:v>6</x:v>
      </x:c>
      <x:c r="F786" s="18" t="n">
        <x:v>155.57</x:v>
      </x:c>
    </x:row>
    <x:row r="787">
      <x:c r="A787" s="14" t="str">
        <x:v>站点</x:v>
      </x:c>
      <x:c r="B787" s="15" t="str">
        <x:v>马来西亚</x:v>
      </x:c>
      <x:c r="C787" s="16" t="n">
        <x:v>46112</x:v>
      </x:c>
      <x:c r="D787" s="17" t="n">
        <x:v>4</x:v>
      </x:c>
      <x:c r="E787" s="17" t="n">
        <x:v>8</x:v>
      </x:c>
      <x:c r="F787" s="18" t="n">
        <x:v>165.57</x:v>
      </x:c>
    </x:row>
    <x:row r="788">
      <x:c r="A788" s="14" t="str">
        <x:v>站点</x:v>
      </x:c>
      <x:c r="B788" s="15" t="str">
        <x:v>马来西亚</x:v>
      </x:c>
      <x:c r="C788" s="16" t="n">
        <x:v>46113</x:v>
      </x:c>
      <x:c r="D788" s="17" t="n">
        <x:v>7</x:v>
      </x:c>
      <x:c r="E788" s="17" t="n">
        <x:v>8</x:v>
      </x:c>
      <x:c r="F788" s="18" t="n">
        <x:v>81.34</x:v>
      </x:c>
    </x:row>
    <x:row r="789">
      <x:c r="A789" s="14" t="str">
        <x:v>站点</x:v>
      </x:c>
      <x:c r="B789" s="15" t="str">
        <x:v>马来西亚</x:v>
      </x:c>
      <x:c r="C789" s="16" t="n">
        <x:v>46114</x:v>
      </x:c>
      <x:c r="D789" s="17" t="n">
        <x:v>7</x:v>
      </x:c>
      <x:c r="E789" s="17" t="n">
        <x:v>7</x:v>
      </x:c>
      <x:c r="F789" s="18" t="n">
        <x:v>52.45</x:v>
      </x:c>
    </x:row>
    <x:row r="790">
      <x:c r="A790" s="14" t="str">
        <x:v>站点</x:v>
      </x:c>
      <x:c r="B790" s="15" t="str">
        <x:v>马来西亚</x:v>
      </x:c>
      <x:c r="C790" s="16" t="n">
        <x:v>46115</x:v>
      </x:c>
      <x:c r="D790" s="17" t="n">
        <x:v>0</x:v>
      </x:c>
      <x:c r="E790" s="17" t="n">
        <x:v>0</x:v>
      </x:c>
      <x:c r="F790" s="18" t="n">
        <x:v>0</x:v>
      </x:c>
    </x:row>
    <x:row r="791">
      <x:c r="A791" s="14" t="str">
        <x:v>站点</x:v>
      </x:c>
      <x:c r="B791" s="15" t="str">
        <x:v>马来西亚</x:v>
      </x:c>
      <x:c r="C791" s="16" t="n">
        <x:v>46116</x:v>
      </x:c>
      <x:c r="D791" s="17" t="n">
        <x:v>0</x:v>
      </x:c>
      <x:c r="E791" s="17" t="n">
        <x:v>0</x:v>
      </x:c>
      <x:c r="F791" s="18" t="n">
        <x:v>0</x:v>
      </x:c>
    </x:row>
    <x:row r="792">
      <x:c r="A792" s="14" t="str">
        <x:v>站点</x:v>
      </x:c>
      <x:c r="B792" s="15" t="str">
        <x:v>马来西亚</x:v>
      </x:c>
      <x:c r="C792" s="16" t="n">
        <x:v>46117</x:v>
      </x:c>
      <x:c r="D792" s="17" t="n">
        <x:v>0</x:v>
      </x:c>
      <x:c r="E792" s="17" t="n">
        <x:v>0</x:v>
      </x:c>
      <x:c r="F792" s="18" t="n">
        <x:v>0</x:v>
      </x:c>
    </x:row>
    <x:row r="793">
      <x:c r="A793" s="14" t="str">
        <x:v>站点</x:v>
      </x:c>
      <x:c r="B793" s="15" t="str">
        <x:v>马来西亚</x:v>
      </x:c>
      <x:c r="C793" s="16" t="n">
        <x:v>46118</x:v>
      </x:c>
      <x:c r="D793" s="17" t="n">
        <x:v>0</x:v>
      </x:c>
      <x:c r="E793" s="17" t="n">
        <x:v>0</x:v>
      </x:c>
      <x:c r="F793" s="18" t="n">
        <x:v>0</x:v>
      </x:c>
    </x:row>
    <x:row r="794">
      <x:c r="A794" s="14" t="str">
        <x:v>站点</x:v>
      </x:c>
      <x:c r="B794" s="15" t="str">
        <x:v>马来西亚</x:v>
      </x:c>
      <x:c r="C794" s="16" t="n">
        <x:v>46119</x:v>
      </x:c>
      <x:c r="D794" s="17" t="n">
        <x:v>6</x:v>
      </x:c>
      <x:c r="E794" s="17" t="n">
        <x:v>7</x:v>
      </x:c>
      <x:c r="F794" s="18" t="n">
        <x:v>86.51</x:v>
      </x:c>
    </x:row>
    <x:row r="795">
      <x:c r="A795" s="14" t="str">
        <x:v>站点</x:v>
      </x:c>
      <x:c r="B795" s="15" t="str">
        <x:v>马来西亚</x:v>
      </x:c>
      <x:c r="C795" s="16" t="n">
        <x:v>46120</x:v>
      </x:c>
      <x:c r="D795" s="17" t="n">
        <x:v>6</x:v>
      </x:c>
      <x:c r="E795" s="17" t="n">
        <x:v>7</x:v>
      </x:c>
      <x:c r="F795" s="18" t="n">
        <x:v>37.71</x:v>
      </x:c>
    </x:row>
    <x:row r="796">
      <x:c r="A796" s="14" t="str">
        <x:v>站点</x:v>
      </x:c>
      <x:c r="B796" s="15" t="str">
        <x:v>马来西亚</x:v>
      </x:c>
      <x:c r="C796" s="16" t="n">
        <x:v>46121</x:v>
      </x:c>
      <x:c r="D796" s="17" t="n">
        <x:v>2</x:v>
      </x:c>
      <x:c r="E796" s="17" t="n">
        <x:v>3</x:v>
      </x:c>
      <x:c r="F796" s="18" t="n">
        <x:v>70.42</x:v>
      </x:c>
    </x:row>
    <x:row r="797">
      <x:c r="A797" s="14" t="str">
        <x:v>站点</x:v>
      </x:c>
      <x:c r="B797" s="15" t="str">
        <x:v>马来西亚</x:v>
      </x:c>
      <x:c r="C797" s="16" t="n">
        <x:v>46122</x:v>
      </x:c>
      <x:c r="D797" s="17" t="n">
        <x:v>2</x:v>
      </x:c>
      <x:c r="E797" s="17" t="n">
        <x:v>4</x:v>
      </x:c>
      <x:c r="F797" s="18" t="n">
        <x:v>83.2</x:v>
      </x:c>
    </x:row>
    <x:row r="798">
      <x:c r="A798" s="14" t="str">
        <x:v>站点</x:v>
      </x:c>
      <x:c r="B798" s="15" t="str">
        <x:v>马来西亚</x:v>
      </x:c>
      <x:c r="C798" s="16" t="n">
        <x:v>46123</x:v>
      </x:c>
      <x:c r="D798" s="17" t="n">
        <x:v>1</x:v>
      </x:c>
      <x:c r="E798" s="17" t="n">
        <x:v>3</x:v>
      </x:c>
      <x:c r="F798" s="18" t="n">
        <x:v>54.82</x:v>
      </x:c>
    </x:row>
    <x:row r="799">
      <x:c r="A799" s="14" t="str">
        <x:v>站点</x:v>
      </x:c>
      <x:c r="B799" s="15" t="str">
        <x:v>马来西亚</x:v>
      </x:c>
      <x:c r="C799" s="16" t="n">
        <x:v>46124</x:v>
      </x:c>
      <x:c r="D799" s="17" t="n">
        <x:v>1</x:v>
      </x:c>
      <x:c r="E799" s="17" t="n">
        <x:v>1</x:v>
      </x:c>
      <x:c r="F799" s="18" t="n">
        <x:v>28.38</x:v>
      </x:c>
    </x:row>
    <x:row r="800">
      <x:c r="A800" s="14" t="str">
        <x:v>站点</x:v>
      </x:c>
      <x:c r="B800" s="15" t="str">
        <x:v>马来西亚</x:v>
      </x:c>
      <x:c r="C800" s="16" t="n">
        <x:v>46125</x:v>
      </x:c>
      <x:c r="D800" s="17" t="n">
        <x:v>4</x:v>
      </x:c>
      <x:c r="E800" s="17" t="n">
        <x:v>5</x:v>
      </x:c>
      <x:c r="F800" s="18" t="n">
        <x:v>29.74</x:v>
      </x:c>
    </x:row>
    <x:row r="801">
      <x:c r="A801" s="14" t="str">
        <x:v>站点</x:v>
      </x:c>
      <x:c r="B801" s="15" t="str">
        <x:v>马来西亚</x:v>
      </x:c>
      <x:c r="C801" s="16" t="n">
        <x:v>46126</x:v>
      </x:c>
      <x:c r="D801" s="17" t="n">
        <x:v>9</x:v>
      </x:c>
      <x:c r="E801" s="17" t="n">
        <x:v>10</x:v>
      </x:c>
      <x:c r="F801" s="18" t="n">
        <x:v>35.12</x:v>
      </x:c>
    </x:row>
    <x:row r="802">
      <x:c r="A802" s="14" t="str">
        <x:v>站点</x:v>
      </x:c>
      <x:c r="B802" s="15" t="str">
        <x:v>马来西亚</x:v>
      </x:c>
      <x:c r="C802" s="16" t="n">
        <x:v>46127</x:v>
      </x:c>
      <x:c r="D802" s="17" t="n">
        <x:v>25</x:v>
      </x:c>
      <x:c r="E802" s="17" t="n">
        <x:v>27</x:v>
      </x:c>
      <x:c r="F802" s="18" t="n">
        <x:v>21.3</x:v>
      </x:c>
    </x:row>
    <x:row r="803">
      <x:c r="A803" s="14" t="str">
        <x:v>站点</x:v>
      </x:c>
      <x:c r="B803" s="15" t="str">
        <x:v>马来西亚</x:v>
      </x:c>
      <x:c r="C803" s="16" t="n">
        <x:v>46128</x:v>
      </x:c>
      <x:c r="D803" s="17" t="n">
        <x:v>8</x:v>
      </x:c>
      <x:c r="E803" s="17" t="n">
        <x:v>9</x:v>
      </x:c>
      <x:c r="F803" s="18" t="n">
        <x:v>123.73</x:v>
      </x:c>
    </x:row>
    <x:row r="804">
      <x:c r="A804" s="14" t="str">
        <x:v>站点</x:v>
      </x:c>
      <x:c r="B804" s="15" t="str">
        <x:v>马来西亚</x:v>
      </x:c>
      <x:c r="C804" s="16" t="n">
        <x:v>46129</x:v>
      </x:c>
      <x:c r="D804" s="17" t="n">
        <x:v>7</x:v>
      </x:c>
      <x:c r="E804" s="17" t="n">
        <x:v>7</x:v>
      </x:c>
      <x:c r="F804" s="18" t="n">
        <x:v>-6.05</x:v>
      </x:c>
    </x:row>
    <x:row r="805">
      <x:c r="A805" s="14" t="str">
        <x:v>站点</x:v>
      </x:c>
      <x:c r="B805" s="15" t="str">
        <x:v>马来西亚</x:v>
      </x:c>
      <x:c r="C805" s="16" t="n">
        <x:v>46130</x:v>
      </x:c>
      <x:c r="D805" s="17" t="n">
        <x:v>4</x:v>
      </x:c>
      <x:c r="E805" s="17" t="n">
        <x:v>6</x:v>
      </x:c>
      <x:c r="F805" s="18" t="n">
        <x:v>81.47</x:v>
      </x:c>
    </x:row>
    <x:row r="806">
      <x:c r="A806" s="14" t="str">
        <x:v>站点</x:v>
      </x:c>
      <x:c r="B806" s="15" t="str">
        <x:v>马来西亚</x:v>
      </x:c>
      <x:c r="C806" s="16" t="n">
        <x:v>46131</x:v>
      </x:c>
      <x:c r="D806" s="17" t="n">
        <x:v>0</x:v>
      </x:c>
      <x:c r="E806" s="17" t="n">
        <x:v>0</x:v>
      </x:c>
      <x:c r="F806" s="18" t="n">
        <x:v>0</x:v>
      </x:c>
    </x:row>
    <x:row r="807">
      <x:c r="A807" s="14" t="str">
        <x:v>站点</x:v>
      </x:c>
      <x:c r="B807" s="15" t="str">
        <x:v>马来西亚</x:v>
      </x:c>
      <x:c r="C807" s="16" t="n">
        <x:v>46132</x:v>
      </x:c>
      <x:c r="D807" s="17" t="n">
        <x:v>1</x:v>
      </x:c>
      <x:c r="E807" s="17" t="n">
        <x:v>1</x:v>
      </x:c>
      <x:c r="F807" s="18" t="n">
        <x:v>28.38</x:v>
      </x:c>
    </x:row>
    <x:row r="808">
      <x:c r="A808" s="14" t="str">
        <x:v>站点</x:v>
      </x:c>
      <x:c r="B808" s="15" t="str">
        <x:v>马来西亚</x:v>
      </x:c>
      <x:c r="C808" s="16" t="n">
        <x:v>46133</x:v>
      </x:c>
      <x:c r="D808" s="17" t="n">
        <x:v>5</x:v>
      </x:c>
      <x:c r="E808" s="17" t="n">
        <x:v>6</x:v>
      </x:c>
      <x:c r="F808" s="18" t="n">
        <x:v>28.88</x:v>
      </x:c>
    </x:row>
    <x:row r="809">
      <x:c r="A809" s="14" t="str">
        <x:v>站点</x:v>
      </x:c>
      <x:c r="B809" s="15" t="str">
        <x:v>马来西亚</x:v>
      </x:c>
      <x:c r="C809" s="16" t="n">
        <x:v>46134</x:v>
      </x:c>
      <x:c r="D809" s="17" t="n">
        <x:v>3</x:v>
      </x:c>
      <x:c r="E809" s="17" t="n">
        <x:v>4</x:v>
      </x:c>
      <x:c r="F809" s="18" t="n">
        <x:v>30.61</x:v>
      </x:c>
    </x:row>
    <x:row r="810">
      <x:c r="A810" s="14" t="str">
        <x:v>站点</x:v>
      </x:c>
      <x:c r="B810" s="15" t="str">
        <x:v>马来西亚</x:v>
      </x:c>
      <x:c r="C810" s="16" t="n">
        <x:v>46135</x:v>
      </x:c>
      <x:c r="D810" s="17" t="n">
        <x:v>1</x:v>
      </x:c>
      <x:c r="E810" s="17" t="n">
        <x:v>1</x:v>
      </x:c>
      <x:c r="F810" s="18" t="n">
        <x:v>28.38</x:v>
      </x:c>
    </x:row>
    <x:row r="811">
      <x:c r="A811" s="14" t="str">
        <x:v>站点</x:v>
      </x:c>
      <x:c r="B811" s="15" t="str">
        <x:v>马来西亚</x:v>
      </x:c>
      <x:c r="C811" s="16" t="n">
        <x:v>46136</x:v>
      </x:c>
      <x:c r="D811" s="17" t="n">
        <x:v>13</x:v>
      </x:c>
      <x:c r="E811" s="17" t="n">
        <x:v>14</x:v>
      </x:c>
      <x:c r="F811" s="18" t="n">
        <x:v>80.46</x:v>
      </x:c>
    </x:row>
    <x:row r="812">
      <x:c r="A812" s="14" t="str">
        <x:v>站点</x:v>
      </x:c>
      <x:c r="B812" s="15" t="str">
        <x:v>马来西亚</x:v>
      </x:c>
      <x:c r="C812" s="16" t="n">
        <x:v>46137</x:v>
      </x:c>
      <x:c r="D812" s="17" t="n">
        <x:v>7</x:v>
      </x:c>
      <x:c r="E812" s="17" t="n">
        <x:v>7</x:v>
      </x:c>
      <x:c r="F812" s="18" t="n">
        <x:v>84.24</x:v>
      </x:c>
    </x:row>
    <x:row r="813">
      <x:c r="A813" s="14" t="str">
        <x:v>站点</x:v>
      </x:c>
      <x:c r="B813" s="15" t="str">
        <x:v>马来西亚</x:v>
      </x:c>
      <x:c r="C813" s="16" t="n">
        <x:v>46138</x:v>
      </x:c>
      <x:c r="D813" s="17" t="n">
        <x:v>4</x:v>
      </x:c>
      <x:c r="E813" s="17" t="n">
        <x:v>8</x:v>
      </x:c>
      <x:c r="F813" s="18" t="n">
        <x:v>180.06</x:v>
      </x:c>
    </x:row>
    <x:row r="814">
      <x:c r="A814" s="14" t="str">
        <x:v>站点</x:v>
      </x:c>
      <x:c r="B814" s="15" t="str">
        <x:v>马来西亚</x:v>
      </x:c>
      <x:c r="C814" s="16" t="n">
        <x:v>46139</x:v>
      </x:c>
      <x:c r="D814" s="17" t="n">
        <x:v>6</x:v>
      </x:c>
      <x:c r="E814" s="17" t="n">
        <x:v>6</x:v>
      </x:c>
      <x:c r="F814" s="18" t="n">
        <x:v>53.31</x:v>
      </x:c>
    </x:row>
    <x:row r="815">
      <x:c r="A815" s="14" t="str">
        <x:v>站点</x:v>
      </x:c>
      <x:c r="B815" s="15" t="str">
        <x:v>马来西亚</x:v>
      </x:c>
      <x:c r="C815" s="16" t="n">
        <x:v>46140</x:v>
      </x:c>
      <x:c r="D815" s="17" t="n">
        <x:v>10</x:v>
      </x:c>
      <x:c r="E815" s="17" t="n">
        <x:v>10</x:v>
      </x:c>
      <x:c r="F815" s="18" t="n">
        <x:v>-8.64</x:v>
      </x:c>
    </x:row>
    <x:row r="816">
      <x:c r="A816" s="14" t="str">
        <x:v>站点</x:v>
      </x:c>
      <x:c r="B816" s="15" t="str">
        <x:v>马来西亚</x:v>
      </x:c>
      <x:c r="C816" s="16" t="n">
        <x:v>46141</x:v>
      </x:c>
      <x:c r="D816" s="17" t="n">
        <x:v>24</x:v>
      </x:c>
      <x:c r="E816" s="17" t="n">
        <x:v>24</x:v>
      </x:c>
      <x:c r="F816" s="18" t="n">
        <x:v>8.51</x:v>
      </x:c>
    </x:row>
    <x:row r="817">
      <x:c r="A817" s="14" t="str">
        <x:v>站点</x:v>
      </x:c>
      <x:c r="B817" s="15" t="str">
        <x:v>马来西亚</x:v>
      </x:c>
      <x:c r="C817" s="16" t="n">
        <x:v>46142</x:v>
      </x:c>
      <x:c r="D817" s="17" t="n">
        <x:v>7</x:v>
      </x:c>
      <x:c r="E817" s="17" t="n">
        <x:v>7</x:v>
      </x:c>
      <x:c r="F817" s="18" t="n">
        <x:v>23.2</x:v>
      </x:c>
    </x:row>
    <x:row r="818">
      <x:c r="A818" s="14" t="str">
        <x:v>站点</x:v>
      </x:c>
      <x:c r="B818" s="15" t="str">
        <x:v>马来西亚</x:v>
      </x:c>
      <x:c r="C818" s="16" t="n">
        <x:v>46143</x:v>
      </x:c>
      <x:c r="D818" s="17" t="n">
        <x:v>2</x:v>
      </x:c>
      <x:c r="E818" s="17" t="n">
        <x:v>3</x:v>
      </x:c>
      <x:c r="F818" s="18" t="n">
        <x:v>27.74</x:v>
      </x:c>
    </x:row>
    <x:row r="819">
      <x:c r="A819" s="14" t="str">
        <x:v>站点</x:v>
      </x:c>
      <x:c r="B819" s="15" t="str">
        <x:v>马来西亚</x:v>
      </x:c>
      <x:c r="C819" s="16" t="n">
        <x:v>46144</x:v>
      </x:c>
      <x:c r="D819" s="17" t="n">
        <x:v>3</x:v>
      </x:c>
      <x:c r="E819" s="17" t="n">
        <x:v>3</x:v>
      </x:c>
      <x:c r="F819" s="18" t="n">
        <x:v>55.9</x:v>
      </x:c>
    </x:row>
    <x:row r="820">
      <x:c r="A820" s="14" t="str">
        <x:v>站点</x:v>
      </x:c>
      <x:c r="B820" s="15" t="str">
        <x:v>马来西亚</x:v>
      </x:c>
      <x:c r="C820" s="16" t="n">
        <x:v>46145</x:v>
      </x:c>
      <x:c r="D820" s="17" t="n">
        <x:v>2</x:v>
      </x:c>
      <x:c r="E820" s="17" t="n">
        <x:v>2</x:v>
      </x:c>
      <x:c r="F820" s="18" t="n">
        <x:v>27.52</x:v>
      </x:c>
    </x:row>
    <x:row r="821">
      <x:c r="A821" s="14" t="str">
        <x:v>站点</x:v>
      </x:c>
      <x:c r="B821" s="15" t="str">
        <x:v>马来西亚</x:v>
      </x:c>
      <x:c r="C821" s="16" t="n">
        <x:v>46146</x:v>
      </x:c>
      <x:c r="D821" s="17" t="n">
        <x:v>1</x:v>
      </x:c>
      <x:c r="E821" s="17" t="n">
        <x:v>2</x:v>
      </x:c>
      <x:c r="F821" s="18" t="n">
        <x:v>42.03</x:v>
      </x:c>
    </x:row>
    <x:row r="822">
      <x:c r="A822" s="14" t="str">
        <x:v>站点</x:v>
      </x:c>
      <x:c r="B822" s="15" t="str">
        <x:v>马来西亚</x:v>
      </x:c>
      <x:c r="C822" s="16" t="n">
        <x:v>46147</x:v>
      </x:c>
      <x:c r="D822" s="17" t="n">
        <x:v>2</x:v>
      </x:c>
      <x:c r="E822" s="17" t="n">
        <x:v>4</x:v>
      </x:c>
      <x:c r="F822" s="18" t="n">
        <x:v>100.05</x:v>
      </x:c>
    </x:row>
    <x:row r="823">
      <x:c r="A823" s="14" t="str">
        <x:v>站点</x:v>
      </x:c>
      <x:c r="B823" s="15" t="str">
        <x:v>马来西亚</x:v>
      </x:c>
      <x:c r="C823" s="16" t="n">
        <x:v>46148</x:v>
      </x:c>
      <x:c r="D823" s="17" t="n">
        <x:v>11</x:v>
      </x:c>
      <x:c r="E823" s="17" t="n">
        <x:v>11</x:v>
      </x:c>
      <x:c r="F823" s="18" t="n">
        <x:v>48.99</x:v>
      </x:c>
    </x:row>
    <x:row r="824">
      <x:c r="A824" s="14" t="str">
        <x:v>站点</x:v>
      </x:c>
      <x:c r="B824" s="15" t="str">
        <x:v>马来西亚</x:v>
      </x:c>
      <x:c r="C824" s="16" t="n">
        <x:v>46149</x:v>
      </x:c>
      <x:c r="D824" s="17" t="n">
        <x:v>27</x:v>
      </x:c>
      <x:c r="E824" s="17" t="n">
        <x:v>30</x:v>
      </x:c>
      <x:c r="F824" s="18" t="n">
        <x:v>161.82</x:v>
      </x:c>
    </x:row>
    <x:row r="825">
      <x:c r="A825" s="14" t="str">
        <x:v>站点</x:v>
      </x:c>
      <x:c r="B825" s="15" t="str">
        <x:v>马来西亚</x:v>
      </x:c>
      <x:c r="C825" s="16" t="n">
        <x:v>46150</x:v>
      </x:c>
      <x:c r="D825" s="17" t="n">
        <x:v>16</x:v>
      </x:c>
      <x:c r="E825" s="17" t="n">
        <x:v>20</x:v>
      </x:c>
      <x:c r="F825" s="18" t="n">
        <x:v>107.79</x:v>
      </x:c>
    </x:row>
    <x:row r="826">
      <x:c r="A826" s="14" t="str">
        <x:v>站点</x:v>
      </x:c>
      <x:c r="B826" s="15" t="str">
        <x:v>马来西亚</x:v>
      </x:c>
      <x:c r="C826" s="16" t="n">
        <x:v>46151</x:v>
      </x:c>
      <x:c r="D826" s="17" t="n">
        <x:v>8</x:v>
      </x:c>
      <x:c r="E826" s="17" t="n">
        <x:v>13</x:v>
      </x:c>
      <x:c r="F826" s="18" t="n">
        <x:v>123.73</x:v>
      </x:c>
    </x:row>
    <x:row r="827">
      <x:c r="A827" s="14" t="str">
        <x:v>站点</x:v>
      </x:c>
      <x:c r="B827" s="15" t="str">
        <x:v>马来西亚</x:v>
      </x:c>
      <x:c r="C827" s="16" t="n">
        <x:v>46152</x:v>
      </x:c>
      <x:c r="D827" s="17" t="n">
        <x:v>5</x:v>
      </x:c>
      <x:c r="E827" s="17" t="n">
        <x:v>5</x:v>
      </x:c>
      <x:c r="F827" s="18" t="n">
        <x:v>55.66</x:v>
      </x:c>
    </x:row>
    <x:row r="828">
      <x:c r="A828" s="14" t="str">
        <x:v>站点</x:v>
      </x:c>
      <x:c r="B828" s="15" t="str">
        <x:v>马来西亚</x:v>
      </x:c>
      <x:c r="C828" s="16" t="n">
        <x:v>46153</x:v>
      </x:c>
      <x:c r="D828" s="17" t="n">
        <x:v>4</x:v>
      </x:c>
      <x:c r="E828" s="17" t="n">
        <x:v>6</x:v>
      </x:c>
      <x:c r="F828" s="18" t="n">
        <x:v>95.66</x:v>
      </x:c>
    </x:row>
    <x:row r="829">
      <x:c r="A829" s="14" t="str">
        <x:v>站点</x:v>
      </x:c>
      <x:c r="B829" s="15" t="str">
        <x:v>马来西亚</x:v>
      </x:c>
      <x:c r="C829" s="16" t="n">
        <x:v>46154</x:v>
      </x:c>
      <x:c r="D829" s="17" t="n">
        <x:v>6</x:v>
      </x:c>
      <x:c r="E829" s="17" t="n">
        <x:v>7</x:v>
      </x:c>
      <x:c r="F829" s="18" t="n">
        <x:v>26.61</x:v>
      </x:c>
    </x:row>
    <x:row r="830">
      <x:c r="A830" s="14" t="str">
        <x:v>站点</x:v>
      </x:c>
      <x:c r="B830" s="15" t="str">
        <x:v>马来西亚</x:v>
      </x:c>
      <x:c r="C830" s="16" t="n">
        <x:v>46155</x:v>
      </x:c>
      <x:c r="D830" s="17" t="n">
        <x:v>9</x:v>
      </x:c>
      <x:c r="E830" s="17" t="n">
        <x:v>10</x:v>
      </x:c>
      <x:c r="F830" s="18" t="n">
        <x:v>21.47</x:v>
      </x:c>
    </x:row>
    <x:row r="831">
      <x:c r="A831" s="14" t="str">
        <x:v>站点</x:v>
      </x:c>
      <x:c r="B831" s="15" t="str">
        <x:v>马来西亚</x:v>
      </x:c>
      <x:c r="C831" s="16" t="n">
        <x:v>46156</x:v>
      </x:c>
      <x:c r="D831" s="17" t="n">
        <x:v>12</x:v>
      </x:c>
      <x:c r="E831" s="17" t="n">
        <x:v>17</x:v>
      </x:c>
      <x:c r="F831" s="18" t="n">
        <x:v>91.02</x:v>
      </x:c>
    </x:row>
    <x:row r="832">
      <x:c r="A832" s="14" t="str">
        <x:v>站点</x:v>
      </x:c>
      <x:c r="B832" s="15" t="str">
        <x:v>马来西亚</x:v>
      </x:c>
      <x:c r="C832" s="16" t="n">
        <x:v>46157</x:v>
      </x:c>
      <x:c r="D832" s="17" t="n">
        <x:v>6</x:v>
      </x:c>
      <x:c r="E832" s="17" t="n">
        <x:v>6</x:v>
      </x:c>
      <x:c r="F832" s="18" t="n">
        <x:v>-5.18</x:v>
      </x:c>
    </x:row>
    <x:row r="833">
      <x:c r="A833" s="14" t="str">
        <x:v>站点</x:v>
      </x:c>
      <x:c r="B833" s="15" t="str">
        <x:v>马来西亚</x:v>
      </x:c>
      <x:c r="C833" s="16" t="n">
        <x:v>46158</x:v>
      </x:c>
      <x:c r="D833" s="17" t="n">
        <x:v>2</x:v>
      </x:c>
      <x:c r="E833" s="17" t="n">
        <x:v>3</x:v>
      </x:c>
      <x:c r="F833" s="18" t="n">
        <x:v>41.18</x:v>
      </x:c>
    </x:row>
    <x:row r="834">
      <x:c r="A834" s="14" t="str">
        <x:v>站点</x:v>
      </x:c>
      <x:c r="B834" s="15" t="str">
        <x:v>马来西亚</x:v>
      </x:c>
      <x:c r="C834" s="16" t="n">
        <x:v>46159</x:v>
      </x:c>
      <x:c r="D834" s="17" t="n">
        <x:v>1</x:v>
      </x:c>
      <x:c r="E834" s="17" t="n">
        <x:v>4</x:v>
      </x:c>
      <x:c r="F834" s="18" t="n">
        <x:v>54.82</x:v>
      </x:c>
    </x:row>
    <x:row r="835">
      <x:c r="A835" s="14" t="str">
        <x:v>站点</x:v>
      </x:c>
      <x:c r="B835" s="15" t="str">
        <x:v>马来西亚</x:v>
      </x:c>
      <x:c r="C835" s="16" t="n">
        <x:v>46160</x:v>
      </x:c>
      <x:c r="D835" s="17" t="n">
        <x:v>2</x:v>
      </x:c>
      <x:c r="E835" s="17" t="n">
        <x:v>4</x:v>
      </x:c>
      <x:c r="F835" s="18" t="n">
        <x:v>56.77</x:v>
      </x:c>
    </x:row>
    <x:row r="836">
      <x:c r="A836" s="14" t="str">
        <x:v>站点</x:v>
      </x:c>
      <x:c r="B836" s="15" t="str">
        <x:v>马来西亚</x:v>
      </x:c>
      <x:c r="C836" s="16" t="n">
        <x:v>46161</x:v>
      </x:c>
      <x:c r="D836" s="17" t="n">
        <x:v>8</x:v>
      </x:c>
      <x:c r="E836" s="17" t="n">
        <x:v>19</x:v>
      </x:c>
      <x:c r="F836" s="18" t="n">
        <x:v>251.55</x:v>
      </x:c>
    </x:row>
    <x:row r="837">
      <x:c r="A837" s="14" t="str">
        <x:v>站点</x:v>
      </x:c>
      <x:c r="B837" s="15" t="str">
        <x:v>马来西亚</x:v>
      </x:c>
      <x:c r="C837" s="16" t="n">
        <x:v>46162</x:v>
      </x:c>
      <x:c r="D837" s="17" t="n">
        <x:v>14</x:v>
      </x:c>
      <x:c r="E837" s="17" t="n">
        <x:v>15</x:v>
      </x:c>
      <x:c r="F837" s="18" t="n">
        <x:v>115.74</x:v>
      </x:c>
    </x:row>
    <x:row r="838">
      <x:c r="A838" s="14" t="str">
        <x:v>站点</x:v>
      </x:c>
      <x:c r="B838" s="15" t="str">
        <x:v>马来西亚</x:v>
      </x:c>
      <x:c r="C838" s="16" t="n">
        <x:v>46163</x:v>
      </x:c>
      <x:c r="D838" s="17" t="n">
        <x:v>2</x:v>
      </x:c>
      <x:c r="E838" s="17" t="n">
        <x:v>4</x:v>
      </x:c>
      <x:c r="F838" s="18" t="n">
        <x:v>74.37</x:v>
      </x:c>
    </x:row>
    <x:row r="839">
      <x:c r="A839" s="14" t="str">
        <x:v>站点</x:v>
      </x:c>
      <x:c r="B839" s="15" t="str">
        <x:v>马来西亚</x:v>
      </x:c>
      <x:c r="C839" s="16" t="n">
        <x:v>46164</x:v>
      </x:c>
      <x:c r="D839" s="17" t="n">
        <x:v>0</x:v>
      </x:c>
      <x:c r="E839" s="17" t="n">
        <x:v>0</x:v>
      </x:c>
      <x:c r="F839" s="18" t="n">
        <x:v>0</x:v>
      </x:c>
    </x:row>
    <x:row r="840">
      <x:c r="A840" s="14" t="str">
        <x:v>站点</x:v>
      </x:c>
      <x:c r="B840" s="15" t="str">
        <x:v>马来西亚</x:v>
      </x:c>
      <x:c r="C840" s="16" t="n">
        <x:v>46165</x:v>
      </x:c>
      <x:c r="D840" s="17" t="n">
        <x:v>3</x:v>
      </x:c>
      <x:c r="E840" s="17" t="n">
        <x:v>6</x:v>
      </x:c>
      <x:c r="F840" s="18" t="n">
        <x:v>98.82</x:v>
      </x:c>
    </x:row>
    <x:row r="841">
      <x:c r="A841" s="14" t="str">
        <x:v>站点</x:v>
      </x:c>
      <x:c r="B841" s="15" t="str">
        <x:v>马来西亚</x:v>
      </x:c>
      <x:c r="C841" s="16" t="n">
        <x:v>46166</x:v>
      </x:c>
      <x:c r="D841" s="17" t="n">
        <x:v>1</x:v>
      </x:c>
      <x:c r="E841" s="17" t="n">
        <x:v>6</x:v>
      </x:c>
      <x:c r="F841" s="18" t="n">
        <x:v>80.42</x:v>
      </x:c>
    </x:row>
    <x:row r="842">
      <x:c r="A842" s="14" t="str">
        <x:v>站点</x:v>
      </x:c>
      <x:c r="B842" s="15" t="str">
        <x:v>马来西亚</x:v>
      </x:c>
      <x:c r="C842" s="16" t="n">
        <x:v>46167</x:v>
      </x:c>
      <x:c r="D842" s="17" t="n">
        <x:v>0</x:v>
      </x:c>
      <x:c r="E842" s="17" t="n">
        <x:v>0</x:v>
      </x:c>
      <x:c r="F842" s="18" t="n">
        <x:v>0</x:v>
      </x:c>
    </x:row>
    <x:row r="843">
      <x:c r="A843" s="14" t="str">
        <x:v>站点</x:v>
      </x:c>
      <x:c r="B843" s="15" t="str">
        <x:v>马来西亚</x:v>
      </x:c>
      <x:c r="C843" s="16" t="n">
        <x:v>46168</x:v>
      </x:c>
      <x:c r="D843" s="17" t="n">
        <x:v>1</x:v>
      </x:c>
      <x:c r="E843" s="17" t="n">
        <x:v>3</x:v>
      </x:c>
      <x:c r="F843" s="18" t="n">
        <x:v>42.03</x:v>
      </x:c>
    </x:row>
    <x:row r="844">
      <x:c r="A844" s="14" t="str">
        <x:v>站点</x:v>
      </x:c>
      <x:c r="B844" s="15" t="str">
        <x:v>马来西亚</x:v>
      </x:c>
      <x:c r="C844" s="16" t="n">
        <x:v>46169</x:v>
      </x:c>
      <x:c r="D844" s="17" t="n">
        <x:v>0</x:v>
      </x:c>
      <x:c r="E844" s="17" t="n">
        <x:v>0</x:v>
      </x:c>
      <x:c r="F844" s="18" t="n">
        <x:v>0</x:v>
      </x:c>
    </x:row>
    <x:row r="845">
      <x:c r="A845" s="14" t="str">
        <x:v>站点</x:v>
      </x:c>
      <x:c r="B845" s="15" t="str">
        <x:v>马来西亚</x:v>
      </x:c>
      <x:c r="C845" s="16" t="n">
        <x:v>46170</x:v>
      </x:c>
      <x:c r="D845" s="17" t="n">
        <x:v>11</x:v>
      </x:c>
      <x:c r="E845" s="17" t="n">
        <x:v>11</x:v>
      </x:c>
      <x:c r="F845" s="18" t="n">
        <x:v>19.97</x:v>
      </x:c>
    </x:row>
    <x:row r="846">
      <x:c r="A846" s="14" t="str">
        <x:v>站点</x:v>
      </x:c>
      <x:c r="B846" s="15" t="str">
        <x:v>马来西亚</x:v>
      </x:c>
      <x:c r="C846" s="16" t="n">
        <x:v>46171</x:v>
      </x:c>
      <x:c r="D846" s="17" t="n">
        <x:v>0</x:v>
      </x:c>
      <x:c r="E846" s="17" t="n">
        <x:v>0</x:v>
      </x:c>
      <x:c r="F846" s="18" t="n">
        <x:v>0</x:v>
      </x:c>
    </x:row>
    <x:row r="847">
      <x:c r="A847" s="14" t="str">
        <x:v>站点</x:v>
      </x:c>
      <x:c r="B847" s="15" t="str">
        <x:v>马来西亚</x:v>
      </x:c>
      <x:c r="C847" s="16" t="n">
        <x:v>46172</x:v>
      </x:c>
      <x:c r="D847" s="17" t="n">
        <x:v>0</x:v>
      </x:c>
      <x:c r="E847" s="17" t="n">
        <x:v>0</x:v>
      </x:c>
      <x:c r="F847" s="18" t="n">
        <x:v>0</x:v>
      </x:c>
    </x:row>
    <x:row r="848">
      <x:c r="A848" s="14" t="str">
        <x:v>站点</x:v>
      </x:c>
      <x:c r="B848" s="15" t="str">
        <x:v>马来西亚</x:v>
      </x:c>
      <x:c r="C848" s="16" t="n">
        <x:v>46173</x:v>
      </x:c>
      <x:c r="D848" s="17" t="n">
        <x:v>0</x:v>
      </x:c>
      <x:c r="E848" s="17" t="n">
        <x:v>0</x:v>
      </x:c>
      <x:c r="F848" s="18" t="n">
        <x:v>0</x:v>
      </x:c>
    </x:row>
    <x:row r="849">
      <x:c r="A849" s="14" t="str">
        <x:v>站点</x:v>
      </x:c>
      <x:c r="B849" s="15" t="str">
        <x:v>马来西亚</x:v>
      </x:c>
      <x:c r="C849" s="16" t="n">
        <x:v>46174</x:v>
      </x:c>
      <x:c r="D849" s="17" t="n">
        <x:v>2</x:v>
      </x:c>
      <x:c r="E849" s="17" t="n">
        <x:v>3</x:v>
      </x:c>
      <x:c r="F849" s="18" t="n">
        <x:v>74.37</x:v>
      </x:c>
    </x:row>
    <x:row r="850">
      <x:c r="A850" s="14" t="str">
        <x:v>站点</x:v>
      </x:c>
      <x:c r="B850" s="15" t="str">
        <x:v>马来西亚</x:v>
      </x:c>
      <x:c r="C850" s="16" t="n">
        <x:v>46175</x:v>
      </x:c>
      <x:c r="D850" s="17" t="n">
        <x:v>0</x:v>
      </x:c>
      <x:c r="E850" s="17" t="n">
        <x:v>0</x:v>
      </x:c>
      <x:c r="F850" s="18" t="n">
        <x:v>0</x:v>
      </x:c>
    </x:row>
    <x:row r="851">
      <x:c r="A851" s="14" t="str">
        <x:v>站点</x:v>
      </x:c>
      <x:c r="B851" s="15" t="str">
        <x:v>马来西亚</x:v>
      </x:c>
      <x:c r="C851" s="16" t="n">
        <x:v>46176</x:v>
      </x:c>
      <x:c r="D851" s="17" t="n">
        <x:v>0</x:v>
      </x:c>
      <x:c r="E851" s="17" t="n">
        <x:v>0</x:v>
      </x:c>
      <x:c r="F851" s="18" t="n">
        <x:v>0</x:v>
      </x:c>
    </x:row>
    <x:row r="852">
      <x:c r="A852" s="14" t="str">
        <x:v>站点</x:v>
      </x:c>
      <x:c r="B852" s="15" t="str">
        <x:v>马来西亚</x:v>
      </x:c>
      <x:c r="C852" s="16" t="n">
        <x:v>46177</x:v>
      </x:c>
      <x:c r="D852" s="17" t="n">
        <x:v>0</x:v>
      </x:c>
      <x:c r="E852" s="17" t="n">
        <x:v>0</x:v>
      </x:c>
      <x:c r="F852" s="18" t="n">
        <x:v>0</x:v>
      </x:c>
    </x:row>
    <x:row r="853">
      <x:c r="A853" s="14" t="str">
        <x:v>站点</x:v>
      </x:c>
      <x:c r="B853" s="15" t="str">
        <x:v>马来西亚</x:v>
      </x:c>
      <x:c r="C853" s="16" t="n">
        <x:v>46178</x:v>
      </x:c>
      <x:c r="D853" s="17" t="n">
        <x:v>1</x:v>
      </x:c>
      <x:c r="E853" s="17" t="n">
        <x:v>1</x:v>
      </x:c>
      <x:c r="F853" s="18" t="n">
        <x:v>28.38</x:v>
      </x:c>
    </x:row>
    <x:row r="854">
      <x:c r="A854" s="14" t="str">
        <x:v>站点</x:v>
      </x:c>
      <x:c r="B854" s="15" t="str">
        <x:v>马来西亚</x:v>
      </x:c>
      <x:c r="C854" s="16" t="n">
        <x:v>46179</x:v>
      </x:c>
      <x:c r="D854" s="17" t="n">
        <x:v>0</x:v>
      </x:c>
      <x:c r="E854" s="17" t="n">
        <x:v>0</x:v>
      </x:c>
      <x:c r="F854" s="18" t="n">
        <x:v>0</x:v>
      </x:c>
    </x:row>
    <x:row r="855">
      <x:c r="A855" s="14" t="str">
        <x:v>站点</x:v>
      </x:c>
      <x:c r="B855" s="15" t="str">
        <x:v>马来西亚</x:v>
      </x:c>
      <x:c r="C855" s="16" t="n">
        <x:v>46180</x:v>
      </x:c>
      <x:c r="D855" s="17" t="n">
        <x:v>0</x:v>
      </x:c>
      <x:c r="E855" s="17" t="n">
        <x:v>0</x:v>
      </x:c>
      <x:c r="F855" s="18" t="n">
        <x:v>0</x:v>
      </x:c>
    </x:row>
    <x:row r="856">
      <x:c r="A856" s="14" t="str">
        <x:v>站点</x:v>
      </x:c>
      <x:c r="B856" s="15" t="str">
        <x:v>马来西亚</x:v>
      </x:c>
      <x:c r="C856" s="16" t="n">
        <x:v>46181</x:v>
      </x:c>
      <x:c r="D856" s="17" t="n">
        <x:v>0</x:v>
      </x:c>
      <x:c r="E856" s="17" t="n">
        <x:v>0</x:v>
      </x:c>
      <x:c r="F856" s="18" t="n">
        <x:v>0</x:v>
      </x:c>
    </x:row>
    <x:row r="857">
      <x:c r="A857" s="14" t="str">
        <x:v>站点</x:v>
      </x:c>
      <x:c r="B857" s="15" t="str">
        <x:v>马来西亚</x:v>
      </x:c>
      <x:c r="C857" s="16" t="n">
        <x:v>46182</x:v>
      </x:c>
      <x:c r="D857" s="17" t="n">
        <x:v>0</x:v>
      </x:c>
      <x:c r="E857" s="17" t="n">
        <x:v>0</x:v>
      </x:c>
      <x:c r="F857" s="18" t="n">
        <x:v>0</x:v>
      </x:c>
    </x:row>
    <x:row r="858">
      <x:c r="A858" s="14" t="str">
        <x:v>站点</x:v>
      </x:c>
      <x:c r="B858" s="15" t="str">
        <x:v>马来西亚</x:v>
      </x:c>
      <x:c r="C858" s="16" t="n">
        <x:v>46183</x:v>
      </x:c>
      <x:c r="D858" s="17" t="n">
        <x:v>0</x:v>
      </x:c>
      <x:c r="E858" s="17" t="n">
        <x:v>0</x:v>
      </x:c>
      <x:c r="F858" s="18" t="n">
        <x:v>0</x:v>
      </x:c>
    </x:row>
    <x:row r="859">
      <x:c r="A859" s="14" t="str">
        <x:v>站点</x:v>
      </x:c>
      <x:c r="B859" s="15" t="str">
        <x:v>马来西亚</x:v>
      </x:c>
      <x:c r="C859" s="16" t="n">
        <x:v>46184</x:v>
      </x:c>
      <x:c r="D859" s="17" t="n">
        <x:v>0</x:v>
      </x:c>
      <x:c r="E859" s="17" t="n">
        <x:v>0</x:v>
      </x:c>
      <x:c r="F859" s="18" t="n">
        <x:v>0</x:v>
      </x:c>
    </x:row>
    <x:row r="860">
      <x:c r="A860" s="14" t="str">
        <x:v>站点</x:v>
      </x:c>
      <x:c r="B860" s="15" t="str">
        <x:v>马来西亚</x:v>
      </x:c>
      <x:c r="C860" s="16" t="n">
        <x:v>46185</x:v>
      </x:c>
      <x:c r="D860" s="17" t="n">
        <x:v>2</x:v>
      </x:c>
      <x:c r="E860" s="17" t="n">
        <x:v>2</x:v>
      </x:c>
      <x:c r="F860" s="18" t="n">
        <x:v>27.63</x:v>
      </x:c>
    </x:row>
    <x:row r="861">
      <x:c r="A861" s="14" t="str">
        <x:v>站点</x:v>
      </x:c>
      <x:c r="B861" s="15" t="str">
        <x:v>马来西亚</x:v>
      </x:c>
      <x:c r="C861" s="16" t="n">
        <x:v>46186</x:v>
      </x:c>
      <x:c r="D861" s="17" t="n">
        <x:v>1</x:v>
      </x:c>
      <x:c r="E861" s="17" t="n">
        <x:v>1</x:v>
      </x:c>
      <x:c r="F861" s="18" t="n">
        <x:v>19.82</x:v>
      </x:c>
    </x:row>
    <x:row r="862">
      <x:c r="A862" s="14" t="str">
        <x:v>站点</x:v>
      </x:c>
      <x:c r="B862" s="15" t="str">
        <x:v>马来西亚</x:v>
      </x:c>
      <x:c r="C862" s="16" t="n">
        <x:v>46187</x:v>
      </x:c>
      <x:c r="D862" s="17" t="n">
        <x:v>0</x:v>
      </x:c>
      <x:c r="E862" s="17" t="n">
        <x:v>0</x:v>
      </x:c>
      <x:c r="F862" s="18" t="n">
        <x:v>0</x:v>
      </x:c>
    </x:row>
    <x:row r="863">
      <x:c r="A863" s="14" t="str">
        <x:v>站点</x:v>
      </x:c>
      <x:c r="B863" s="15" t="str">
        <x:v>马来西亚</x:v>
      </x:c>
      <x:c r="C863" s="16" t="n">
        <x:v>46188</x:v>
      </x:c>
      <x:c r="D863" s="17" t="n">
        <x:v>3</x:v>
      </x:c>
      <x:c r="E863" s="17" t="n">
        <x:v>8</x:v>
      </x:c>
      <x:c r="F863" s="18" t="n">
        <x:v>84.85</x:v>
      </x:c>
    </x:row>
    <x:row r="864">
      <x:c r="A864" s="14" t="str">
        <x:v>站点</x:v>
      </x:c>
      <x:c r="B864" s="15" t="str">
        <x:v>马来西亚</x:v>
      </x:c>
      <x:c r="C864" s="16" t="n">
        <x:v>46189</x:v>
      </x:c>
      <x:c r="D864" s="17" t="n">
        <x:v>5</x:v>
      </x:c>
      <x:c r="E864" s="17" t="n">
        <x:v>5</x:v>
      </x:c>
      <x:c r="F864" s="18" t="n">
        <x:v>89.2</x:v>
      </x:c>
    </x:row>
    <x:row r="865">
      <x:c r="A865" s="14" t="str">
        <x:v>站点</x:v>
      </x:c>
      <x:c r="B865" s="15" t="str">
        <x:v>马来西亚</x:v>
      </x:c>
      <x:c r="C865" s="16" t="n">
        <x:v>46190</x:v>
      </x:c>
      <x:c r="D865" s="17" t="n">
        <x:v>1</x:v>
      </x:c>
      <x:c r="E865" s="17" t="n">
        <x:v>2</x:v>
      </x:c>
      <x:c r="F865" s="18" t="n">
        <x:v>22.86</x:v>
      </x:c>
    </x:row>
    <x:row r="866">
      <x:c r="A866" s="14" t="str">
        <x:v>站点</x:v>
      </x:c>
      <x:c r="B866" s="15" t="str">
        <x:v>马来西亚</x:v>
      </x:c>
      <x:c r="C866" s="16" t="n">
        <x:v>46191</x:v>
      </x:c>
      <x:c r="D866" s="17" t="n">
        <x:v>2</x:v>
      </x:c>
      <x:c r="E866" s="17" t="n">
        <x:v>5</x:v>
      </x:c>
      <x:c r="F866" s="18" t="n">
        <x:v>51.49</x:v>
      </x:c>
    </x:row>
    <x:row r="867">
      <x:c r="A867" s="14" t="str">
        <x:v>站点</x:v>
      </x:c>
      <x:c r="B867" s="15" t="str">
        <x:v>马来西亚</x:v>
      </x:c>
      <x:c r="C867" s="16" t="n">
        <x:v>46192</x:v>
      </x:c>
      <x:c r="D867" s="17" t="n">
        <x:v>1</x:v>
      </x:c>
      <x:c r="E867" s="17" t="n">
        <x:v>1</x:v>
      </x:c>
      <x:c r="F867" s="18" t="n">
        <x:v>14.74</x:v>
      </x:c>
    </x:row>
    <x:row r="868">
      <x:c r="A868" s="14" t="str">
        <x:v>站点</x:v>
      </x:c>
      <x:c r="B868" s="15" t="str">
        <x:v>马来西亚</x:v>
      </x:c>
      <x:c r="C868" s="16" t="n">
        <x:v>46193</x:v>
      </x:c>
      <x:c r="D868" s="17" t="n">
        <x:v>4</x:v>
      </x:c>
      <x:c r="E868" s="17" t="n">
        <x:v>5</x:v>
      </x:c>
      <x:c r="F868" s="18" t="n">
        <x:v>67.07</x:v>
      </x:c>
    </x:row>
    <x:row r="869">
      <x:c r="A869" s="14" t="str">
        <x:v>站点</x:v>
      </x:c>
      <x:c r="B869" s="15" t="str">
        <x:v>马来西亚</x:v>
      </x:c>
      <x:c r="C869" s="16" t="n">
        <x:v>46194</x:v>
      </x:c>
      <x:c r="D869" s="17" t="n">
        <x:v>0</x:v>
      </x:c>
      <x:c r="E869" s="17" t="n">
        <x:v>0</x:v>
      </x:c>
      <x:c r="F869" s="18" t="n">
        <x:v>0</x:v>
      </x:c>
    </x:row>
    <x:row r="870">
      <x:c r="A870" s="14" t="str">
        <x:v>站点</x:v>
      </x:c>
      <x:c r="B870" s="15" t="str">
        <x:v>马来西亚</x:v>
      </x:c>
      <x:c r="C870" s="16" t="n">
        <x:v>46195</x:v>
      </x:c>
      <x:c r="D870" s="17" t="n">
        <x:v>2</x:v>
      </x:c>
      <x:c r="E870" s="17" t="n">
        <x:v>2</x:v>
      </x:c>
      <x:c r="F870" s="18" t="n">
        <x:v>29.47</x:v>
      </x:c>
    </x:row>
    <x:row r="871">
      <x:c r="A871" s="14" t="str">
        <x:v>站点</x:v>
      </x:c>
      <x:c r="B871" s="15" t="str">
        <x:v>马来西亚</x:v>
      </x:c>
      <x:c r="C871" s="16" t="n">
        <x:v>46196</x:v>
      </x:c>
      <x:c r="D871" s="17" t="n">
        <x:v>1</x:v>
      </x:c>
      <x:c r="E871" s="17" t="n">
        <x:v>1</x:v>
      </x:c>
      <x:c r="F871" s="18" t="n">
        <x:v>14.74</x:v>
      </x:c>
    </x:row>
    <x:row r="872">
      <x:c r="A872" s="14" t="str">
        <x:v>站点</x:v>
      </x:c>
      <x:c r="B872" s="15" t="str">
        <x:v>马来西亚</x:v>
      </x:c>
      <x:c r="C872" s="16" t="n">
        <x:v>46197</x:v>
      </x:c>
      <x:c r="D872" s="17" t="n">
        <x:v>1</x:v>
      </x:c>
      <x:c r="E872" s="17" t="n">
        <x:v>1</x:v>
      </x:c>
      <x:c r="F872" s="18" t="n">
        <x:v>14.74</x:v>
      </x:c>
    </x:row>
    <x:row r="873">
      <x:c r="A873" s="14" t="str">
        <x:v>站点</x:v>
      </x:c>
      <x:c r="B873" s="15" t="str">
        <x:v>马来西亚</x:v>
      </x:c>
      <x:c r="C873" s="16" t="n">
        <x:v>46198</x:v>
      </x:c>
      <x:c r="D873" s="17" t="n">
        <x:v>2</x:v>
      </x:c>
      <x:c r="E873" s="17" t="n">
        <x:v>4</x:v>
      </x:c>
      <x:c r="F873" s="18" t="n">
        <x:v>45.73</x:v>
      </x:c>
    </x:row>
    <x:row r="874">
      <x:c r="A874" s="14" t="str">
        <x:v>站点</x:v>
      </x:c>
      <x:c r="B874" s="15" t="str">
        <x:v>马来西亚</x:v>
      </x:c>
      <x:c r="C874" s="16" t="n">
        <x:v>46199</x:v>
      </x:c>
      <x:c r="D874" s="17" t="n">
        <x:v>3</x:v>
      </x:c>
      <x:c r="E874" s="17" t="n">
        <x:v>5</x:v>
      </x:c>
      <x:c r="F874" s="18" t="n">
        <x:v>71.89</x:v>
      </x:c>
    </x:row>
    <x:row r="875">
      <x:c r="A875" s="14" t="str">
        <x:v>站点</x:v>
      </x:c>
      <x:c r="B875" s="15" t="str">
        <x:v>马来西亚</x:v>
      </x:c>
      <x:c r="C875" s="16" t="n">
        <x:v>46200</x:v>
      </x:c>
      <x:c r="D875" s="17" t="n">
        <x:v>3</x:v>
      </x:c>
      <x:c r="E875" s="17" t="n">
        <x:v>7</x:v>
      </x:c>
      <x:c r="F875" s="18" t="n">
        <x:v>86.91</x:v>
      </x:c>
    </x:row>
    <x:row r="876">
      <x:c r="A876" s="14" t="str">
        <x:v>站点</x:v>
      </x:c>
      <x:c r="B876" s="15" t="str">
        <x:v>马来西亚</x:v>
      </x:c>
      <x:c r="C876" s="16" t="n">
        <x:v>46201</x:v>
      </x:c>
      <x:c r="D876" s="17" t="n">
        <x:v>2</x:v>
      </x:c>
      <x:c r="E876" s="17" t="n">
        <x:v>6</x:v>
      </x:c>
      <x:c r="F876" s="18" t="n">
        <x:v>61.98</x:v>
      </x:c>
    </x:row>
    <x:row r="877">
      <x:c r="A877" s="14" t="str">
        <x:v>站点</x:v>
      </x:c>
      <x:c r="B877" s="15" t="str">
        <x:v>马来西亚</x:v>
      </x:c>
      <x:c r="C877" s="16" t="n">
        <x:v>46202</x:v>
      </x:c>
      <x:c r="D877" s="17" t="n">
        <x:v>0</x:v>
      </x:c>
      <x:c r="E877" s="17" t="n">
        <x:v>0</x:v>
      </x:c>
      <x:c r="F877" s="18" t="n">
        <x:v>0</x:v>
      </x:c>
    </x:row>
    <x:row r="878">
      <x:c r="A878" s="14" t="str">
        <x:v>站点</x:v>
      </x:c>
      <x:c r="B878" s="15" t="str">
        <x:v>马来西亚</x:v>
      </x:c>
      <x:c r="C878" s="16" t="n">
        <x:v>46203</x:v>
      </x:c>
      <x:c r="D878" s="17" t="n">
        <x:v>0</x:v>
      </x:c>
      <x:c r="E878" s="17" t="n">
        <x:v>0</x:v>
      </x:c>
      <x:c r="F878" s="18" t="n">
        <x:v>-1382.48</x:v>
      </x:c>
    </x:row>
    <x:row r="879">
      <x:c r="A879" s="14" t="str">
        <x:v>站点</x:v>
      </x:c>
      <x:c r="B879" s="15" t="str">
        <x:v>马来西亚</x:v>
      </x:c>
      <x:c r="C879" s="16" t="n">
        <x:v>46204</x:v>
      </x:c>
      <x:c r="D879" s="17" t="n">
        <x:v>0</x:v>
      </x:c>
      <x:c r="E879" s="17" t="n">
        <x:v>0</x:v>
      </x:c>
      <x:c r="F879" s="18" t="n">
        <x:v>0</x:v>
      </x:c>
    </x:row>
    <x:row r="880">
      <x:c r="A880" s="14" t="str">
        <x:v>站点</x:v>
      </x:c>
      <x:c r="B880" s="15" t="str">
        <x:v>马来西亚</x:v>
      </x:c>
      <x:c r="C880" s="16" t="n">
        <x:v>46205</x:v>
      </x:c>
      <x:c r="D880" s="17" t="n">
        <x:v>2</x:v>
      </x:c>
      <x:c r="E880" s="17" t="n">
        <x:v>2</x:v>
      </x:c>
      <x:c r="F880" s="18" t="n">
        <x:v>39.87</x:v>
      </x:c>
    </x:row>
    <x:row r="881">
      <x:c r="A881" s="14" t="str">
        <x:v>站点</x:v>
      </x:c>
      <x:c r="B881" s="15" t="str">
        <x:v>马来西亚</x:v>
      </x:c>
      <x:c r="C881" s="16" t="n">
        <x:v>46206</x:v>
      </x:c>
      <x:c r="D881" s="17" t="n">
        <x:v>1</x:v>
      </x:c>
      <x:c r="E881" s="17" t="n">
        <x:v>1</x:v>
      </x:c>
      <x:c r="F881" s="18" t="n">
        <x:v>19.81</x:v>
      </x:c>
    </x:row>
    <x:row r="882">
      <x:c r="A882" s="14" t="str">
        <x:v>站点</x:v>
      </x:c>
      <x:c r="B882" s="15" t="str">
        <x:v>马来西亚</x:v>
      </x:c>
      <x:c r="C882" s="16" t="n">
        <x:v>46207</x:v>
      </x:c>
      <x:c r="D882" s="17" t="n">
        <x:v>1</x:v>
      </x:c>
      <x:c r="E882" s="17" t="n">
        <x:v>1</x:v>
      </x:c>
      <x:c r="F882" s="18" t="n">
        <x:v>14.72</x:v>
      </x:c>
    </x:row>
    <x:row r="883">
      <x:c r="A883" s="14" t="str">
        <x:v>站点</x:v>
      </x:c>
      <x:c r="B883" s="15" t="str">
        <x:v>马来西亚</x:v>
      </x:c>
      <x:c r="C883" s="16" t="n">
        <x:v>46208</x:v>
      </x:c>
      <x:c r="D883" s="17" t="n">
        <x:v>5</x:v>
      </x:c>
      <x:c r="E883" s="17" t="n">
        <x:v>7</x:v>
      </x:c>
      <x:c r="F883" s="18" t="n">
        <x:v>105.12</x:v>
      </x:c>
    </x:row>
    <x:row r="884">
      <x:c r="A884" s="14" t="str">
        <x:v>站点</x:v>
      </x:c>
      <x:c r="B884" s="15" t="str">
        <x:v>马来西亚</x:v>
      </x:c>
      <x:c r="C884" s="16" t="n">
        <x:v>46209</x:v>
      </x:c>
      <x:c r="D884" s="17" t="n">
        <x:v>4</x:v>
      </x:c>
      <x:c r="E884" s="17" t="n">
        <x:v>6</x:v>
      </x:c>
      <x:c r="F884" s="18" t="n">
        <x:v>85.57</x:v>
      </x:c>
    </x:row>
    <x:row r="885">
      <x:c r="A885" s="14" t="str">
        <x:v>站点</x:v>
      </x:c>
      <x:c r="B885" s="15" t="str">
        <x:v>马来西亚</x:v>
      </x:c>
      <x:c r="C885" s="16" t="n">
        <x:v>46210</x:v>
      </x:c>
      <x:c r="D885" s="17" t="n">
        <x:v>0</x:v>
      </x:c>
      <x:c r="E885" s="17" t="n">
        <x:v>0</x:v>
      </x:c>
      <x:c r="F885" s="18" t="n">
        <x:v>0</x:v>
      </x:c>
    </x:row>
    <x:row r="886">
      <x:c r="A886" s="14" t="str">
        <x:v>站点</x:v>
      </x:c>
      <x:c r="B886" s="15" t="str">
        <x:v>马来西亚</x:v>
      </x:c>
      <x:c r="C886" s="16" t="n">
        <x:v>46211</x:v>
      </x:c>
      <x:c r="D886" s="17" t="n">
        <x:v>1</x:v>
      </x:c>
      <x:c r="E886" s="17" t="n">
        <x:v>1</x:v>
      </x:c>
      <x:c r="F886" s="18" t="n">
        <x:v>25.15</x:v>
      </x:c>
    </x:row>
    <x:row r="887">
      <x:c r="A887" s="14" t="str">
        <x:v>站点</x:v>
      </x:c>
      <x:c r="B887" s="15" t="str">
        <x:v>马来西亚</x:v>
      </x:c>
      <x:c r="C887" s="16" t="n">
        <x:v>46212</x:v>
      </x:c>
      <x:c r="D887" s="17" t="n">
        <x:v>1</x:v>
      </x:c>
      <x:c r="E887" s="17" t="n">
        <x:v>1</x:v>
      </x:c>
      <x:c r="F887" s="18" t="n">
        <x:v>14.74</x:v>
      </x:c>
    </x:row>
    <x:row r="888">
      <x:c r="A888" s="14" t="str">
        <x:v>站点</x:v>
      </x:c>
      <x:c r="B888" s="15" t="str">
        <x:v>马来西亚</x:v>
      </x:c>
      <x:c r="C888" s="16" t="n">
        <x:v>46213</x:v>
      </x:c>
      <x:c r="D888" s="17" t="n">
        <x:v>1</x:v>
      </x:c>
      <x:c r="E888" s="17" t="n">
        <x:v>2</x:v>
      </x:c>
      <x:c r="F888" s="18" t="n">
        <x:v>22.86</x:v>
      </x:c>
    </x:row>
    <x:row r="889">
      <x:c r="A889" s="14" t="str">
        <x:v>站点</x:v>
      </x:c>
      <x:c r="B889" s="15" t="str">
        <x:v>马来西亚</x:v>
      </x:c>
      <x:c r="C889" s="16" t="n">
        <x:v>46214</x:v>
      </x:c>
      <x:c r="D889" s="17" t="n">
        <x:v>2</x:v>
      </x:c>
      <x:c r="E889" s="17" t="n">
        <x:v>4</x:v>
      </x:c>
      <x:c r="F889" s="18" t="n">
        <x:v>45.73</x:v>
      </x:c>
    </x:row>
    <x:row r="890">
      <x:c r="A890" s="14" t="str">
        <x:v>站点</x:v>
      </x:c>
      <x:c r="B890" s="15" t="str">
        <x:v>马来西亚</x:v>
      </x:c>
      <x:c r="C890" s="16" t="n">
        <x:v>46215</x:v>
      </x:c>
      <x:c r="D890" s="17" t="n">
        <x:v>4</x:v>
      </x:c>
      <x:c r="E890" s="17" t="n">
        <x:v>6</x:v>
      </x:c>
      <x:c r="F890" s="18" t="n">
        <x:v>95.81</x:v>
      </x:c>
    </x:row>
    <x:row r="891">
      <x:c r="A891" s="14" t="str">
        <x:v>站点</x:v>
      </x:c>
      <x:c r="B891" s="15" t="str">
        <x:v>马来西亚</x:v>
      </x:c>
      <x:c r="C891" s="16" t="n">
        <x:v>46216</x:v>
      </x:c>
      <x:c r="D891" s="17" t="n">
        <x:v>1</x:v>
      </x:c>
      <x:c r="E891" s="17" t="n">
        <x:v>1</x:v>
      </x:c>
      <x:c r="F891" s="18" t="n">
        <x:v>14.74</x:v>
      </x:c>
    </x:row>
    <x:row r="892">
      <x:c r="A892" s="14" t="str">
        <x:v>站点</x:v>
      </x:c>
      <x:c r="B892" s="15" t="str">
        <x:v>马来西亚</x:v>
      </x:c>
      <x:c r="C892" s="16" t="n">
        <x:v>46217</x:v>
      </x:c>
      <x:c r="D892" s="17" t="n">
        <x:v>0</x:v>
      </x:c>
      <x:c r="E892" s="17" t="n">
        <x:v>0</x:v>
      </x:c>
      <x:c r="F892" s="18" t="n">
        <x:v>0</x:v>
      </x:c>
    </x:row>
    <x:row r="893">
      <x:c r="A893" s="14" t="str">
        <x:v>站点</x:v>
      </x:c>
      <x:c r="B893" s="15" t="str">
        <x:v>马来西亚</x:v>
      </x:c>
      <x:c r="C893" s="16" t="n">
        <x:v>46218</x:v>
      </x:c>
      <x:c r="D893" s="17" t="n">
        <x:v>1</x:v>
      </x:c>
      <x:c r="E893" s="17" t="n">
        <x:v>1</x:v>
      </x:c>
      <x:c r="F893" s="18" t="n">
        <x:v>14.74</x:v>
      </x:c>
    </x:row>
    <x:row r="894">
      <x:c r="A894" s="14" t="str">
        <x:v>站点</x:v>
      </x:c>
      <x:c r="B894" s="15" t="str">
        <x:v>马来西亚</x:v>
      </x:c>
      <x:c r="C894" s="16" t="n">
        <x:v>46219</x:v>
      </x:c>
      <x:c r="D894" s="17" t="n">
        <x:v>2</x:v>
      </x:c>
      <x:c r="E894" s="17" t="n">
        <x:v>2</x:v>
      </x:c>
      <x:c r="F894" s="18" t="n">
        <x:v>39.9</x:v>
      </x:c>
    </x:row>
    <x:row r="895">
      <x:c r="A895" s="14" t="str">
        <x:v>站点</x:v>
      </x:c>
      <x:c r="B895" s="15" t="str">
        <x:v>马来西亚</x:v>
      </x:c>
      <x:c r="C895" s="16" t="n">
        <x:v>46220</x:v>
      </x:c>
      <x:c r="D895" s="17" t="n">
        <x:v>1</x:v>
      </x:c>
      <x:c r="E895" s="17" t="n">
        <x:v>1</x:v>
      </x:c>
      <x:c r="F895" s="18" t="n">
        <x:v>14.74</x:v>
      </x:c>
    </x:row>
    <x:row r="896">
      <x:c r="A896" s="14" t="str">
        <x:v>站点</x:v>
      </x:c>
      <x:c r="B896" s="15" t="str">
        <x:v>马来西亚</x:v>
      </x:c>
      <x:c r="C896" s="16" t="n">
        <x:v>46221</x:v>
      </x:c>
      <x:c r="D896" s="17" t="n">
        <x:v>0</x:v>
      </x:c>
      <x:c r="E896" s="17" t="n">
        <x:v>0</x:v>
      </x:c>
      <x:c r="F896" s="18" t="n">
        <x:v>0</x:v>
      </x:c>
    </x:row>
    <x:row r="897">
      <x:c r="A897" s="14" t="str">
        <x:v>站点</x:v>
      </x:c>
      <x:c r="B897" s="15" t="str">
        <x:v>马来西亚</x:v>
      </x:c>
      <x:c r="C897" s="16" t="n">
        <x:v>46222</x:v>
      </x:c>
      <x:c r="D897" s="17" t="n">
        <x:v>2</x:v>
      </x:c>
      <x:c r="E897" s="17" t="n">
        <x:v>2</x:v>
      </x:c>
      <x:c r="F897" s="18" t="n">
        <x:v>29.47</x:v>
      </x:c>
    </x:row>
    <x:row r="898">
      <x:c r="A898" s="14" t="str">
        <x:v>站点</x:v>
      </x:c>
      <x:c r="B898" s="15" t="str">
        <x:v>马来西亚</x:v>
      </x:c>
      <x:c r="C898" s="16" t="n">
        <x:v>46223</x:v>
      </x:c>
      <x:c r="D898" s="17" t="n">
        <x:v>1</x:v>
      </x:c>
      <x:c r="E898" s="17" t="n">
        <x:v>4</x:v>
      </x:c>
      <x:c r="F898" s="18" t="n">
        <x:v>39.14</x:v>
      </x:c>
    </x:row>
    <x:row r="899">
      <x:c r="A899" s="14" t="str">
        <x:v>站点</x:v>
      </x:c>
      <x:c r="B899" s="15" t="str">
        <x:v>马来西亚</x:v>
      </x:c>
      <x:c r="C899" s="16" t="n">
        <x:v>46224</x:v>
      </x:c>
      <x:c r="D899" s="17" t="n">
        <x:v>2</x:v>
      </x:c>
      <x:c r="E899" s="17" t="n">
        <x:v>2</x:v>
      </x:c>
      <x:c r="F899" s="18" t="n">
        <x:v>29.47</x:v>
      </x:c>
    </x:row>
    <x:row r="900">
      <x:c r="A900" s="14" t="str">
        <x:v>站点</x:v>
      </x:c>
      <x:c r="B900" s="15" t="str">
        <x:v>马来西亚</x:v>
      </x:c>
      <x:c r="C900" s="16" t="n">
        <x:v>46225</x:v>
      </x:c>
      <x:c r="D900" s="17" t="n">
        <x:v>3</x:v>
      </x:c>
      <x:c r="E900" s="17" t="n">
        <x:v>5</x:v>
      </x:c>
      <x:c r="F900" s="18" t="n">
        <x:v>70.9</x:v>
      </x:c>
    </x:row>
    <x:row r="901">
      <x:c r="A901" s="14" t="str">
        <x:v>站点</x:v>
      </x:c>
      <x:c r="B901" s="15" t="str">
        <x:v>马来西亚</x:v>
      </x:c>
      <x:c r="C901" s="16" t="n">
        <x:v>46226</x:v>
      </x:c>
      <x:c r="D901" s="17" t="n">
        <x:v>0</x:v>
      </x:c>
      <x:c r="E901" s="17" t="n">
        <x:v>0</x:v>
      </x:c>
      <x:c r="F901" s="18" t="n">
        <x:v>0</x:v>
      </x:c>
    </x:row>
    <x:row r="902">
      <x:c r="A902" s="14" t="str">
        <x:v>站点</x:v>
      </x:c>
      <x:c r="B902" s="15" t="str">
        <x:v>马来西亚</x:v>
      </x:c>
      <x:c r="C902" s="16" t="n">
        <x:v>46227</x:v>
      </x:c>
      <x:c r="D902" s="17" t="n">
        <x:v>0</x:v>
      </x:c>
      <x:c r="E902" s="17" t="n">
        <x:v>0</x:v>
      </x:c>
      <x:c r="F902" s="18" t="n">
        <x:v>0</x:v>
      </x:c>
    </x:row>
    <x:row r="903">
      <x:c r="A903" s="14" t="str">
        <x:v>站点</x:v>
      </x:c>
      <x:c r="B903" s="15" t="str">
        <x:v>马来西亚</x:v>
      </x:c>
      <x:c r="C903" s="16" t="n">
        <x:v>46228</x:v>
      </x:c>
      <x:c r="D903" s="17" t="n">
        <x:v>0</x:v>
      </x:c>
      <x:c r="E903" s="17" t="n">
        <x:v>0</x:v>
      </x:c>
      <x:c r="F903" s="18" t="n">
        <x:v>0</x:v>
      </x:c>
    </x:row>
    <x:row r="904">
      <x:c r="A904" s="14" t="str">
        <x:v>站点</x:v>
      </x:c>
      <x:c r="B904" s="15" t="str">
        <x:v>马来西亚</x:v>
      </x:c>
      <x:c r="C904" s="16" t="n">
        <x:v>46229</x:v>
      </x:c>
      <x:c r="D904" s="17" t="n">
        <x:v>1</x:v>
      </x:c>
      <x:c r="E904" s="17" t="n">
        <x:v>1</x:v>
      </x:c>
      <x:c r="F904" s="18" t="n">
        <x:v>19.82</x:v>
      </x:c>
    </x:row>
    <x:row r="905">
      <x:c r="A905" s="14" t="str">
        <x:v>站点</x:v>
      </x:c>
      <x:c r="B905" s="15" t="str">
        <x:v>马来西亚</x:v>
      </x:c>
      <x:c r="C905" s="16" t="n">
        <x:v>46230</x:v>
      </x:c>
      <x:c r="D905" s="17" t="n">
        <x:v>5</x:v>
      </x:c>
      <x:c r="E905" s="17" t="n">
        <x:v>10</x:v>
      </x:c>
      <x:c r="F905" s="18" t="n">
        <x:v>160.77</x:v>
      </x:c>
    </x:row>
    <x:row r="906">
      <x:c r="A906" s="14" t="str">
        <x:v>站点</x:v>
      </x:c>
      <x:c r="B906" s="15" t="str">
        <x:v>马来西亚</x:v>
      </x:c>
      <x:c r="C906" s="16" t="n">
        <x:v>46231</x:v>
      </x:c>
      <x:c r="D906" s="17" t="n">
        <x:v>0</x:v>
      </x:c>
      <x:c r="E906" s="17" t="n">
        <x:v>0</x:v>
      </x:c>
      <x:c r="F906" s="18" t="n">
        <x:v>0</x:v>
      </x:c>
    </x:row>
    <x:row r="907">
      <x:c r="A907" s="14" t="str">
        <x:v>站点</x:v>
      </x:c>
      <x:c r="B907" s="15" t="str">
        <x:v>马来西亚</x:v>
      </x:c>
      <x:c r="C907" s="16" t="n">
        <x:v>46232</x:v>
      </x:c>
      <x:c r="D907" s="17" t="n">
        <x:v>0</x:v>
      </x:c>
      <x:c r="E907" s="17" t="n">
        <x:v>0</x:v>
      </x:c>
      <x:c r="F907" s="18" t="n">
        <x:v>0</x:v>
      </x:c>
    </x:row>
    <x:row r="908">
      <x:c r="A908" s="14" t="str">
        <x:v>站点</x:v>
      </x:c>
      <x:c r="B908" s="15" t="str">
        <x:v>马来西亚</x:v>
      </x:c>
      <x:c r="C908" s="16" t="n">
        <x:v>46233</x:v>
      </x:c>
      <x:c r="D908" s="17" t="n">
        <x:v>3</x:v>
      </x:c>
      <x:c r="E908" s="17" t="n">
        <x:v>3</x:v>
      </x:c>
      <x:c r="F908" s="18" t="n">
        <x:v>49.26</x:v>
      </x:c>
    </x:row>
    <x:row r="909">
      <x:c r="A909" s="14" t="str">
        <x:v>站点</x:v>
      </x:c>
      <x:c r="B909" s="15" t="str">
        <x:v>马来西亚</x:v>
      </x:c>
      <x:c r="C909" s="16" t="n">
        <x:v>46234</x:v>
      </x:c>
      <x:c r="D909" s="17" t="n">
        <x:v>2</x:v>
      </x:c>
      <x:c r="E909" s="17" t="n">
        <x:v>2</x:v>
      </x:c>
      <x:c r="F909" s="18" t="n">
        <x:v>34.53</x:v>
      </x:c>
    </x:row>
    <x:row r="910">
      <x:c r="A910" s="14" t="str">
        <x:v>站点</x:v>
      </x:c>
      <x:c r="B910" s="15" t="str">
        <x:v>马来西亚</x:v>
      </x:c>
      <x:c r="C910" s="16" t="n">
        <x:v>46235</x:v>
      </x:c>
      <x:c r="D910" s="17" t="n">
        <x:v>3</x:v>
      </x:c>
      <x:c r="E910" s="17" t="n">
        <x:v>5</x:v>
      </x:c>
      <x:c r="F910" s="18" t="n">
        <x:v>65.5</x:v>
      </x:c>
    </x:row>
    <x:row r="911">
      <x:c r="A911" s="14" t="str">
        <x:v>站点</x:v>
      </x:c>
      <x:c r="B911" s="15" t="str">
        <x:v>马来西亚</x:v>
      </x:c>
      <x:c r="C911" s="16" t="n">
        <x:v>46236</x:v>
      </x:c>
      <x:c r="D911" s="17" t="n">
        <x:v>1</x:v>
      </x:c>
      <x:c r="E911" s="17" t="n">
        <x:v>2</x:v>
      </x:c>
      <x:c r="F911" s="18" t="n">
        <x:v>20.34</x:v>
      </x:c>
    </x:row>
    <x:row r="912">
      <x:c r="A912" s="14" t="str">
        <x:v>站点</x:v>
      </x:c>
      <x:c r="B912" s="15" t="str">
        <x:v>马来西亚</x:v>
      </x:c>
      <x:c r="C912" s="16" t="n">
        <x:v>46237</x:v>
      </x:c>
      <x:c r="D912" s="17" t="n">
        <x:v>3</x:v>
      </x:c>
      <x:c r="E912" s="17" t="n">
        <x:v>3</x:v>
      </x:c>
      <x:c r="F912" s="18" t="n">
        <x:v>59.68</x:v>
      </x:c>
    </x:row>
    <x:row r="913">
      <x:c r="A913" s="14" t="str">
        <x:v>站点</x:v>
      </x:c>
      <x:c r="B913" s="15" t="str">
        <x:v>马来西亚</x:v>
      </x:c>
      <x:c r="C913" s="16" t="n">
        <x:v>46238</x:v>
      </x:c>
      <x:c r="D913" s="17" t="n">
        <x:v>1</x:v>
      </x:c>
      <x:c r="E913" s="17" t="n">
        <x:v>3</x:v>
      </x:c>
      <x:c r="F913" s="18" t="n">
        <x:v>30.98</x:v>
      </x:c>
    </x:row>
    <x:row r="914">
      <x:c r="A914" s="14" t="str">
        <x:v>站点</x:v>
      </x:c>
      <x:c r="B914" s="15" t="str">
        <x:v>马来西亚</x:v>
      </x:c>
      <x:c r="C914" s="16" t="n">
        <x:v>46239</x:v>
      </x:c>
      <x:c r="D914" s="17" t="n">
        <x:v>1</x:v>
      </x:c>
      <x:c r="E914" s="17" t="n">
        <x:v>1</x:v>
      </x:c>
      <x:c r="F914" s="18" t="n">
        <x:v>14.72</x:v>
      </x:c>
    </x:row>
    <x:row r="915">
      <x:c r="A915" s="14" t="str">
        <x:v>站点</x:v>
      </x:c>
      <x:c r="B915" s="15" t="str">
        <x:v>马来西亚</x:v>
      </x:c>
      <x:c r="C915" s="16" t="n">
        <x:v>46240</x:v>
      </x:c>
      <x:c r="D915" s="17" t="n">
        <x:v>4</x:v>
      </x:c>
      <x:c r="E915" s="17" t="n">
        <x:v>4</x:v>
      </x:c>
      <x:c r="F915" s="18" t="n">
        <x:v>63.97</x:v>
      </x:c>
    </x:row>
    <x:row r="916">
      <x:c r="A916" s="14" t="str">
        <x:v>站点</x:v>
      </x:c>
      <x:c r="B916" s="15" t="str">
        <x:v>马来西亚</x:v>
      </x:c>
      <x:c r="C916" s="16" t="n">
        <x:v>46241</x:v>
      </x:c>
      <x:c r="D916" s="17" t="n">
        <x:v>1</x:v>
      </x:c>
      <x:c r="E916" s="17" t="n">
        <x:v>3</x:v>
      </x:c>
      <x:c r="F916" s="18" t="n">
        <x:v>30.98</x:v>
      </x:c>
    </x:row>
    <x:row r="917">
      <x:c r="A917" s="14" t="str">
        <x:v>站点</x:v>
      </x:c>
      <x:c r="B917" s="15" t="str">
        <x:v>马来西亚</x:v>
      </x:c>
      <x:c r="C917" s="16" t="n">
        <x:v>46242</x:v>
      </x:c>
      <x:c r="D917" s="17" t="n">
        <x:v>2</x:v>
      </x:c>
      <x:c r="E917" s="17" t="n">
        <x:v>4</x:v>
      </x:c>
      <x:c r="F917" s="18" t="n">
        <x:v>45.7</x:v>
      </x:c>
    </x:row>
    <x:row r="918">
      <x:c r="A918" s="14" t="str">
        <x:v>站点</x:v>
      </x:c>
      <x:c r="B918" s="15" t="str">
        <x:v>马来西亚</x:v>
      </x:c>
      <x:c r="C918" s="16" t="n">
        <x:v>46243</x:v>
      </x:c>
      <x:c r="D918" s="17" t="n">
        <x:v>0</x:v>
      </x:c>
      <x:c r="E918" s="17" t="n">
        <x:v>0</x:v>
      </x:c>
      <x:c r="F918" s="18" t="n">
        <x:v>0</x:v>
      </x:c>
    </x:row>
    <x:row r="919">
      <x:c r="A919" s="14" t="str">
        <x:v>站点</x:v>
      </x:c>
      <x:c r="B919" s="15" t="str">
        <x:v>马来西亚</x:v>
      </x:c>
      <x:c r="C919" s="16" t="n">
        <x:v>46244</x:v>
      </x:c>
      <x:c r="D919" s="17" t="n">
        <x:v>1</x:v>
      </x:c>
      <x:c r="E919" s="17" t="n">
        <x:v>1</x:v>
      </x:c>
      <x:c r="F919" s="18" t="n">
        <x:v>14.74</x:v>
      </x:c>
    </x:row>
    <x:row r="920">
      <x:c r="A920" s="14" t="str">
        <x:v>站点</x:v>
      </x:c>
      <x:c r="B920" s="15" t="str">
        <x:v>马来西亚</x:v>
      </x:c>
      <x:c r="C920" s="16" t="n">
        <x:v>46245</x:v>
      </x:c>
      <x:c r="D920" s="17" t="n">
        <x:v>0</x:v>
      </x:c>
      <x:c r="E920" s="17" t="n">
        <x:v>0</x:v>
      </x:c>
      <x:c r="F920" s="18" t="n">
        <x:v>0</x:v>
      </x:c>
    </x:row>
    <x:row r="921">
      <x:c r="A921" s="14" t="str">
        <x:v>站点</x:v>
      </x:c>
      <x:c r="B921" s="15" t="str">
        <x:v>马来西亚</x:v>
      </x:c>
      <x:c r="C921" s="16" t="n">
        <x:v>46246</x:v>
      </x:c>
      <x:c r="D921" s="17" t="n">
        <x:v>1</x:v>
      </x:c>
      <x:c r="E921" s="17" t="n">
        <x:v>2</x:v>
      </x:c>
      <x:c r="F921" s="18" t="n">
        <x:v>22.86</x:v>
      </x:c>
    </x:row>
    <x:row r="922">
      <x:c r="A922" s="14" t="str">
        <x:v>站点</x:v>
      </x:c>
      <x:c r="B922" s="15" t="str">
        <x:v>马来西亚</x:v>
      </x:c>
      <x:c r="C922" s="16" t="n">
        <x:v>46247</x:v>
      </x:c>
      <x:c r="D922" s="17" t="n">
        <x:v>1</x:v>
      </x:c>
      <x:c r="E922" s="17" t="n">
        <x:v>2</x:v>
      </x:c>
      <x:c r="F922" s="18" t="n">
        <x:v>33.04</x:v>
      </x:c>
    </x:row>
    <x:row r="923">
      <x:c r="A923" s="14" t="str">
        <x:v>站点</x:v>
      </x:c>
      <x:c r="B923" s="15" t="str">
        <x:v>马来西亚</x:v>
      </x:c>
      <x:c r="C923" s="16" t="n">
        <x:v>46248</x:v>
      </x:c>
      <x:c r="D923" s="17" t="n">
        <x:v>2</x:v>
      </x:c>
      <x:c r="E923" s="17" t="n">
        <x:v>5</x:v>
      </x:c>
      <x:c r="F923" s="18" t="n">
        <x:v>51.34</x:v>
      </x:c>
    </x:row>
    <x:row r="924">
      <x:c r="A924" s="14" t="str">
        <x:v>站点</x:v>
      </x:c>
      <x:c r="B924" s="15" t="str">
        <x:v>马来西亚</x:v>
      </x:c>
      <x:c r="C924" s="16" t="n">
        <x:v>46249</x:v>
      </x:c>
      <x:c r="D924" s="17" t="n">
        <x:v>1</x:v>
      </x:c>
      <x:c r="E924" s="17" t="n">
        <x:v>5</x:v>
      </x:c>
      <x:c r="F924" s="18" t="n">
        <x:v>47.25</x:v>
      </x:c>
    </x:row>
    <x:row r="925">
      <x:c r="A925" s="14" t="str">
        <x:v>站点</x:v>
      </x:c>
      <x:c r="B925" s="15" t="str">
        <x:v>马来西亚</x:v>
      </x:c>
      <x:c r="C925" s="16" t="n">
        <x:v>46250</x:v>
      </x:c>
      <x:c r="D925" s="17" t="n">
        <x:v>0</x:v>
      </x:c>
      <x:c r="E925" s="17" t="n">
        <x:v>0</x:v>
      </x:c>
      <x:c r="F925" s="18" t="n">
        <x:v>0</x:v>
      </x:c>
    </x:row>
    <x:row r="926">
      <x:c r="A926" s="14" t="str">
        <x:v>站点</x:v>
      </x:c>
      <x:c r="B926" s="15" t="str">
        <x:v>马来西亚</x:v>
      </x:c>
      <x:c r="C926" s="16" t="n">
        <x:v>46251</x:v>
      </x:c>
      <x:c r="D926" s="17" t="n">
        <x:v>2</x:v>
      </x:c>
      <x:c r="E926" s="17" t="n">
        <x:v>2</x:v>
      </x:c>
      <x:c r="F926" s="18" t="n">
        <x:v>29.47</x:v>
      </x:c>
    </x:row>
    <x:row r="927">
      <x:c r="A927" s="14" t="str">
        <x:v>站点</x:v>
      </x:c>
      <x:c r="B927" s="15" t="str">
        <x:v>马来西亚</x:v>
      </x:c>
      <x:c r="C927" s="16" t="n">
        <x:v>46252</x:v>
      </x:c>
      <x:c r="D927" s="17" t="n">
        <x:v>3</x:v>
      </x:c>
      <x:c r="E927" s="17" t="n">
        <x:v>4</x:v>
      </x:c>
      <x:c r="F927" s="18" t="n">
        <x:v>52.34</x:v>
      </x:c>
    </x:row>
    <x:row r="928">
      <x:c r="A928" s="14" t="str">
        <x:v>站点</x:v>
      </x:c>
      <x:c r="B928" s="15" t="str">
        <x:v>马来西亚</x:v>
      </x:c>
      <x:c r="C928" s="16" t="n">
        <x:v>46253</x:v>
      </x:c>
      <x:c r="D928" s="17" t="n">
        <x:v>4</x:v>
      </x:c>
      <x:c r="E928" s="17" t="n">
        <x:v>5</x:v>
      </x:c>
      <x:c r="F928" s="18" t="n">
        <x:v>85.42</x:v>
      </x:c>
    </x:row>
    <x:row r="929">
      <x:c r="A929" s="14" t="str">
        <x:v>站点</x:v>
      </x:c>
      <x:c r="B929" s="15" t="str">
        <x:v>马来西亚</x:v>
      </x:c>
      <x:c r="C929" s="16" t="n">
        <x:v>46254</x:v>
      </x:c>
      <x:c r="D929" s="17" t="n">
        <x:v>0</x:v>
      </x:c>
      <x:c r="E929" s="17" t="n">
        <x:v>0</x:v>
      </x:c>
      <x:c r="F929" s="18" t="n">
        <x:v>0</x:v>
      </x:c>
    </x:row>
    <x:row r="930">
      <x:c r="A930" s="14" t="str">
        <x:v>站点</x:v>
      </x:c>
      <x:c r="B930" s="15" t="str">
        <x:v>泰国</x:v>
      </x:c>
      <x:c r="C930" s="16" t="n">
        <x:v>46023</x:v>
      </x:c>
      <x:c r="D930" s="17" t="n">
        <x:v>45</x:v>
      </x:c>
      <x:c r="E930" s="17" t="n">
        <x:v>47</x:v>
      </x:c>
      <x:c r="F930" s="18" t="n">
        <x:v>580.83</x:v>
      </x:c>
    </x:row>
    <x:row r="931">
      <x:c r="A931" s="14" t="str">
        <x:v>站点</x:v>
      </x:c>
      <x:c r="B931" s="15" t="str">
        <x:v>泰国</x:v>
      </x:c>
      <x:c r="C931" s="16" t="n">
        <x:v>46024</x:v>
      </x:c>
      <x:c r="D931" s="17" t="n">
        <x:v>27</x:v>
      </x:c>
      <x:c r="E931" s="17" t="n">
        <x:v>30</x:v>
      </x:c>
      <x:c r="F931" s="18" t="n">
        <x:v>369.02</x:v>
      </x:c>
    </x:row>
    <x:row r="932">
      <x:c r="A932" s="14" t="str">
        <x:v>站点</x:v>
      </x:c>
      <x:c r="B932" s="15" t="str">
        <x:v>泰国</x:v>
      </x:c>
      <x:c r="C932" s="16" t="n">
        <x:v>46025</x:v>
      </x:c>
      <x:c r="D932" s="17" t="n">
        <x:v>65</x:v>
      </x:c>
      <x:c r="E932" s="17" t="n">
        <x:v>76</x:v>
      </x:c>
      <x:c r="F932" s="18" t="n">
        <x:v>933.29</x:v>
      </x:c>
    </x:row>
    <x:row r="933">
      <x:c r="A933" s="14" t="str">
        <x:v>站点</x:v>
      </x:c>
      <x:c r="B933" s="15" t="str">
        <x:v>泰国</x:v>
      </x:c>
      <x:c r="C933" s="16" t="n">
        <x:v>46026</x:v>
      </x:c>
      <x:c r="D933" s="17" t="n">
        <x:v>35</x:v>
      </x:c>
      <x:c r="E933" s="17" t="n">
        <x:v>43</x:v>
      </x:c>
      <x:c r="F933" s="18" t="n">
        <x:v>565.91</x:v>
      </x:c>
    </x:row>
    <x:row r="934">
      <x:c r="A934" s="14" t="str">
        <x:v>站点</x:v>
      </x:c>
      <x:c r="B934" s="15" t="str">
        <x:v>泰国</x:v>
      </x:c>
      <x:c r="C934" s="16" t="n">
        <x:v>46027</x:v>
      </x:c>
      <x:c r="D934" s="17" t="n">
        <x:v>47</x:v>
      </x:c>
      <x:c r="E934" s="17" t="n">
        <x:v>54</x:v>
      </x:c>
      <x:c r="F934" s="18" t="n">
        <x:v>678.64</x:v>
      </x:c>
    </x:row>
    <x:row r="935">
      <x:c r="A935" s="14" t="str">
        <x:v>站点</x:v>
      </x:c>
      <x:c r="B935" s="15" t="str">
        <x:v>泰国</x:v>
      </x:c>
      <x:c r="C935" s="16" t="n">
        <x:v>46028</x:v>
      </x:c>
      <x:c r="D935" s="17" t="n">
        <x:v>27</x:v>
      </x:c>
      <x:c r="E935" s="17" t="n">
        <x:v>31</x:v>
      </x:c>
      <x:c r="F935" s="18" t="n">
        <x:v>384.78</x:v>
      </x:c>
    </x:row>
    <x:row r="936">
      <x:c r="A936" s="14" t="str">
        <x:v>站点</x:v>
      </x:c>
      <x:c r="B936" s="15" t="str">
        <x:v>泰国</x:v>
      </x:c>
      <x:c r="C936" s="16" t="n">
        <x:v>46029</x:v>
      </x:c>
      <x:c r="D936" s="17" t="n">
        <x:v>36</x:v>
      </x:c>
      <x:c r="E936" s="17" t="n">
        <x:v>43</x:v>
      </x:c>
      <x:c r="F936" s="18" t="n">
        <x:v>576.02</x:v>
      </x:c>
    </x:row>
    <x:row r="937">
      <x:c r="A937" s="14" t="str">
        <x:v>站点</x:v>
      </x:c>
      <x:c r="B937" s="15" t="str">
        <x:v>泰国</x:v>
      </x:c>
      <x:c r="C937" s="16" t="n">
        <x:v>46030</x:v>
      </x:c>
      <x:c r="D937" s="17" t="n">
        <x:v>39</x:v>
      </x:c>
      <x:c r="E937" s="17" t="n">
        <x:v>72</x:v>
      </x:c>
      <x:c r="F937" s="18" t="n">
        <x:v>636.02</x:v>
      </x:c>
    </x:row>
    <x:row r="938">
      <x:c r="A938" s="14" t="str">
        <x:v>站点</x:v>
      </x:c>
      <x:c r="B938" s="15" t="str">
        <x:v>泰国</x:v>
      </x:c>
      <x:c r="C938" s="16" t="n">
        <x:v>46031</x:v>
      </x:c>
      <x:c r="D938" s="17" t="n">
        <x:v>39</x:v>
      </x:c>
      <x:c r="E938" s="17" t="n">
        <x:v>79</x:v>
      </x:c>
      <x:c r="F938" s="18" t="n">
        <x:v>580.87</x:v>
      </x:c>
    </x:row>
    <x:row r="939">
      <x:c r="A939" s="14" t="str">
        <x:v>站点</x:v>
      </x:c>
      <x:c r="B939" s="15" t="str">
        <x:v>泰国</x:v>
      </x:c>
      <x:c r="C939" s="16" t="n">
        <x:v>46032</x:v>
      </x:c>
      <x:c r="D939" s="17" t="n">
        <x:v>30</x:v>
      </x:c>
      <x:c r="E939" s="17" t="n">
        <x:v>59</x:v>
      </x:c>
      <x:c r="F939" s="18" t="n">
        <x:v>410.44</x:v>
      </x:c>
    </x:row>
    <x:row r="940">
      <x:c r="A940" s="14" t="str">
        <x:v>站点</x:v>
      </x:c>
      <x:c r="B940" s="15" t="str">
        <x:v>泰国</x:v>
      </x:c>
      <x:c r="C940" s="16" t="n">
        <x:v>46033</x:v>
      </x:c>
      <x:c r="D940" s="17" t="n">
        <x:v>35</x:v>
      </x:c>
      <x:c r="E940" s="17" t="n">
        <x:v>57</x:v>
      </x:c>
      <x:c r="F940" s="18" t="n">
        <x:v>499.89</x:v>
      </x:c>
    </x:row>
    <x:row r="941">
      <x:c r="A941" s="14" t="str">
        <x:v>站点</x:v>
      </x:c>
      <x:c r="B941" s="15" t="str">
        <x:v>泰国</x:v>
      </x:c>
      <x:c r="C941" s="16" t="n">
        <x:v>46034</x:v>
      </x:c>
      <x:c r="D941" s="17" t="n">
        <x:v>55</x:v>
      </x:c>
      <x:c r="E941" s="17" t="n">
        <x:v>63</x:v>
      </x:c>
      <x:c r="F941" s="18" t="n">
        <x:v>776.22</x:v>
      </x:c>
    </x:row>
    <x:row r="942">
      <x:c r="A942" s="14" t="str">
        <x:v>站点</x:v>
      </x:c>
      <x:c r="B942" s="15" t="str">
        <x:v>泰国</x:v>
      </x:c>
      <x:c r="C942" s="16" t="n">
        <x:v>46035</x:v>
      </x:c>
      <x:c r="D942" s="17" t="n">
        <x:v>46</x:v>
      </x:c>
      <x:c r="E942" s="17" t="n">
        <x:v>62</x:v>
      </x:c>
      <x:c r="F942" s="18" t="n">
        <x:v>549.43</x:v>
      </x:c>
    </x:row>
    <x:row r="943">
      <x:c r="A943" s="14" t="str">
        <x:v>站点</x:v>
      </x:c>
      <x:c r="B943" s="15" t="str">
        <x:v>泰国</x:v>
      </x:c>
      <x:c r="C943" s="16" t="n">
        <x:v>46036</x:v>
      </x:c>
      <x:c r="D943" s="17" t="n">
        <x:v>54</x:v>
      </x:c>
      <x:c r="E943" s="17" t="n">
        <x:v>66</x:v>
      </x:c>
      <x:c r="F943" s="18" t="n">
        <x:v>721.45</x:v>
      </x:c>
    </x:row>
    <x:row r="944">
      <x:c r="A944" s="14" t="str">
        <x:v>站点</x:v>
      </x:c>
      <x:c r="B944" s="15" t="str">
        <x:v>泰国</x:v>
      </x:c>
      <x:c r="C944" s="16" t="n">
        <x:v>46037</x:v>
      </x:c>
      <x:c r="D944" s="17" t="n">
        <x:v>32</x:v>
      </x:c>
      <x:c r="E944" s="17" t="n">
        <x:v>34</x:v>
      </x:c>
      <x:c r="F944" s="18" t="n">
        <x:v>419.89</x:v>
      </x:c>
    </x:row>
    <x:row r="945">
      <x:c r="A945" s="14" t="str">
        <x:v>站点</x:v>
      </x:c>
      <x:c r="B945" s="15" t="str">
        <x:v>泰国</x:v>
      </x:c>
      <x:c r="C945" s="16" t="n">
        <x:v>46038</x:v>
      </x:c>
      <x:c r="D945" s="17" t="n">
        <x:v>33</x:v>
      </x:c>
      <x:c r="E945" s="17" t="n">
        <x:v>40</x:v>
      </x:c>
      <x:c r="F945" s="18" t="n">
        <x:v>410.68</x:v>
      </x:c>
    </x:row>
    <x:row r="946">
      <x:c r="A946" s="14" t="str">
        <x:v>站点</x:v>
      </x:c>
      <x:c r="B946" s="15" t="str">
        <x:v>泰国</x:v>
      </x:c>
      <x:c r="C946" s="16" t="n">
        <x:v>46039</x:v>
      </x:c>
      <x:c r="D946" s="17" t="n">
        <x:v>32</x:v>
      </x:c>
      <x:c r="E946" s="17" t="n">
        <x:v>37</x:v>
      </x:c>
      <x:c r="F946" s="18" t="n">
        <x:v>429.77</x:v>
      </x:c>
    </x:row>
    <x:row r="947">
      <x:c r="A947" s="14" t="str">
        <x:v>站点</x:v>
      </x:c>
      <x:c r="B947" s="15" t="str">
        <x:v>泰国</x:v>
      </x:c>
      <x:c r="C947" s="16" t="n">
        <x:v>46040</x:v>
      </x:c>
      <x:c r="D947" s="17" t="n">
        <x:v>32</x:v>
      </x:c>
      <x:c r="E947" s="17" t="n">
        <x:v>39</x:v>
      </x:c>
      <x:c r="F947" s="18" t="n">
        <x:v>475.08</x:v>
      </x:c>
    </x:row>
    <x:row r="948">
      <x:c r="A948" s="14" t="str">
        <x:v>站点</x:v>
      </x:c>
      <x:c r="B948" s="15" t="str">
        <x:v>泰国</x:v>
      </x:c>
      <x:c r="C948" s="16" t="n">
        <x:v>46041</x:v>
      </x:c>
      <x:c r="D948" s="17" t="n">
        <x:v>28</x:v>
      </x:c>
      <x:c r="E948" s="17" t="n">
        <x:v>34</x:v>
      </x:c>
      <x:c r="F948" s="18" t="n">
        <x:v>416.92</x:v>
      </x:c>
    </x:row>
    <x:row r="949">
      <x:c r="A949" s="14" t="str">
        <x:v>站点</x:v>
      </x:c>
      <x:c r="B949" s="15" t="str">
        <x:v>泰国</x:v>
      </x:c>
      <x:c r="C949" s="16" t="n">
        <x:v>46042</x:v>
      </x:c>
      <x:c r="D949" s="17" t="n">
        <x:v>64</x:v>
      </x:c>
      <x:c r="E949" s="17" t="n">
        <x:v>72</x:v>
      </x:c>
      <x:c r="F949" s="18" t="n">
        <x:v>870.67</x:v>
      </x:c>
    </x:row>
    <x:row r="950">
      <x:c r="A950" s="14" t="str">
        <x:v>站点</x:v>
      </x:c>
      <x:c r="B950" s="15" t="str">
        <x:v>泰国</x:v>
      </x:c>
      <x:c r="C950" s="16" t="n">
        <x:v>46043</x:v>
      </x:c>
      <x:c r="D950" s="17" t="n">
        <x:v>53</x:v>
      </x:c>
      <x:c r="E950" s="17" t="n">
        <x:v>62</x:v>
      </x:c>
      <x:c r="F950" s="18" t="n">
        <x:v>738.09</x:v>
      </x:c>
    </x:row>
    <x:row r="951">
      <x:c r="A951" s="14" t="str">
        <x:v>站点</x:v>
      </x:c>
      <x:c r="B951" s="15" t="str">
        <x:v>泰国</x:v>
      </x:c>
      <x:c r="C951" s="16" t="n">
        <x:v>46044</x:v>
      </x:c>
      <x:c r="D951" s="17" t="n">
        <x:v>83</x:v>
      </x:c>
      <x:c r="E951" s="17" t="n">
        <x:v>103</x:v>
      </x:c>
      <x:c r="F951" s="18" t="n">
        <x:v>1239.96</x:v>
      </x:c>
    </x:row>
    <x:row r="952">
      <x:c r="A952" s="14" t="str">
        <x:v>站点</x:v>
      </x:c>
      <x:c r="B952" s="15" t="str">
        <x:v>泰国</x:v>
      </x:c>
      <x:c r="C952" s="16" t="n">
        <x:v>46045</x:v>
      </x:c>
      <x:c r="D952" s="17" t="n">
        <x:v>37</x:v>
      </x:c>
      <x:c r="E952" s="17" t="n">
        <x:v>42</x:v>
      </x:c>
      <x:c r="F952" s="18" t="n">
        <x:v>512.82</x:v>
      </x:c>
    </x:row>
    <x:row r="953">
      <x:c r="A953" s="14" t="str">
        <x:v>站点</x:v>
      </x:c>
      <x:c r="B953" s="15" t="str">
        <x:v>泰国</x:v>
      </x:c>
      <x:c r="C953" s="16" t="n">
        <x:v>46046</x:v>
      </x:c>
      <x:c r="D953" s="17" t="n">
        <x:v>49</x:v>
      </x:c>
      <x:c r="E953" s="17" t="n">
        <x:v>54</x:v>
      </x:c>
      <x:c r="F953" s="18" t="n">
        <x:v>666.56</x:v>
      </x:c>
    </x:row>
    <x:row r="954">
      <x:c r="A954" s="14" t="str">
        <x:v>站点</x:v>
      </x:c>
      <x:c r="B954" s="15" t="str">
        <x:v>泰国</x:v>
      </x:c>
      <x:c r="C954" s="16" t="n">
        <x:v>46047</x:v>
      </x:c>
      <x:c r="D954" s="17" t="n">
        <x:v>50</x:v>
      </x:c>
      <x:c r="E954" s="17" t="n">
        <x:v>55</x:v>
      </x:c>
      <x:c r="F954" s="18" t="n">
        <x:v>646.08</x:v>
      </x:c>
    </x:row>
    <x:row r="955">
      <x:c r="A955" s="14" t="str">
        <x:v>站点</x:v>
      </x:c>
      <x:c r="B955" s="15" t="str">
        <x:v>泰国</x:v>
      </x:c>
      <x:c r="C955" s="16" t="n">
        <x:v>46048</x:v>
      </x:c>
      <x:c r="D955" s="17" t="n">
        <x:v>52</x:v>
      </x:c>
      <x:c r="E955" s="17" t="n">
        <x:v>59</x:v>
      </x:c>
      <x:c r="F955" s="18" t="n">
        <x:v>681.6</x:v>
      </x:c>
    </x:row>
    <x:row r="956">
      <x:c r="A956" s="14" t="str">
        <x:v>站点</x:v>
      </x:c>
      <x:c r="B956" s="15" t="str">
        <x:v>泰国</x:v>
      </x:c>
      <x:c r="C956" s="16" t="n">
        <x:v>46049</x:v>
      </x:c>
      <x:c r="D956" s="17" t="n">
        <x:v>64</x:v>
      </x:c>
      <x:c r="E956" s="17" t="n">
        <x:v>70</x:v>
      </x:c>
      <x:c r="F956" s="18" t="n">
        <x:v>859.16</x:v>
      </x:c>
    </x:row>
    <x:row r="957">
      <x:c r="A957" s="14" t="str">
        <x:v>站点</x:v>
      </x:c>
      <x:c r="B957" s="15" t="str">
        <x:v>泰国</x:v>
      </x:c>
      <x:c r="C957" s="16" t="n">
        <x:v>46050</x:v>
      </x:c>
      <x:c r="D957" s="17" t="n">
        <x:v>37</x:v>
      </x:c>
      <x:c r="E957" s="17" t="n">
        <x:v>44</x:v>
      </x:c>
      <x:c r="F957" s="18" t="n">
        <x:v>536.38</x:v>
      </x:c>
    </x:row>
    <x:row r="958">
      <x:c r="A958" s="14" t="str">
        <x:v>站点</x:v>
      </x:c>
      <x:c r="B958" s="15" t="str">
        <x:v>泰国</x:v>
      </x:c>
      <x:c r="C958" s="16" t="n">
        <x:v>46051</x:v>
      </x:c>
      <x:c r="D958" s="17" t="n">
        <x:v>28</x:v>
      </x:c>
      <x:c r="E958" s="17" t="n">
        <x:v>29</x:v>
      </x:c>
      <x:c r="F958" s="18" t="n">
        <x:v>358.07</x:v>
      </x:c>
    </x:row>
    <x:row r="959">
      <x:c r="A959" s="14" t="str">
        <x:v>站点</x:v>
      </x:c>
      <x:c r="B959" s="15" t="str">
        <x:v>泰国</x:v>
      </x:c>
      <x:c r="C959" s="16" t="n">
        <x:v>46052</x:v>
      </x:c>
      <x:c r="D959" s="17" t="n">
        <x:v>35</x:v>
      </x:c>
      <x:c r="E959" s="17" t="n">
        <x:v>45</x:v>
      </x:c>
      <x:c r="F959" s="18" t="n">
        <x:v>549.21</x:v>
      </x:c>
    </x:row>
    <x:row r="960">
      <x:c r="A960" s="14" t="str">
        <x:v>站点</x:v>
      </x:c>
      <x:c r="B960" s="15" t="str">
        <x:v>泰国</x:v>
      </x:c>
      <x:c r="C960" s="16" t="n">
        <x:v>46053</x:v>
      </x:c>
      <x:c r="D960" s="17" t="n">
        <x:v>34</x:v>
      </x:c>
      <x:c r="E960" s="17" t="n">
        <x:v>36</x:v>
      </x:c>
      <x:c r="F960" s="18" t="n">
        <x:v>466.75</x:v>
      </x:c>
    </x:row>
    <x:row r="961">
      <x:c r="A961" s="14" t="str">
        <x:v>站点</x:v>
      </x:c>
      <x:c r="B961" s="15" t="str">
        <x:v>泰国</x:v>
      </x:c>
      <x:c r="C961" s="16" t="n">
        <x:v>46054</x:v>
      </x:c>
      <x:c r="D961" s="17" t="n">
        <x:v>48</x:v>
      </x:c>
      <x:c r="E961" s="17" t="n">
        <x:v>55</x:v>
      </x:c>
      <x:c r="F961" s="18" t="n">
        <x:v>694.18</x:v>
      </x:c>
    </x:row>
    <x:row r="962">
      <x:c r="A962" s="14" t="str">
        <x:v>站点</x:v>
      </x:c>
      <x:c r="B962" s="15" t="str">
        <x:v>泰国</x:v>
      </x:c>
      <x:c r="C962" s="16" t="n">
        <x:v>46055</x:v>
      </x:c>
      <x:c r="D962" s="17" t="n">
        <x:v>37</x:v>
      </x:c>
      <x:c r="E962" s="17" t="n">
        <x:v>42</x:v>
      </x:c>
      <x:c r="F962" s="18" t="n">
        <x:v>498.56</x:v>
      </x:c>
    </x:row>
    <x:row r="963">
      <x:c r="A963" s="14" t="str">
        <x:v>站点</x:v>
      </x:c>
      <x:c r="B963" s="15" t="str">
        <x:v>泰国</x:v>
      </x:c>
      <x:c r="C963" s="16" t="n">
        <x:v>46056</x:v>
      </x:c>
      <x:c r="D963" s="17" t="n">
        <x:v>44</x:v>
      </x:c>
      <x:c r="E963" s="17" t="n">
        <x:v>54</x:v>
      </x:c>
      <x:c r="F963" s="18" t="n">
        <x:v>650.39</x:v>
      </x:c>
    </x:row>
    <x:row r="964">
      <x:c r="A964" s="14" t="str">
        <x:v>站点</x:v>
      </x:c>
      <x:c r="B964" s="15" t="str">
        <x:v>泰国</x:v>
      </x:c>
      <x:c r="C964" s="16" t="n">
        <x:v>46057</x:v>
      </x:c>
      <x:c r="D964" s="17" t="n">
        <x:v>42</x:v>
      </x:c>
      <x:c r="E964" s="17" t="n">
        <x:v>47</x:v>
      </x:c>
      <x:c r="F964" s="18" t="n">
        <x:v>566.34</x:v>
      </x:c>
    </x:row>
    <x:row r="965">
      <x:c r="A965" s="14" t="str">
        <x:v>站点</x:v>
      </x:c>
      <x:c r="B965" s="15" t="str">
        <x:v>泰国</x:v>
      </x:c>
      <x:c r="C965" s="16" t="n">
        <x:v>46058</x:v>
      </x:c>
      <x:c r="D965" s="17" t="n">
        <x:v>40</x:v>
      </x:c>
      <x:c r="E965" s="17" t="n">
        <x:v>45</x:v>
      </x:c>
      <x:c r="F965" s="18" t="n">
        <x:v>553.72</x:v>
      </x:c>
    </x:row>
    <x:row r="966">
      <x:c r="A966" s="14" t="str">
        <x:v>站点</x:v>
      </x:c>
      <x:c r="B966" s="15" t="str">
        <x:v>泰国</x:v>
      </x:c>
      <x:c r="C966" s="16" t="n">
        <x:v>46059</x:v>
      </x:c>
      <x:c r="D966" s="17" t="n">
        <x:v>47</x:v>
      </x:c>
      <x:c r="E966" s="17" t="n">
        <x:v>51</x:v>
      </x:c>
      <x:c r="F966" s="18" t="n">
        <x:v>616.64</x:v>
      </x:c>
    </x:row>
    <x:row r="967">
      <x:c r="A967" s="14" t="str">
        <x:v>站点</x:v>
      </x:c>
      <x:c r="B967" s="15" t="str">
        <x:v>泰国</x:v>
      </x:c>
      <x:c r="C967" s="16" t="n">
        <x:v>46060</x:v>
      </x:c>
      <x:c r="D967" s="17" t="n">
        <x:v>0</x:v>
      </x:c>
      <x:c r="E967" s="17" t="n">
        <x:v>0</x:v>
      </x:c>
      <x:c r="F967" s="18" t="n">
        <x:v>0</x:v>
      </x:c>
    </x:row>
    <x:row r="968">
      <x:c r="A968" s="14" t="str">
        <x:v>站点</x:v>
      </x:c>
      <x:c r="B968" s="15" t="str">
        <x:v>泰国</x:v>
      </x:c>
      <x:c r="C968" s="16" t="n">
        <x:v>46061</x:v>
      </x:c>
      <x:c r="D968" s="17" t="n">
        <x:v>2</x:v>
      </x:c>
      <x:c r="E968" s="17" t="n">
        <x:v>2</x:v>
      </x:c>
      <x:c r="F968" s="18" t="n">
        <x:v>24.62</x:v>
      </x:c>
    </x:row>
    <x:row r="969">
      <x:c r="A969" s="14" t="str">
        <x:v>站点</x:v>
      </x:c>
      <x:c r="B969" s="15" t="str">
        <x:v>泰国</x:v>
      </x:c>
      <x:c r="C969" s="16" t="n">
        <x:v>46062</x:v>
      </x:c>
      <x:c r="D969" s="17" t="n">
        <x:v>0</x:v>
      </x:c>
      <x:c r="E969" s="17" t="n">
        <x:v>0</x:v>
      </x:c>
      <x:c r="F969" s="18" t="n">
        <x:v>0</x:v>
      </x:c>
    </x:row>
    <x:row r="970">
      <x:c r="A970" s="14" t="str">
        <x:v>站点</x:v>
      </x:c>
      <x:c r="B970" s="15" t="str">
        <x:v>泰国</x:v>
      </x:c>
      <x:c r="C970" s="16" t="n">
        <x:v>46063</x:v>
      </x:c>
      <x:c r="D970" s="17" t="n">
        <x:v>150</x:v>
      </x:c>
      <x:c r="E970" s="17" t="n">
        <x:v>181</x:v>
      </x:c>
      <x:c r="F970" s="18" t="n">
        <x:v>2130.96</x:v>
      </x:c>
    </x:row>
    <x:row r="971">
      <x:c r="A971" s="14" t="str">
        <x:v>站点</x:v>
      </x:c>
      <x:c r="B971" s="15" t="str">
        <x:v>泰国</x:v>
      </x:c>
      <x:c r="C971" s="16" t="n">
        <x:v>46064</x:v>
      </x:c>
      <x:c r="D971" s="17" t="n">
        <x:v>32</x:v>
      </x:c>
      <x:c r="E971" s="17" t="n">
        <x:v>38</x:v>
      </x:c>
      <x:c r="F971" s="18" t="n">
        <x:v>466.98</x:v>
      </x:c>
    </x:row>
    <x:row r="972">
      <x:c r="A972" s="14" t="str">
        <x:v>站点</x:v>
      </x:c>
      <x:c r="B972" s="15" t="str">
        <x:v>泰国</x:v>
      </x:c>
      <x:c r="C972" s="16" t="n">
        <x:v>46065</x:v>
      </x:c>
      <x:c r="D972" s="17" t="n">
        <x:v>38</x:v>
      </x:c>
      <x:c r="E972" s="17" t="n">
        <x:v>40</x:v>
      </x:c>
      <x:c r="F972" s="18" t="n">
        <x:v>494.89</x:v>
      </x:c>
    </x:row>
    <x:row r="973">
      <x:c r="A973" s="14" t="str">
        <x:v>站点</x:v>
      </x:c>
      <x:c r="B973" s="15" t="str">
        <x:v>泰国</x:v>
      </x:c>
      <x:c r="C973" s="16" t="n">
        <x:v>46066</x:v>
      </x:c>
      <x:c r="D973" s="17" t="n">
        <x:v>38</x:v>
      </x:c>
      <x:c r="E973" s="17" t="n">
        <x:v>41</x:v>
      </x:c>
      <x:c r="F973" s="18" t="n">
        <x:v>504.72</x:v>
      </x:c>
    </x:row>
    <x:row r="974">
      <x:c r="A974" s="14" t="str">
        <x:v>站点</x:v>
      </x:c>
      <x:c r="B974" s="15" t="str">
        <x:v>泰国</x:v>
      </x:c>
      <x:c r="C974" s="16" t="n">
        <x:v>46067</x:v>
      </x:c>
      <x:c r="D974" s="17" t="n">
        <x:v>25</x:v>
      </x:c>
      <x:c r="E974" s="17" t="n">
        <x:v>28</x:v>
      </x:c>
      <x:c r="F974" s="18" t="n">
        <x:v>336.72</x:v>
      </x:c>
    </x:row>
    <x:row r="975">
      <x:c r="A975" s="14" t="str">
        <x:v>站点</x:v>
      </x:c>
      <x:c r="B975" s="15" t="str">
        <x:v>泰国</x:v>
      </x:c>
      <x:c r="C975" s="16" t="n">
        <x:v>46068</x:v>
      </x:c>
      <x:c r="D975" s="17" t="n">
        <x:v>31</x:v>
      </x:c>
      <x:c r="E975" s="17" t="n">
        <x:v>36</x:v>
      </x:c>
      <x:c r="F975" s="18" t="n">
        <x:v>433.86</x:v>
      </x:c>
    </x:row>
    <x:row r="976">
      <x:c r="A976" s="14" t="str">
        <x:v>站点</x:v>
      </x:c>
      <x:c r="B976" s="15" t="str">
        <x:v>泰国</x:v>
      </x:c>
      <x:c r="C976" s="16" t="n">
        <x:v>46069</x:v>
      </x:c>
      <x:c r="D976" s="17" t="n">
        <x:v>41</x:v>
      </x:c>
      <x:c r="E976" s="17" t="n">
        <x:v>47</x:v>
      </x:c>
      <x:c r="F976" s="18" t="n">
        <x:v>587.82</x:v>
      </x:c>
    </x:row>
    <x:row r="977">
      <x:c r="A977" s="14" t="str">
        <x:v>站点</x:v>
      </x:c>
      <x:c r="B977" s="15" t="str">
        <x:v>泰国</x:v>
      </x:c>
      <x:c r="C977" s="16" t="n">
        <x:v>46070</x:v>
      </x:c>
      <x:c r="D977" s="17" t="n">
        <x:v>32</x:v>
      </x:c>
      <x:c r="E977" s="17" t="n">
        <x:v>40</x:v>
      </x:c>
      <x:c r="F977" s="18" t="n">
        <x:v>494</x:v>
      </x:c>
    </x:row>
    <x:row r="978">
      <x:c r="A978" s="14" t="str">
        <x:v>站点</x:v>
      </x:c>
      <x:c r="B978" s="15" t="str">
        <x:v>泰国</x:v>
      </x:c>
      <x:c r="C978" s="16" t="n">
        <x:v>46071</x:v>
      </x:c>
      <x:c r="D978" s="17" t="n">
        <x:v>39</x:v>
      </x:c>
      <x:c r="E978" s="17" t="n">
        <x:v>46</x:v>
      </x:c>
      <x:c r="F978" s="18" t="n">
        <x:v>558.9</x:v>
      </x:c>
    </x:row>
    <x:row r="979">
      <x:c r="A979" s="14" t="str">
        <x:v>站点</x:v>
      </x:c>
      <x:c r="B979" s="15" t="str">
        <x:v>泰国</x:v>
      </x:c>
      <x:c r="C979" s="16" t="n">
        <x:v>46072</x:v>
      </x:c>
      <x:c r="D979" s="17" t="n">
        <x:v>37</x:v>
      </x:c>
      <x:c r="E979" s="17" t="n">
        <x:v>41</x:v>
      </x:c>
      <x:c r="F979" s="18" t="n">
        <x:v>506.8</x:v>
      </x:c>
    </x:row>
    <x:row r="980">
      <x:c r="A980" s="14" t="str">
        <x:v>站点</x:v>
      </x:c>
      <x:c r="B980" s="15" t="str">
        <x:v>泰国</x:v>
      </x:c>
      <x:c r="C980" s="16" t="n">
        <x:v>46073</x:v>
      </x:c>
      <x:c r="D980" s="17" t="n">
        <x:v>30</x:v>
      </x:c>
      <x:c r="E980" s="17" t="n">
        <x:v>32</x:v>
      </x:c>
      <x:c r="F980" s="18" t="n">
        <x:v>387.49</x:v>
      </x:c>
    </x:row>
    <x:row r="981">
      <x:c r="A981" s="14" t="str">
        <x:v>站点</x:v>
      </x:c>
      <x:c r="B981" s="15" t="str">
        <x:v>泰国</x:v>
      </x:c>
      <x:c r="C981" s="16" t="n">
        <x:v>46074</x:v>
      </x:c>
      <x:c r="D981" s="17" t="n">
        <x:v>23</x:v>
      </x:c>
      <x:c r="E981" s="17" t="n">
        <x:v>27</x:v>
      </x:c>
      <x:c r="F981" s="18" t="n">
        <x:v>327.95</x:v>
      </x:c>
    </x:row>
    <x:row r="982">
      <x:c r="A982" s="14" t="str">
        <x:v>站点</x:v>
      </x:c>
      <x:c r="B982" s="15" t="str">
        <x:v>泰国</x:v>
      </x:c>
      <x:c r="C982" s="16" t="n">
        <x:v>46075</x:v>
      </x:c>
      <x:c r="D982" s="17" t="n">
        <x:v>12</x:v>
      </x:c>
      <x:c r="E982" s="17" t="n">
        <x:v>14</x:v>
      </x:c>
      <x:c r="F982" s="18" t="n">
        <x:v>167.07</x:v>
      </x:c>
    </x:row>
    <x:row r="983">
      <x:c r="A983" s="14" t="str">
        <x:v>站点</x:v>
      </x:c>
      <x:c r="B983" s="15" t="str">
        <x:v>泰国</x:v>
      </x:c>
      <x:c r="C983" s="16" t="n">
        <x:v>46076</x:v>
      </x:c>
      <x:c r="D983" s="17" t="n">
        <x:v>3</x:v>
      </x:c>
      <x:c r="E983" s="17" t="n">
        <x:v>5</x:v>
      </x:c>
      <x:c r="F983" s="18" t="n">
        <x:v>106.59</x:v>
      </x:c>
    </x:row>
    <x:row r="984">
      <x:c r="A984" s="14" t="str">
        <x:v>站点</x:v>
      </x:c>
      <x:c r="B984" s="15" t="str">
        <x:v>泰国</x:v>
      </x:c>
      <x:c r="C984" s="16" t="n">
        <x:v>46077</x:v>
      </x:c>
      <x:c r="D984" s="17" t="n">
        <x:v>10</x:v>
      </x:c>
      <x:c r="E984" s="17" t="n">
        <x:v>13</x:v>
      </x:c>
      <x:c r="F984" s="18" t="n">
        <x:v>159.28</x:v>
      </x:c>
    </x:row>
    <x:row r="985">
      <x:c r="A985" s="14" t="str">
        <x:v>站点</x:v>
      </x:c>
      <x:c r="B985" s="15" t="str">
        <x:v>泰国</x:v>
      </x:c>
      <x:c r="C985" s="16" t="n">
        <x:v>46078</x:v>
      </x:c>
      <x:c r="D985" s="17" t="n">
        <x:v>12</x:v>
      </x:c>
      <x:c r="E985" s="17" t="n">
        <x:v>12</x:v>
      </x:c>
      <x:c r="F985" s="18" t="n">
        <x:v>166.32</x:v>
      </x:c>
    </x:row>
    <x:row r="986">
      <x:c r="A986" s="14" t="str">
        <x:v>站点</x:v>
      </x:c>
      <x:c r="B986" s="15" t="str">
        <x:v>泰国</x:v>
      </x:c>
      <x:c r="C986" s="16" t="n">
        <x:v>46079</x:v>
      </x:c>
      <x:c r="D986" s="17" t="n">
        <x:v>5</x:v>
      </x:c>
      <x:c r="E986" s="17" t="n">
        <x:v>12</x:v>
      </x:c>
      <x:c r="F986" s="18" t="n">
        <x:v>76.45</x:v>
      </x:c>
    </x:row>
    <x:row r="987">
      <x:c r="A987" s="14" t="str">
        <x:v>站点</x:v>
      </x:c>
      <x:c r="B987" s="15" t="str">
        <x:v>泰国</x:v>
      </x:c>
      <x:c r="C987" s="16" t="n">
        <x:v>46080</x:v>
      </x:c>
      <x:c r="D987" s="17" t="n">
        <x:v>14</x:v>
      </x:c>
      <x:c r="E987" s="17" t="n">
        <x:v>23</x:v>
      </x:c>
      <x:c r="F987" s="18" t="n">
        <x:v>225.52</x:v>
      </x:c>
    </x:row>
    <x:row r="988">
      <x:c r="A988" s="14" t="str">
        <x:v>站点</x:v>
      </x:c>
      <x:c r="B988" s="15" t="str">
        <x:v>泰国</x:v>
      </x:c>
      <x:c r="C988" s="16" t="n">
        <x:v>46081</x:v>
      </x:c>
      <x:c r="D988" s="17" t="n">
        <x:v>29</x:v>
      </x:c>
      <x:c r="E988" s="17" t="n">
        <x:v>37</x:v>
      </x:c>
      <x:c r="F988" s="18" t="n">
        <x:v>369.58</x:v>
      </x:c>
    </x:row>
    <x:row r="989">
      <x:c r="A989" s="14" t="str">
        <x:v>站点</x:v>
      </x:c>
      <x:c r="B989" s="15" t="str">
        <x:v>泰国</x:v>
      </x:c>
      <x:c r="C989" s="16" t="n">
        <x:v>46082</x:v>
      </x:c>
      <x:c r="D989" s="17" t="n">
        <x:v>10</x:v>
      </x:c>
      <x:c r="E989" s="17" t="n">
        <x:v>10</x:v>
      </x:c>
      <x:c r="F989" s="18" t="n">
        <x:v>59.41</x:v>
      </x:c>
    </x:row>
    <x:row r="990">
      <x:c r="A990" s="14" t="str">
        <x:v>站点</x:v>
      </x:c>
      <x:c r="B990" s="15" t="str">
        <x:v>泰国</x:v>
      </x:c>
      <x:c r="C990" s="16" t="n">
        <x:v>46083</x:v>
      </x:c>
      <x:c r="D990" s="17" t="n">
        <x:v>13</x:v>
      </x:c>
      <x:c r="E990" s="17" t="n">
        <x:v>13</x:v>
      </x:c>
      <x:c r="F990" s="18" t="n">
        <x:v>105.52</x:v>
      </x:c>
    </x:row>
    <x:row r="991">
      <x:c r="A991" s="14" t="str">
        <x:v>站点</x:v>
      </x:c>
      <x:c r="B991" s="15" t="str">
        <x:v>泰国</x:v>
      </x:c>
      <x:c r="C991" s="16" t="n">
        <x:v>46084</x:v>
      </x:c>
      <x:c r="D991" s="17" t="n">
        <x:v>230</x:v>
      </x:c>
      <x:c r="E991" s="17" t="n">
        <x:v>280</x:v>
      </x:c>
      <x:c r="F991" s="18" t="n">
        <x:v>3013.98</x:v>
      </x:c>
    </x:row>
    <x:row r="992">
      <x:c r="A992" s="14" t="str">
        <x:v>站点</x:v>
      </x:c>
      <x:c r="B992" s="15" t="str">
        <x:v>泰国</x:v>
      </x:c>
      <x:c r="C992" s="16" t="n">
        <x:v>46085</x:v>
      </x:c>
      <x:c r="D992" s="17" t="n">
        <x:v>90</x:v>
      </x:c>
      <x:c r="E992" s="17" t="n">
        <x:v>135</x:v>
      </x:c>
      <x:c r="F992" s="18" t="n">
        <x:v>1188.82</x:v>
      </x:c>
    </x:row>
    <x:row r="993">
      <x:c r="A993" s="14" t="str">
        <x:v>站点</x:v>
      </x:c>
      <x:c r="B993" s="15" t="str">
        <x:v>泰国</x:v>
      </x:c>
      <x:c r="C993" s="16" t="n">
        <x:v>46086</x:v>
      </x:c>
      <x:c r="D993" s="17" t="n">
        <x:v>78</x:v>
      </x:c>
      <x:c r="E993" s="17" t="n">
        <x:v>125</x:v>
      </x:c>
      <x:c r="F993" s="18" t="n">
        <x:v>1022.14</x:v>
      </x:c>
    </x:row>
    <x:row r="994">
      <x:c r="A994" s="14" t="str">
        <x:v>站点</x:v>
      </x:c>
      <x:c r="B994" s="15" t="str">
        <x:v>泰国</x:v>
      </x:c>
      <x:c r="C994" s="16" t="n">
        <x:v>46087</x:v>
      </x:c>
      <x:c r="D994" s="17" t="n">
        <x:v>134</x:v>
      </x:c>
      <x:c r="E994" s="17" t="n">
        <x:v>188</x:v>
      </x:c>
      <x:c r="F994" s="18" t="n">
        <x:v>1936.82</x:v>
      </x:c>
    </x:row>
    <x:row r="995">
      <x:c r="A995" s="14" t="str">
        <x:v>站点</x:v>
      </x:c>
      <x:c r="B995" s="15" t="str">
        <x:v>泰国</x:v>
      </x:c>
      <x:c r="C995" s="16" t="n">
        <x:v>46088</x:v>
      </x:c>
      <x:c r="D995" s="17" t="n">
        <x:v>108</x:v>
      </x:c>
      <x:c r="E995" s="17" t="n">
        <x:v>158</x:v>
      </x:c>
      <x:c r="F995" s="18" t="n">
        <x:v>1473.93</x:v>
      </x:c>
    </x:row>
    <x:row r="996">
      <x:c r="A996" s="14" t="str">
        <x:v>站点</x:v>
      </x:c>
      <x:c r="B996" s="15" t="str">
        <x:v>泰国</x:v>
      </x:c>
      <x:c r="C996" s="16" t="n">
        <x:v>46089</x:v>
      </x:c>
      <x:c r="D996" s="17" t="n">
        <x:v>93</x:v>
      </x:c>
      <x:c r="E996" s="17" t="n">
        <x:v>131</x:v>
      </x:c>
      <x:c r="F996" s="18" t="n">
        <x:v>1266.02</x:v>
      </x:c>
    </x:row>
    <x:row r="997">
      <x:c r="A997" s="14" t="str">
        <x:v>站点</x:v>
      </x:c>
      <x:c r="B997" s="15" t="str">
        <x:v>泰国</x:v>
      </x:c>
      <x:c r="C997" s="16" t="n">
        <x:v>46090</x:v>
      </x:c>
      <x:c r="D997" s="17" t="n">
        <x:v>91</x:v>
      </x:c>
      <x:c r="E997" s="17" t="n">
        <x:v>133</x:v>
      </x:c>
      <x:c r="F997" s="18" t="n">
        <x:v>1559.7</x:v>
      </x:c>
    </x:row>
    <x:row r="998">
      <x:c r="A998" s="14" t="str">
        <x:v>站点</x:v>
      </x:c>
      <x:c r="B998" s="15" t="str">
        <x:v>泰国</x:v>
      </x:c>
      <x:c r="C998" s="16" t="n">
        <x:v>46091</x:v>
      </x:c>
      <x:c r="D998" s="17" t="n">
        <x:v>95</x:v>
      </x:c>
      <x:c r="E998" s="17" t="n">
        <x:v>149</x:v>
      </x:c>
      <x:c r="F998" s="18" t="n">
        <x:v>1360.43</x:v>
      </x:c>
    </x:row>
    <x:row r="999">
      <x:c r="A999" s="14" t="str">
        <x:v>站点</x:v>
      </x:c>
      <x:c r="B999" s="15" t="str">
        <x:v>泰国</x:v>
      </x:c>
      <x:c r="C999" s="16" t="n">
        <x:v>46092</x:v>
      </x:c>
      <x:c r="D999" s="17" t="n">
        <x:v>110</x:v>
      </x:c>
      <x:c r="E999" s="17" t="n">
        <x:v>165</x:v>
      </x:c>
      <x:c r="F999" s="18" t="n">
        <x:v>1396.11</x:v>
      </x:c>
    </x:row>
    <x:row r="1000">
      <x:c r="A1000" s="14" t="str">
        <x:v>站点</x:v>
      </x:c>
      <x:c r="B1000" s="15" t="str">
        <x:v>泰国</x:v>
      </x:c>
      <x:c r="C1000" s="16" t="n">
        <x:v>46093</x:v>
      </x:c>
      <x:c r="D1000" s="17" t="n">
        <x:v>96</x:v>
      </x:c>
      <x:c r="E1000" s="17" t="n">
        <x:v>151</x:v>
      </x:c>
      <x:c r="F1000" s="18" t="n">
        <x:v>1343.21</x:v>
      </x:c>
    </x:row>
    <x:row r="1001">
      <x:c r="A1001" s="14" t="str">
        <x:v>站点</x:v>
      </x:c>
      <x:c r="B1001" s="15" t="str">
        <x:v>泰国</x:v>
      </x:c>
      <x:c r="C1001" s="16" t="n">
        <x:v>46094</x:v>
      </x:c>
      <x:c r="D1001" s="17" t="n">
        <x:v>118</x:v>
      </x:c>
      <x:c r="E1001" s="17" t="n">
        <x:v>210</x:v>
      </x:c>
      <x:c r="F1001" s="18" t="n">
        <x:v>1711.02</x:v>
      </x:c>
    </x:row>
    <x:row r="1002">
      <x:c r="A1002" s="14" t="str">
        <x:v>站点</x:v>
      </x:c>
      <x:c r="B1002" s="15" t="str">
        <x:v>泰国</x:v>
      </x:c>
      <x:c r="C1002" s="16" t="n">
        <x:v>46095</x:v>
      </x:c>
      <x:c r="D1002" s="17" t="n">
        <x:v>101</x:v>
      </x:c>
      <x:c r="E1002" s="17" t="n">
        <x:v>157</x:v>
      </x:c>
      <x:c r="F1002" s="18" t="n">
        <x:v>1410.34</x:v>
      </x:c>
    </x:row>
    <x:row r="1003">
      <x:c r="A1003" s="14" t="str">
        <x:v>站点</x:v>
      </x:c>
      <x:c r="B1003" s="15" t="str">
        <x:v>泰国</x:v>
      </x:c>
      <x:c r="C1003" s="16" t="n">
        <x:v>46096</x:v>
      </x:c>
      <x:c r="D1003" s="17" t="n">
        <x:v>82</x:v>
      </x:c>
      <x:c r="E1003" s="17" t="n">
        <x:v>126</x:v>
      </x:c>
      <x:c r="F1003" s="18" t="n">
        <x:v>1014.5</x:v>
      </x:c>
    </x:row>
    <x:row r="1004">
      <x:c r="A1004" s="14" t="str">
        <x:v>站点</x:v>
      </x:c>
      <x:c r="B1004" s="15" t="str">
        <x:v>泰国</x:v>
      </x:c>
      <x:c r="C1004" s="16" t="n">
        <x:v>46097</x:v>
      </x:c>
      <x:c r="D1004" s="17" t="n">
        <x:v>113</x:v>
      </x:c>
      <x:c r="E1004" s="17" t="n">
        <x:v>174</x:v>
      </x:c>
      <x:c r="F1004" s="18" t="n">
        <x:v>1426.09</x:v>
      </x:c>
    </x:row>
    <x:row r="1005">
      <x:c r="A1005" s="14" t="str">
        <x:v>站点</x:v>
      </x:c>
      <x:c r="B1005" s="15" t="str">
        <x:v>泰国</x:v>
      </x:c>
      <x:c r="C1005" s="16" t="n">
        <x:v>46098</x:v>
      </x:c>
      <x:c r="D1005" s="17" t="n">
        <x:v>87</x:v>
      </x:c>
      <x:c r="E1005" s="17" t="n">
        <x:v>139</x:v>
      </x:c>
      <x:c r="F1005" s="18" t="n">
        <x:v>1119.91</x:v>
      </x:c>
    </x:row>
    <x:row r="1006">
      <x:c r="A1006" s="14" t="str">
        <x:v>站点</x:v>
      </x:c>
      <x:c r="B1006" s="15" t="str">
        <x:v>泰国</x:v>
      </x:c>
      <x:c r="C1006" s="16" t="n">
        <x:v>46099</x:v>
      </x:c>
      <x:c r="D1006" s="17" t="n">
        <x:v>82</x:v>
      </x:c>
      <x:c r="E1006" s="17" t="n">
        <x:v>125</x:v>
      </x:c>
      <x:c r="F1006" s="18" t="n">
        <x:v>1047.8</x:v>
      </x:c>
    </x:row>
    <x:row r="1007">
      <x:c r="A1007" s="14" t="str">
        <x:v>站点</x:v>
      </x:c>
      <x:c r="B1007" s="15" t="str">
        <x:v>泰国</x:v>
      </x:c>
      <x:c r="C1007" s="16" t="n">
        <x:v>46100</x:v>
      </x:c>
      <x:c r="D1007" s="17" t="n">
        <x:v>86</x:v>
      </x:c>
      <x:c r="E1007" s="17" t="n">
        <x:v>136</x:v>
      </x:c>
      <x:c r="F1007" s="18" t="n">
        <x:v>1126.06</x:v>
      </x:c>
    </x:row>
    <x:row r="1008">
      <x:c r="A1008" s="14" t="str">
        <x:v>站点</x:v>
      </x:c>
      <x:c r="B1008" s="15" t="str">
        <x:v>泰国</x:v>
      </x:c>
      <x:c r="C1008" s="16" t="n">
        <x:v>46101</x:v>
      </x:c>
      <x:c r="D1008" s="17" t="n">
        <x:v>125</x:v>
      </x:c>
      <x:c r="E1008" s="17" t="n">
        <x:v>197</x:v>
      </x:c>
      <x:c r="F1008" s="18" t="n">
        <x:v>1699.66</x:v>
      </x:c>
    </x:row>
    <x:row r="1009">
      <x:c r="A1009" s="14" t="str">
        <x:v>站点</x:v>
      </x:c>
      <x:c r="B1009" s="15" t="str">
        <x:v>泰国</x:v>
      </x:c>
      <x:c r="C1009" s="16" t="n">
        <x:v>46102</x:v>
      </x:c>
      <x:c r="D1009" s="17" t="n">
        <x:v>94</x:v>
      </x:c>
      <x:c r="E1009" s="17" t="n">
        <x:v>146</x:v>
      </x:c>
      <x:c r="F1009" s="18" t="n">
        <x:v>1186.99</x:v>
      </x:c>
    </x:row>
    <x:row r="1010">
      <x:c r="A1010" s="14" t="str">
        <x:v>站点</x:v>
      </x:c>
      <x:c r="B1010" s="15" t="str">
        <x:v>泰国</x:v>
      </x:c>
      <x:c r="C1010" s="16" t="n">
        <x:v>46103</x:v>
      </x:c>
      <x:c r="D1010" s="17" t="n">
        <x:v>77</x:v>
      </x:c>
      <x:c r="E1010" s="17" t="n">
        <x:v>125</x:v>
      </x:c>
      <x:c r="F1010" s="18" t="n">
        <x:v>1067.7</x:v>
      </x:c>
    </x:row>
    <x:row r="1011">
      <x:c r="A1011" s="14" t="str">
        <x:v>站点</x:v>
      </x:c>
      <x:c r="B1011" s="15" t="str">
        <x:v>泰国</x:v>
      </x:c>
      <x:c r="C1011" s="16" t="n">
        <x:v>46104</x:v>
      </x:c>
      <x:c r="D1011" s="17" t="n">
        <x:v>111</x:v>
      </x:c>
      <x:c r="E1011" s="17" t="n">
        <x:v>188</x:v>
      </x:c>
      <x:c r="F1011" s="18" t="n">
        <x:v>1378.59</x:v>
      </x:c>
    </x:row>
    <x:row r="1012">
      <x:c r="A1012" s="14" t="str">
        <x:v>站点</x:v>
      </x:c>
      <x:c r="B1012" s="15" t="str">
        <x:v>泰国</x:v>
      </x:c>
      <x:c r="C1012" s="16" t="n">
        <x:v>46105</x:v>
      </x:c>
      <x:c r="D1012" s="17" t="n">
        <x:v>72</x:v>
      </x:c>
      <x:c r="E1012" s="17" t="n">
        <x:v>113</x:v>
      </x:c>
      <x:c r="F1012" s="18" t="n">
        <x:v>932.23</x:v>
      </x:c>
    </x:row>
    <x:row r="1013">
      <x:c r="A1013" s="14" t="str">
        <x:v>站点</x:v>
      </x:c>
      <x:c r="B1013" s="15" t="str">
        <x:v>泰国</x:v>
      </x:c>
      <x:c r="C1013" s="16" t="n">
        <x:v>46106</x:v>
      </x:c>
      <x:c r="D1013" s="17" t="n">
        <x:v>84</x:v>
      </x:c>
      <x:c r="E1013" s="17" t="n">
        <x:v>134</x:v>
      </x:c>
      <x:c r="F1013" s="18" t="n">
        <x:v>1077.55</x:v>
      </x:c>
    </x:row>
    <x:row r="1014">
      <x:c r="A1014" s="14" t="str">
        <x:v>站点</x:v>
      </x:c>
      <x:c r="B1014" s="15" t="str">
        <x:v>泰国</x:v>
      </x:c>
      <x:c r="C1014" s="16" t="n">
        <x:v>46107</x:v>
      </x:c>
      <x:c r="D1014" s="17" t="n">
        <x:v>100</x:v>
      </x:c>
      <x:c r="E1014" s="17" t="n">
        <x:v>146</x:v>
      </x:c>
      <x:c r="F1014" s="18" t="n">
        <x:v>1353.22</x:v>
      </x:c>
    </x:row>
    <x:row r="1015">
      <x:c r="A1015" s="14" t="str">
        <x:v>站点</x:v>
      </x:c>
      <x:c r="B1015" s="15" t="str">
        <x:v>泰国</x:v>
      </x:c>
      <x:c r="C1015" s="16" t="n">
        <x:v>46108</x:v>
      </x:c>
      <x:c r="D1015" s="17" t="n">
        <x:v>73</x:v>
      </x:c>
      <x:c r="E1015" s="17" t="n">
        <x:v>105</x:v>
      </x:c>
      <x:c r="F1015" s="18" t="n">
        <x:v>1064.06</x:v>
      </x:c>
    </x:row>
    <x:row r="1016">
      <x:c r="A1016" s="14" t="str">
        <x:v>站点</x:v>
      </x:c>
      <x:c r="B1016" s="15" t="str">
        <x:v>泰国</x:v>
      </x:c>
      <x:c r="C1016" s="16" t="n">
        <x:v>46109</x:v>
      </x:c>
      <x:c r="D1016" s="17" t="n">
        <x:v>84</x:v>
      </x:c>
      <x:c r="E1016" s="17" t="n">
        <x:v>118</x:v>
      </x:c>
      <x:c r="F1016" s="18" t="n">
        <x:v>1003.97</x:v>
      </x:c>
    </x:row>
    <x:row r="1017">
      <x:c r="A1017" s="14" t="str">
        <x:v>站点</x:v>
      </x:c>
      <x:c r="B1017" s="15" t="str">
        <x:v>泰国</x:v>
      </x:c>
      <x:c r="C1017" s="16" t="n">
        <x:v>46110</x:v>
      </x:c>
      <x:c r="D1017" s="17" t="n">
        <x:v>89</x:v>
      </x:c>
      <x:c r="E1017" s="17" t="n">
        <x:v>176</x:v>
      </x:c>
      <x:c r="F1017" s="18" t="n">
        <x:v>1220.27</x:v>
      </x:c>
    </x:row>
    <x:row r="1018">
      <x:c r="A1018" s="14" t="str">
        <x:v>站点</x:v>
      </x:c>
      <x:c r="B1018" s="15" t="str">
        <x:v>泰国</x:v>
      </x:c>
      <x:c r="C1018" s="16" t="n">
        <x:v>46111</x:v>
      </x:c>
      <x:c r="D1018" s="17" t="n">
        <x:v>77</x:v>
      </x:c>
      <x:c r="E1018" s="17" t="n">
        <x:v>99</x:v>
      </x:c>
      <x:c r="F1018" s="18" t="n">
        <x:v>1077.25</x:v>
      </x:c>
    </x:row>
    <x:row r="1019">
      <x:c r="A1019" s="14" t="str">
        <x:v>站点</x:v>
      </x:c>
      <x:c r="B1019" s="15" t="str">
        <x:v>泰国</x:v>
      </x:c>
      <x:c r="C1019" s="16" t="n">
        <x:v>46112</x:v>
      </x:c>
      <x:c r="D1019" s="17" t="n">
        <x:v>142</x:v>
      </x:c>
      <x:c r="E1019" s="17" t="n">
        <x:v>179</x:v>
      </x:c>
      <x:c r="F1019" s="18" t="n">
        <x:v>1810.44</x:v>
      </x:c>
    </x:row>
    <x:row r="1020">
      <x:c r="A1020" s="14" t="str">
        <x:v>站点</x:v>
      </x:c>
      <x:c r="B1020" s="15" t="str">
        <x:v>泰国</x:v>
      </x:c>
      <x:c r="C1020" s="16" t="n">
        <x:v>46113</x:v>
      </x:c>
      <x:c r="D1020" s="17" t="n">
        <x:v>149</x:v>
      </x:c>
      <x:c r="E1020" s="17" t="n">
        <x:v>165</x:v>
      </x:c>
      <x:c r="F1020" s="18" t="n">
        <x:v>1717.89</x:v>
      </x:c>
    </x:row>
    <x:row r="1021">
      <x:c r="A1021" s="14" t="str">
        <x:v>站点</x:v>
      </x:c>
      <x:c r="B1021" s="15" t="str">
        <x:v>泰国</x:v>
      </x:c>
      <x:c r="C1021" s="16" t="n">
        <x:v>46114</x:v>
      </x:c>
      <x:c r="D1021" s="17" t="n">
        <x:v>107</x:v>
      </x:c>
      <x:c r="E1021" s="17" t="n">
        <x:v>133</x:v>
      </x:c>
      <x:c r="F1021" s="18" t="n">
        <x:v>1394.95</x:v>
      </x:c>
    </x:row>
    <x:row r="1022">
      <x:c r="A1022" s="14" t="str">
        <x:v>站点</x:v>
      </x:c>
      <x:c r="B1022" s="15" t="str">
        <x:v>泰国</x:v>
      </x:c>
      <x:c r="C1022" s="16" t="n">
        <x:v>46115</x:v>
      </x:c>
      <x:c r="D1022" s="17" t="n">
        <x:v>147</x:v>
      </x:c>
      <x:c r="E1022" s="17" t="n">
        <x:v>171</x:v>
      </x:c>
      <x:c r="F1022" s="18" t="n">
        <x:v>1858.57</x:v>
      </x:c>
    </x:row>
    <x:row r="1023">
      <x:c r="A1023" s="14" t="str">
        <x:v>站点</x:v>
      </x:c>
      <x:c r="B1023" s="15" t="str">
        <x:v>泰国</x:v>
      </x:c>
      <x:c r="C1023" s="16" t="n">
        <x:v>46116</x:v>
      </x:c>
      <x:c r="D1023" s="17" t="n">
        <x:v>117</x:v>
      </x:c>
      <x:c r="E1023" s="17" t="n">
        <x:v>136</x:v>
      </x:c>
      <x:c r="F1023" s="18" t="n">
        <x:v>1464.72</x:v>
      </x:c>
    </x:row>
    <x:row r="1024">
      <x:c r="A1024" s="14" t="str">
        <x:v>站点</x:v>
      </x:c>
      <x:c r="B1024" s="15" t="str">
        <x:v>泰国</x:v>
      </x:c>
      <x:c r="C1024" s="16" t="n">
        <x:v>46117</x:v>
      </x:c>
      <x:c r="D1024" s="17" t="n">
        <x:v>111</x:v>
      </x:c>
      <x:c r="E1024" s="17" t="n">
        <x:v>135</x:v>
      </x:c>
      <x:c r="F1024" s="18" t="n">
        <x:v>1406.97</x:v>
      </x:c>
    </x:row>
    <x:row r="1025">
      <x:c r="A1025" s="14" t="str">
        <x:v>站点</x:v>
      </x:c>
      <x:c r="B1025" s="15" t="str">
        <x:v>泰国</x:v>
      </x:c>
      <x:c r="C1025" s="16" t="n">
        <x:v>46118</x:v>
      </x:c>
      <x:c r="D1025" s="17" t="n">
        <x:v>152</x:v>
      </x:c>
      <x:c r="E1025" s="17" t="n">
        <x:v>187</x:v>
      </x:c>
      <x:c r="F1025" s="18" t="n">
        <x:v>1858.98</x:v>
      </x:c>
    </x:row>
    <x:row r="1026">
      <x:c r="A1026" s="14" t="str">
        <x:v>站点</x:v>
      </x:c>
      <x:c r="B1026" s="15" t="str">
        <x:v>泰国</x:v>
      </x:c>
      <x:c r="C1026" s="16" t="n">
        <x:v>46119</x:v>
      </x:c>
      <x:c r="D1026" s="17" t="n">
        <x:v>136</x:v>
      </x:c>
      <x:c r="E1026" s="17" t="n">
        <x:v>148</x:v>
      </x:c>
      <x:c r="F1026" s="18" t="n">
        <x:v>1417.32</x:v>
      </x:c>
    </x:row>
    <x:row r="1027">
      <x:c r="A1027" s="14" t="str">
        <x:v>站点</x:v>
      </x:c>
      <x:c r="B1027" s="15" t="str">
        <x:v>泰国</x:v>
      </x:c>
      <x:c r="C1027" s="16" t="n">
        <x:v>46120</x:v>
      </x:c>
      <x:c r="D1027" s="17" t="n">
        <x:v>123</x:v>
      </x:c>
      <x:c r="E1027" s="17" t="n">
        <x:v>150</x:v>
      </x:c>
      <x:c r="F1027" s="18" t="n">
        <x:v>1445.54</x:v>
      </x:c>
    </x:row>
    <x:row r="1028">
      <x:c r="A1028" s="14" t="str">
        <x:v>站点</x:v>
      </x:c>
      <x:c r="B1028" s="15" t="str">
        <x:v>泰国</x:v>
      </x:c>
      <x:c r="C1028" s="16" t="n">
        <x:v>46121</x:v>
      </x:c>
      <x:c r="D1028" s="17" t="n">
        <x:v>102</x:v>
      </x:c>
      <x:c r="E1028" s="17" t="n">
        <x:v>124</x:v>
      </x:c>
      <x:c r="F1028" s="18" t="n">
        <x:v>1175.29</x:v>
      </x:c>
    </x:row>
    <x:row r="1029">
      <x:c r="A1029" s="14" t="str">
        <x:v>站点</x:v>
      </x:c>
      <x:c r="B1029" s="15" t="str">
        <x:v>泰国</x:v>
      </x:c>
      <x:c r="C1029" s="16" t="n">
        <x:v>46122</x:v>
      </x:c>
      <x:c r="D1029" s="17" t="n">
        <x:v>103</x:v>
      </x:c>
      <x:c r="E1029" s="17" t="n">
        <x:v>128</x:v>
      </x:c>
      <x:c r="F1029" s="18" t="n">
        <x:v>1252.44</x:v>
      </x:c>
    </x:row>
    <x:row r="1030">
      <x:c r="A1030" s="14" t="str">
        <x:v>站点</x:v>
      </x:c>
      <x:c r="B1030" s="15" t="str">
        <x:v>泰国</x:v>
      </x:c>
      <x:c r="C1030" s="16" t="n">
        <x:v>46123</x:v>
      </x:c>
      <x:c r="D1030" s="17" t="n">
        <x:v>93</x:v>
      </x:c>
      <x:c r="E1030" s="17" t="n">
        <x:v>117</x:v>
      </x:c>
      <x:c r="F1030" s="18" t="n">
        <x:v>1146.96</x:v>
      </x:c>
    </x:row>
    <x:row r="1031">
      <x:c r="A1031" s="14" t="str">
        <x:v>站点</x:v>
      </x:c>
      <x:c r="B1031" s="15" t="str">
        <x:v>泰国</x:v>
      </x:c>
      <x:c r="C1031" s="16" t="n">
        <x:v>46124</x:v>
      </x:c>
      <x:c r="D1031" s="17" t="n">
        <x:v>113</x:v>
      </x:c>
      <x:c r="E1031" s="17" t="n">
        <x:v>150</x:v>
      </x:c>
      <x:c r="F1031" s="18" t="n">
        <x:v>1432.08</x:v>
      </x:c>
    </x:row>
    <x:row r="1032">
      <x:c r="A1032" s="14" t="str">
        <x:v>站点</x:v>
      </x:c>
      <x:c r="B1032" s="15" t="str">
        <x:v>泰国</x:v>
      </x:c>
      <x:c r="C1032" s="16" t="n">
        <x:v>46125</x:v>
      </x:c>
      <x:c r="D1032" s="17" t="n">
        <x:v>93</x:v>
      </x:c>
      <x:c r="E1032" s="17" t="n">
        <x:v>106</x:v>
      </x:c>
      <x:c r="F1032" s="18" t="n">
        <x:v>1044.85</x:v>
      </x:c>
    </x:row>
    <x:row r="1033">
      <x:c r="A1033" s="14" t="str">
        <x:v>站点</x:v>
      </x:c>
      <x:c r="B1033" s="15" t="str">
        <x:v>泰国</x:v>
      </x:c>
      <x:c r="C1033" s="16" t="n">
        <x:v>46126</x:v>
      </x:c>
      <x:c r="D1033" s="17" t="n">
        <x:v>0</x:v>
      </x:c>
      <x:c r="E1033" s="17" t="n">
        <x:v>0</x:v>
      </x:c>
      <x:c r="F1033" s="18" t="n">
        <x:v>0</x:v>
      </x:c>
    </x:row>
    <x:row r="1034">
      <x:c r="A1034" s="14" t="str">
        <x:v>站点</x:v>
      </x:c>
      <x:c r="B1034" s="15" t="str">
        <x:v>泰国</x:v>
      </x:c>
      <x:c r="C1034" s="16" t="n">
        <x:v>46127</x:v>
      </x:c>
      <x:c r="D1034" s="17" t="n">
        <x:v>152</x:v>
      </x:c>
      <x:c r="E1034" s="17" t="n">
        <x:v>182</x:v>
      </x:c>
      <x:c r="F1034" s="18" t="n">
        <x:v>1864.62</x:v>
      </x:c>
    </x:row>
    <x:row r="1035">
      <x:c r="A1035" s="14" t="str">
        <x:v>站点</x:v>
      </x:c>
      <x:c r="B1035" s="15" t="str">
        <x:v>泰国</x:v>
      </x:c>
      <x:c r="C1035" s="16" t="n">
        <x:v>46128</x:v>
      </x:c>
      <x:c r="D1035" s="17" t="n">
        <x:v>89</x:v>
      </x:c>
      <x:c r="E1035" s="17" t="n">
        <x:v>107</x:v>
      </x:c>
      <x:c r="F1035" s="18" t="n">
        <x:v>1116.44</x:v>
      </x:c>
    </x:row>
    <x:row r="1036">
      <x:c r="A1036" s="14" t="str">
        <x:v>站点</x:v>
      </x:c>
      <x:c r="B1036" s="15" t="str">
        <x:v>泰国</x:v>
      </x:c>
      <x:c r="C1036" s="16" t="n">
        <x:v>46129</x:v>
      </x:c>
      <x:c r="D1036" s="17" t="n">
        <x:v>117</x:v>
      </x:c>
      <x:c r="E1036" s="17" t="n">
        <x:v>147</x:v>
      </x:c>
      <x:c r="F1036" s="18" t="n">
        <x:v>1386.02</x:v>
      </x:c>
    </x:row>
    <x:row r="1037">
      <x:c r="A1037" s="14" t="str">
        <x:v>站点</x:v>
      </x:c>
      <x:c r="B1037" s="15" t="str">
        <x:v>泰国</x:v>
      </x:c>
      <x:c r="C1037" s="16" t="n">
        <x:v>46130</x:v>
      </x:c>
      <x:c r="D1037" s="17" t="n">
        <x:v>120</x:v>
      </x:c>
      <x:c r="E1037" s="17" t="n">
        <x:v>134</x:v>
      </x:c>
      <x:c r="F1037" s="18" t="n">
        <x:v>1380.51</x:v>
      </x:c>
    </x:row>
    <x:row r="1038">
      <x:c r="A1038" s="14" t="str">
        <x:v>站点</x:v>
      </x:c>
      <x:c r="B1038" s="15" t="str">
        <x:v>泰国</x:v>
      </x:c>
      <x:c r="C1038" s="16" t="n">
        <x:v>46131</x:v>
      </x:c>
      <x:c r="D1038" s="17" t="n">
        <x:v>122</x:v>
      </x:c>
      <x:c r="E1038" s="17" t="n">
        <x:v>159</x:v>
      </x:c>
      <x:c r="F1038" s="18" t="n">
        <x:v>1505.43</x:v>
      </x:c>
    </x:row>
    <x:row r="1039">
      <x:c r="A1039" s="14" t="str">
        <x:v>站点</x:v>
      </x:c>
      <x:c r="B1039" s="15" t="str">
        <x:v>泰国</x:v>
      </x:c>
      <x:c r="C1039" s="16" t="n">
        <x:v>46132</x:v>
      </x:c>
      <x:c r="D1039" s="17" t="n">
        <x:v>122</x:v>
      </x:c>
      <x:c r="E1039" s="17" t="n">
        <x:v>137</x:v>
      </x:c>
      <x:c r="F1039" s="18" t="n">
        <x:v>1389.79</x:v>
      </x:c>
    </x:row>
    <x:row r="1040">
      <x:c r="A1040" s="14" t="str">
        <x:v>站点</x:v>
      </x:c>
      <x:c r="B1040" s="15" t="str">
        <x:v>泰国</x:v>
      </x:c>
      <x:c r="C1040" s="16" t="n">
        <x:v>46133</x:v>
      </x:c>
      <x:c r="D1040" s="17" t="n">
        <x:v>101</x:v>
      </x:c>
      <x:c r="E1040" s="17" t="n">
        <x:v>122</x:v>
      </x:c>
      <x:c r="F1040" s="18" t="n">
        <x:v>1244.81</x:v>
      </x:c>
    </x:row>
    <x:row r="1041">
      <x:c r="A1041" s="14" t="str">
        <x:v>站点</x:v>
      </x:c>
      <x:c r="B1041" s="15" t="str">
        <x:v>泰国</x:v>
      </x:c>
      <x:c r="C1041" s="16" t="n">
        <x:v>46134</x:v>
      </x:c>
      <x:c r="D1041" s="17" t="n">
        <x:v>81</x:v>
      </x:c>
      <x:c r="E1041" s="17" t="n">
        <x:v>101</x:v>
      </x:c>
      <x:c r="F1041" s="18" t="n">
        <x:v>1030.37</x:v>
      </x:c>
    </x:row>
    <x:row r="1042">
      <x:c r="A1042" s="14" t="str">
        <x:v>站点</x:v>
      </x:c>
      <x:c r="B1042" s="15" t="str">
        <x:v>泰国</x:v>
      </x:c>
      <x:c r="C1042" s="16" t="n">
        <x:v>46135</x:v>
      </x:c>
      <x:c r="D1042" s="17" t="n">
        <x:v>110</x:v>
      </x:c>
      <x:c r="E1042" s="17" t="n">
        <x:v>135</x:v>
      </x:c>
      <x:c r="F1042" s="18" t="n">
        <x:v>1310.11</x:v>
      </x:c>
    </x:row>
    <x:row r="1043">
      <x:c r="A1043" s="14" t="str">
        <x:v>站点</x:v>
      </x:c>
      <x:c r="B1043" s="15" t="str">
        <x:v>泰国</x:v>
      </x:c>
      <x:c r="C1043" s="16" t="n">
        <x:v>46136</x:v>
      </x:c>
      <x:c r="D1043" s="17" t="n">
        <x:v>134</x:v>
      </x:c>
      <x:c r="E1043" s="17" t="n">
        <x:v>262</x:v>
      </x:c>
      <x:c r="F1043" s="18" t="n">
        <x:v>1613.71</x:v>
      </x:c>
    </x:row>
    <x:row r="1044">
      <x:c r="A1044" s="14" t="str">
        <x:v>站点</x:v>
      </x:c>
      <x:c r="B1044" s="15" t="str">
        <x:v>泰国</x:v>
      </x:c>
      <x:c r="C1044" s="16" t="n">
        <x:v>46137</x:v>
      </x:c>
      <x:c r="D1044" s="17" t="n">
        <x:v>137</x:v>
      </x:c>
      <x:c r="E1044" s="17" t="n">
        <x:v>274</x:v>
      </x:c>
      <x:c r="F1044" s="18" t="n">
        <x:v>1606.02</x:v>
      </x:c>
    </x:row>
    <x:row r="1045">
      <x:c r="A1045" s="14" t="str">
        <x:v>站点</x:v>
      </x:c>
      <x:c r="B1045" s="15" t="str">
        <x:v>泰国</x:v>
      </x:c>
      <x:c r="C1045" s="16" t="n">
        <x:v>46138</x:v>
      </x:c>
      <x:c r="D1045" s="17" t="n">
        <x:v>98</x:v>
      </x:c>
      <x:c r="E1045" s="17" t="n">
        <x:v>195</x:v>
      </x:c>
      <x:c r="F1045" s="18" t="n">
        <x:v>1110.36</x:v>
      </x:c>
    </x:row>
    <x:row r="1046">
      <x:c r="A1046" s="14" t="str">
        <x:v>站点</x:v>
      </x:c>
      <x:c r="B1046" s="15" t="str">
        <x:v>泰国</x:v>
      </x:c>
      <x:c r="C1046" s="16" t="n">
        <x:v>46139</x:v>
      </x:c>
      <x:c r="D1046" s="17" t="n">
        <x:v>85</x:v>
      </x:c>
      <x:c r="E1046" s="17" t="n">
        <x:v>170</x:v>
      </x:c>
      <x:c r="F1046" s="18" t="n">
        <x:v>1007.8</x:v>
      </x:c>
    </x:row>
    <x:row r="1047">
      <x:c r="A1047" s="14" t="str">
        <x:v>站点</x:v>
      </x:c>
      <x:c r="B1047" s="15" t="str">
        <x:v>泰国</x:v>
      </x:c>
      <x:c r="C1047" s="16" t="n">
        <x:v>46140</x:v>
      </x:c>
      <x:c r="D1047" s="17" t="n">
        <x:v>90</x:v>
      </x:c>
      <x:c r="E1047" s="17" t="n">
        <x:v>181</x:v>
      </x:c>
      <x:c r="F1047" s="18" t="n">
        <x:v>993.36</x:v>
      </x:c>
    </x:row>
    <x:row r="1048">
      <x:c r="A1048" s="14" t="str">
        <x:v>站点</x:v>
      </x:c>
      <x:c r="B1048" s="15" t="str">
        <x:v>泰国</x:v>
      </x:c>
      <x:c r="C1048" s="16" t="n">
        <x:v>46141</x:v>
      </x:c>
      <x:c r="D1048" s="17" t="n">
        <x:v>106</x:v>
      </x:c>
      <x:c r="E1048" s="17" t="n">
        <x:v>212</x:v>
      </x:c>
      <x:c r="F1048" s="18" t="n">
        <x:v>1199.97</x:v>
      </x:c>
    </x:row>
    <x:row r="1049">
      <x:c r="A1049" s="14" t="str">
        <x:v>站点</x:v>
      </x:c>
      <x:c r="B1049" s="15" t="str">
        <x:v>泰国</x:v>
      </x:c>
      <x:c r="C1049" s="16" t="n">
        <x:v>46142</x:v>
      </x:c>
      <x:c r="D1049" s="17" t="n">
        <x:v>79</x:v>
      </x:c>
      <x:c r="E1049" s="17" t="n">
        <x:v>166</x:v>
      </x:c>
      <x:c r="F1049" s="18" t="n">
        <x:v>1137.79</x:v>
      </x:c>
    </x:row>
    <x:row r="1050">
      <x:c r="A1050" s="14" t="str">
        <x:v>站点</x:v>
      </x:c>
      <x:c r="B1050" s="15" t="str">
        <x:v>泰国</x:v>
      </x:c>
      <x:c r="C1050" s="16" t="n">
        <x:v>46143</x:v>
      </x:c>
      <x:c r="D1050" s="17" t="n">
        <x:v>61</x:v>
      </x:c>
      <x:c r="E1050" s="17" t="n">
        <x:v>121</x:v>
      </x:c>
      <x:c r="F1050" s="18" t="n">
        <x:v>799.69</x:v>
      </x:c>
    </x:row>
    <x:row r="1051">
      <x:c r="A1051" s="14" t="str">
        <x:v>站点</x:v>
      </x:c>
      <x:c r="B1051" s="15" t="str">
        <x:v>泰国</x:v>
      </x:c>
      <x:c r="C1051" s="16" t="n">
        <x:v>46144</x:v>
      </x:c>
      <x:c r="D1051" s="17" t="n">
        <x:v>101</x:v>
      </x:c>
      <x:c r="E1051" s="17" t="n">
        <x:v>212</x:v>
      </x:c>
      <x:c r="F1051" s="18" t="n">
        <x:v>1342.83</x:v>
      </x:c>
    </x:row>
    <x:row r="1052">
      <x:c r="A1052" s="14" t="str">
        <x:v>站点</x:v>
      </x:c>
      <x:c r="B1052" s="15" t="str">
        <x:v>泰国</x:v>
      </x:c>
      <x:c r="C1052" s="16" t="n">
        <x:v>46145</x:v>
      </x:c>
      <x:c r="D1052" s="17" t="n">
        <x:v>87</x:v>
      </x:c>
      <x:c r="E1052" s="17" t="n">
        <x:v>182</x:v>
      </x:c>
      <x:c r="F1052" s="18" t="n">
        <x:v>1140.22</x:v>
      </x:c>
    </x:row>
    <x:row r="1053">
      <x:c r="A1053" s="14" t="str">
        <x:v>站点</x:v>
      </x:c>
      <x:c r="B1053" s="15" t="str">
        <x:v>泰国</x:v>
      </x:c>
      <x:c r="C1053" s="16" t="n">
        <x:v>46146</x:v>
      </x:c>
      <x:c r="D1053" s="17" t="n">
        <x:v>75</x:v>
      </x:c>
      <x:c r="E1053" s="17" t="n">
        <x:v>171</x:v>
      </x:c>
      <x:c r="F1053" s="18" t="n">
        <x:v>1111.19</x:v>
      </x:c>
    </x:row>
    <x:row r="1054">
      <x:c r="A1054" s="14" t="str">
        <x:v>站点</x:v>
      </x:c>
      <x:c r="B1054" s="15" t="str">
        <x:v>泰国</x:v>
      </x:c>
      <x:c r="C1054" s="16" t="n">
        <x:v>46147</x:v>
      </x:c>
      <x:c r="D1054" s="17" t="n">
        <x:v>63</x:v>
      </x:c>
      <x:c r="E1054" s="17" t="n">
        <x:v>120</x:v>
      </x:c>
      <x:c r="F1054" s="18" t="n">
        <x:v>721.02</x:v>
      </x:c>
    </x:row>
    <x:row r="1055">
      <x:c r="A1055" s="14" t="str">
        <x:v>站点</x:v>
      </x:c>
      <x:c r="B1055" s="15" t="str">
        <x:v>泰国</x:v>
      </x:c>
      <x:c r="C1055" s="16" t="n">
        <x:v>46148</x:v>
      </x:c>
      <x:c r="D1055" s="17" t="n">
        <x:v>90</x:v>
      </x:c>
      <x:c r="E1055" s="17" t="n">
        <x:v>101</x:v>
      </x:c>
      <x:c r="F1055" s="18" t="n">
        <x:v>1113.85</x:v>
      </x:c>
    </x:row>
    <x:row r="1056">
      <x:c r="A1056" s="14" t="str">
        <x:v>站点</x:v>
      </x:c>
      <x:c r="B1056" s="15" t="str">
        <x:v>泰国</x:v>
      </x:c>
      <x:c r="C1056" s="16" t="n">
        <x:v>46149</x:v>
      </x:c>
      <x:c r="D1056" s="17" t="n">
        <x:v>40</x:v>
      </x:c>
      <x:c r="E1056" s="17" t="n">
        <x:v>52</x:v>
      </x:c>
      <x:c r="F1056" s="18" t="n">
        <x:v>516.83</x:v>
      </x:c>
    </x:row>
    <x:row r="1057">
      <x:c r="A1057" s="14" t="str">
        <x:v>站点</x:v>
      </x:c>
      <x:c r="B1057" s="15" t="str">
        <x:v>泰国</x:v>
      </x:c>
      <x:c r="C1057" s="16" t="n">
        <x:v>46150</x:v>
      </x:c>
      <x:c r="D1057" s="17" t="n">
        <x:v>74</x:v>
      </x:c>
      <x:c r="E1057" s="17" t="n">
        <x:v>101</x:v>
      </x:c>
      <x:c r="F1057" s="18" t="n">
        <x:v>879.49</x:v>
      </x:c>
    </x:row>
    <x:row r="1058">
      <x:c r="A1058" s="14" t="str">
        <x:v>站点</x:v>
      </x:c>
      <x:c r="B1058" s="15" t="str">
        <x:v>泰国</x:v>
      </x:c>
      <x:c r="C1058" s="16" t="n">
        <x:v>46151</x:v>
      </x:c>
      <x:c r="D1058" s="17" t="n">
        <x:v>123</x:v>
      </x:c>
      <x:c r="E1058" s="17" t="n">
        <x:v>131</x:v>
      </x:c>
      <x:c r="F1058" s="18" t="n">
        <x:v>1483.37</x:v>
      </x:c>
    </x:row>
    <x:row r="1059">
      <x:c r="A1059" s="14" t="str">
        <x:v>站点</x:v>
      </x:c>
      <x:c r="B1059" s="15" t="str">
        <x:v>泰国</x:v>
      </x:c>
      <x:c r="C1059" s="16" t="n">
        <x:v>46152</x:v>
      </x:c>
      <x:c r="D1059" s="17" t="n">
        <x:v>61</x:v>
      </x:c>
      <x:c r="E1059" s="17" t="n">
        <x:v>67</x:v>
      </x:c>
      <x:c r="F1059" s="18" t="n">
        <x:v>777.23</x:v>
      </x:c>
    </x:row>
    <x:row r="1060">
      <x:c r="A1060" s="14" t="str">
        <x:v>站点</x:v>
      </x:c>
      <x:c r="B1060" s="15" t="str">
        <x:v>泰国</x:v>
      </x:c>
      <x:c r="C1060" s="16" t="n">
        <x:v>46153</x:v>
      </x:c>
      <x:c r="D1060" s="17" t="n">
        <x:v>51</x:v>
      </x:c>
      <x:c r="E1060" s="17" t="n">
        <x:v>56</x:v>
      </x:c>
      <x:c r="F1060" s="18" t="n">
        <x:v>671.55</x:v>
      </x:c>
    </x:row>
    <x:row r="1061">
      <x:c r="A1061" s="14" t="str">
        <x:v>站点</x:v>
      </x:c>
      <x:c r="B1061" s="15" t="str">
        <x:v>泰国</x:v>
      </x:c>
      <x:c r="C1061" s="16" t="n">
        <x:v>46154</x:v>
      </x:c>
      <x:c r="D1061" s="17" t="n">
        <x:v>61</x:v>
      </x:c>
      <x:c r="E1061" s="17" t="n">
        <x:v>70</x:v>
      </x:c>
      <x:c r="F1061" s="18" t="n">
        <x:v>898.59</x:v>
      </x:c>
    </x:row>
    <x:row r="1062">
      <x:c r="A1062" s="14" t="str">
        <x:v>站点</x:v>
      </x:c>
      <x:c r="B1062" s="15" t="str">
        <x:v>泰国</x:v>
      </x:c>
      <x:c r="C1062" s="16" t="n">
        <x:v>46155</x:v>
      </x:c>
      <x:c r="D1062" s="17" t="n">
        <x:v>57</x:v>
      </x:c>
      <x:c r="E1062" s="17" t="n">
        <x:v>64</x:v>
      </x:c>
      <x:c r="F1062" s="18" t="n">
        <x:v>766.94</x:v>
      </x:c>
    </x:row>
    <x:row r="1063">
      <x:c r="A1063" s="14" t="str">
        <x:v>站点</x:v>
      </x:c>
      <x:c r="B1063" s="15" t="str">
        <x:v>泰国</x:v>
      </x:c>
      <x:c r="C1063" s="16" t="n">
        <x:v>46156</x:v>
      </x:c>
      <x:c r="D1063" s="17" t="n">
        <x:v>59</x:v>
      </x:c>
      <x:c r="E1063" s="17" t="n">
        <x:v>69</x:v>
      </x:c>
      <x:c r="F1063" s="18" t="n">
        <x:v>793.09</x:v>
      </x:c>
    </x:row>
    <x:row r="1064">
      <x:c r="A1064" s="14" t="str">
        <x:v>站点</x:v>
      </x:c>
      <x:c r="B1064" s="15" t="str">
        <x:v>泰国</x:v>
      </x:c>
      <x:c r="C1064" s="16" t="n">
        <x:v>46157</x:v>
      </x:c>
      <x:c r="D1064" s="17" t="n">
        <x:v>46</x:v>
      </x:c>
      <x:c r="E1064" s="17" t="n">
        <x:v>50</x:v>
      </x:c>
      <x:c r="F1064" s="18" t="n">
        <x:v>550.36</x:v>
      </x:c>
    </x:row>
    <x:row r="1065">
      <x:c r="A1065" s="14" t="str">
        <x:v>站点</x:v>
      </x:c>
      <x:c r="B1065" s="15" t="str">
        <x:v>泰国</x:v>
      </x:c>
      <x:c r="C1065" s="16" t="n">
        <x:v>46158</x:v>
      </x:c>
      <x:c r="D1065" s="17" t="n">
        <x:v>71</x:v>
      </x:c>
      <x:c r="E1065" s="17" t="n">
        <x:v>76</x:v>
      </x:c>
      <x:c r="F1065" s="18" t="n">
        <x:v>833.49</x:v>
      </x:c>
    </x:row>
    <x:row r="1066">
      <x:c r="A1066" s="14" t="str">
        <x:v>站点</x:v>
      </x:c>
      <x:c r="B1066" s="15" t="str">
        <x:v>泰国</x:v>
      </x:c>
      <x:c r="C1066" s="16" t="n">
        <x:v>46159</x:v>
      </x:c>
      <x:c r="D1066" s="17" t="n">
        <x:v>58</x:v>
      </x:c>
      <x:c r="E1066" s="17" t="n">
        <x:v>67</x:v>
      </x:c>
      <x:c r="F1066" s="18" t="n">
        <x:v>723.5</x:v>
      </x:c>
    </x:row>
    <x:row r="1067">
      <x:c r="A1067" s="14" t="str">
        <x:v>站点</x:v>
      </x:c>
      <x:c r="B1067" s="15" t="str">
        <x:v>泰国</x:v>
      </x:c>
      <x:c r="C1067" s="16" t="n">
        <x:v>46160</x:v>
      </x:c>
      <x:c r="D1067" s="17" t="n">
        <x:v>78</x:v>
      </x:c>
      <x:c r="E1067" s="17" t="n">
        <x:v>92</x:v>
      </x:c>
      <x:c r="F1067" s="18" t="n">
        <x:v>1000.91</x:v>
      </x:c>
    </x:row>
    <x:row r="1068">
      <x:c r="A1068" s="14" t="str">
        <x:v>站点</x:v>
      </x:c>
      <x:c r="B1068" s="15" t="str">
        <x:v>泰国</x:v>
      </x:c>
      <x:c r="C1068" s="16" t="n">
        <x:v>46161</x:v>
      </x:c>
      <x:c r="D1068" s="17" t="n">
        <x:v>56</x:v>
      </x:c>
      <x:c r="E1068" s="17" t="n">
        <x:v>66</x:v>
      </x:c>
      <x:c r="F1068" s="18" t="n">
        <x:v>711.34</x:v>
      </x:c>
    </x:row>
    <x:row r="1069">
      <x:c r="A1069" s="14" t="str">
        <x:v>站点</x:v>
      </x:c>
      <x:c r="B1069" s="15" t="str">
        <x:v>泰国</x:v>
      </x:c>
      <x:c r="C1069" s="16" t="n">
        <x:v>46162</x:v>
      </x:c>
      <x:c r="D1069" s="17" t="n">
        <x:v>41</x:v>
      </x:c>
      <x:c r="E1069" s="17" t="n">
        <x:v>45</x:v>
      </x:c>
      <x:c r="F1069" s="18" t="n">
        <x:v>537.82</x:v>
      </x:c>
    </x:row>
    <x:row r="1070">
      <x:c r="A1070" s="14" t="str">
        <x:v>站点</x:v>
      </x:c>
      <x:c r="B1070" s="15" t="str">
        <x:v>泰国</x:v>
      </x:c>
      <x:c r="C1070" s="16" t="n">
        <x:v>46163</x:v>
      </x:c>
      <x:c r="D1070" s="17" t="n">
        <x:v>49</x:v>
      </x:c>
      <x:c r="E1070" s="17" t="n">
        <x:v>65</x:v>
      </x:c>
      <x:c r="F1070" s="18" t="n">
        <x:v>659.68</x:v>
      </x:c>
    </x:row>
    <x:row r="1071">
      <x:c r="A1071" s="14" t="str">
        <x:v>站点</x:v>
      </x:c>
      <x:c r="B1071" s="15" t="str">
        <x:v>泰国</x:v>
      </x:c>
      <x:c r="C1071" s="16" t="n">
        <x:v>46164</x:v>
      </x:c>
      <x:c r="D1071" s="17" t="n">
        <x:v>49</x:v>
      </x:c>
      <x:c r="E1071" s="17" t="n">
        <x:v>57</x:v>
      </x:c>
      <x:c r="F1071" s="18" t="n">
        <x:v>603.01</x:v>
      </x:c>
    </x:row>
    <x:row r="1072">
      <x:c r="A1072" s="14" t="str">
        <x:v>站点</x:v>
      </x:c>
      <x:c r="B1072" s="15" t="str">
        <x:v>泰国</x:v>
      </x:c>
      <x:c r="C1072" s="16" t="n">
        <x:v>46165</x:v>
      </x:c>
      <x:c r="D1072" s="17" t="n">
        <x:v>76</x:v>
      </x:c>
      <x:c r="E1072" s="17" t="n">
        <x:v>92</x:v>
      </x:c>
      <x:c r="F1072" s="18" t="n">
        <x:v>1065.57</x:v>
      </x:c>
    </x:row>
    <x:row r="1073">
      <x:c r="A1073" s="14" t="str">
        <x:v>站点</x:v>
      </x:c>
      <x:c r="B1073" s="15" t="str">
        <x:v>泰国</x:v>
      </x:c>
      <x:c r="C1073" s="16" t="n">
        <x:v>46166</x:v>
      </x:c>
      <x:c r="D1073" s="17" t="n">
        <x:v>65</x:v>
      </x:c>
      <x:c r="E1073" s="17" t="n">
        <x:v>72</x:v>
      </x:c>
      <x:c r="F1073" s="18" t="n">
        <x:v>826.83</x:v>
      </x:c>
    </x:row>
    <x:row r="1074">
      <x:c r="A1074" s="14" t="str">
        <x:v>站点</x:v>
      </x:c>
      <x:c r="B1074" s="15" t="str">
        <x:v>泰国</x:v>
      </x:c>
      <x:c r="C1074" s="16" t="n">
        <x:v>46167</x:v>
      </x:c>
      <x:c r="D1074" s="17" t="n">
        <x:v>52</x:v>
      </x:c>
      <x:c r="E1074" s="17" t="n">
        <x:v>62</x:v>
      </x:c>
      <x:c r="F1074" s="18" t="n">
        <x:v>657.07</x:v>
      </x:c>
    </x:row>
    <x:row r="1075">
      <x:c r="A1075" s="14" t="str">
        <x:v>站点</x:v>
      </x:c>
      <x:c r="B1075" s="15" t="str">
        <x:v>泰国</x:v>
      </x:c>
      <x:c r="C1075" s="16" t="n">
        <x:v>46168</x:v>
      </x:c>
      <x:c r="D1075" s="17" t="n">
        <x:v>66</x:v>
      </x:c>
      <x:c r="E1075" s="17" t="n">
        <x:v>81</x:v>
      </x:c>
      <x:c r="F1075" s="18" t="n">
        <x:v>942.39</x:v>
      </x:c>
    </x:row>
    <x:row r="1076">
      <x:c r="A1076" s="14" t="str">
        <x:v>站点</x:v>
      </x:c>
      <x:c r="B1076" s="15" t="str">
        <x:v>泰国</x:v>
      </x:c>
      <x:c r="C1076" s="16" t="n">
        <x:v>46169</x:v>
      </x:c>
      <x:c r="D1076" s="17" t="n">
        <x:v>62</x:v>
      </x:c>
      <x:c r="E1076" s="17" t="n">
        <x:v>77</x:v>
      </x:c>
      <x:c r="F1076" s="18" t="n">
        <x:v>886.77</x:v>
      </x:c>
    </x:row>
    <x:row r="1077">
      <x:c r="A1077" s="14" t="str">
        <x:v>站点</x:v>
      </x:c>
      <x:c r="B1077" s="15" t="str">
        <x:v>泰国</x:v>
      </x:c>
      <x:c r="C1077" s="16" t="n">
        <x:v>46170</x:v>
      </x:c>
      <x:c r="D1077" s="17" t="n">
        <x:v>70</x:v>
      </x:c>
      <x:c r="E1077" s="17" t="n">
        <x:v>85</x:v>
      </x:c>
      <x:c r="F1077" s="18" t="n">
        <x:v>876.05</x:v>
      </x:c>
    </x:row>
    <x:row r="1078">
      <x:c r="A1078" s="14" t="str">
        <x:v>站点</x:v>
      </x:c>
      <x:c r="B1078" s="15" t="str">
        <x:v>泰国</x:v>
      </x:c>
      <x:c r="C1078" s="16" t="n">
        <x:v>46171</x:v>
      </x:c>
      <x:c r="D1078" s="17" t="n">
        <x:v>63</x:v>
      </x:c>
      <x:c r="E1078" s="17" t="n">
        <x:v>73</x:v>
      </x:c>
      <x:c r="F1078" s="18" t="n">
        <x:v>802.81</x:v>
      </x:c>
    </x:row>
    <x:row r="1079">
      <x:c r="A1079" s="14" t="str">
        <x:v>站点</x:v>
      </x:c>
      <x:c r="B1079" s="15" t="str">
        <x:v>泰国</x:v>
      </x:c>
      <x:c r="C1079" s="16" t="n">
        <x:v>46172</x:v>
      </x:c>
      <x:c r="D1079" s="17" t="n">
        <x:v>68</x:v>
      </x:c>
      <x:c r="E1079" s="17" t="n">
        <x:v>114</x:v>
      </x:c>
      <x:c r="F1079" s="18" t="n">
        <x:v>1007.48</x:v>
      </x:c>
    </x:row>
    <x:row r="1080">
      <x:c r="A1080" s="14" t="str">
        <x:v>站点</x:v>
      </x:c>
      <x:c r="B1080" s="15" t="str">
        <x:v>泰国</x:v>
      </x:c>
      <x:c r="C1080" s="16" t="n">
        <x:v>46173</x:v>
      </x:c>
      <x:c r="D1080" s="17" t="n">
        <x:v>79</x:v>
      </x:c>
      <x:c r="E1080" s="17" t="n">
        <x:v>157</x:v>
      </x:c>
      <x:c r="F1080" s="18" t="n">
        <x:v>1025.36</x:v>
      </x:c>
    </x:row>
    <x:row r="1081">
      <x:c r="A1081" s="14" t="str">
        <x:v>站点</x:v>
      </x:c>
      <x:c r="B1081" s="15" t="str">
        <x:v>泰国</x:v>
      </x:c>
      <x:c r="C1081" s="16" t="n">
        <x:v>46174</x:v>
      </x:c>
      <x:c r="D1081" s="17" t="n">
        <x:v>89</x:v>
      </x:c>
      <x:c r="E1081" s="17" t="n">
        <x:v>197</x:v>
      </x:c>
      <x:c r="F1081" s="18" t="n">
        <x:v>1426.95</x:v>
      </x:c>
    </x:row>
    <x:row r="1082">
      <x:c r="A1082" s="14" t="str">
        <x:v>站点</x:v>
      </x:c>
      <x:c r="B1082" s="15" t="str">
        <x:v>泰国</x:v>
      </x:c>
      <x:c r="C1082" s="16" t="n">
        <x:v>46175</x:v>
      </x:c>
      <x:c r="D1082" s="17" t="n">
        <x:v>115</x:v>
      </x:c>
      <x:c r="E1082" s="17" t="n">
        <x:v>236</x:v>
      </x:c>
      <x:c r="F1082" s="18" t="n">
        <x:v>1681.44</x:v>
      </x:c>
    </x:row>
    <x:row r="1083">
      <x:c r="A1083" s="14" t="str">
        <x:v>站点</x:v>
      </x:c>
      <x:c r="B1083" s="15" t="str">
        <x:v>泰国</x:v>
      </x:c>
      <x:c r="C1083" s="16" t="n">
        <x:v>46176</x:v>
      </x:c>
      <x:c r="D1083" s="17" t="n">
        <x:v>114</x:v>
      </x:c>
      <x:c r="E1083" s="17" t="n">
        <x:v>245</x:v>
      </x:c>
      <x:c r="F1083" s="18" t="n">
        <x:v>1555.7</x:v>
      </x:c>
    </x:row>
    <x:row r="1084">
      <x:c r="A1084" s="14" t="str">
        <x:v>站点</x:v>
      </x:c>
      <x:c r="B1084" s="15" t="str">
        <x:v>泰国</x:v>
      </x:c>
      <x:c r="C1084" s="16" t="n">
        <x:v>46177</x:v>
      </x:c>
      <x:c r="D1084" s="17" t="n">
        <x:v>93</x:v>
      </x:c>
      <x:c r="E1084" s="17" t="n">
        <x:v>193</x:v>
      </x:c>
      <x:c r="F1084" s="18" t="n">
        <x:v>1246.87</x:v>
      </x:c>
    </x:row>
    <x:row r="1085">
      <x:c r="A1085" s="14" t="str">
        <x:v>站点</x:v>
      </x:c>
      <x:c r="B1085" s="15" t="str">
        <x:v>泰国</x:v>
      </x:c>
      <x:c r="C1085" s="16" t="n">
        <x:v>46178</x:v>
      </x:c>
      <x:c r="D1085" s="17" t="n">
        <x:v>110</x:v>
      </x:c>
      <x:c r="E1085" s="17" t="n">
        <x:v>225</x:v>
      </x:c>
      <x:c r="F1085" s="18" t="n">
        <x:v>1508.23</x:v>
      </x:c>
    </x:row>
    <x:row r="1086">
      <x:c r="A1086" s="14" t="str">
        <x:v>站点</x:v>
      </x:c>
      <x:c r="B1086" s="15" t="str">
        <x:v>泰国</x:v>
      </x:c>
      <x:c r="C1086" s="16" t="n">
        <x:v>46179</x:v>
      </x:c>
      <x:c r="D1086" s="17" t="n">
        <x:v>109</x:v>
      </x:c>
      <x:c r="E1086" s="17" t="n">
        <x:v>236</x:v>
      </x:c>
      <x:c r="F1086" s="18" t="n">
        <x:v>1573.31</x:v>
      </x:c>
    </x:row>
    <x:row r="1087">
      <x:c r="A1087" s="14" t="str">
        <x:v>站点</x:v>
      </x:c>
      <x:c r="B1087" s="15" t="str">
        <x:v>泰国</x:v>
      </x:c>
      <x:c r="C1087" s="16" t="n">
        <x:v>46180</x:v>
      </x:c>
      <x:c r="D1087" s="17" t="n">
        <x:v>98</x:v>
      </x:c>
      <x:c r="E1087" s="17" t="n">
        <x:v>193</x:v>
      </x:c>
      <x:c r="F1087" s="18" t="n">
        <x:v>1320.89</x:v>
      </x:c>
    </x:row>
    <x:row r="1088">
      <x:c r="A1088" s="14" t="str">
        <x:v>站点</x:v>
      </x:c>
      <x:c r="B1088" s="15" t="str">
        <x:v>泰国</x:v>
      </x:c>
      <x:c r="C1088" s="16" t="n">
        <x:v>46181</x:v>
      </x:c>
      <x:c r="D1088" s="17" t="n">
        <x:v>94</x:v>
      </x:c>
      <x:c r="E1088" s="17" t="n">
        <x:v>205</x:v>
      </x:c>
      <x:c r="F1088" s="18" t="n">
        <x:v>1703.27</x:v>
      </x:c>
    </x:row>
    <x:row r="1089">
      <x:c r="A1089" s="14" t="str">
        <x:v>站点</x:v>
      </x:c>
      <x:c r="B1089" s="15" t="str">
        <x:v>泰国</x:v>
      </x:c>
      <x:c r="C1089" s="16" t="n">
        <x:v>46182</x:v>
      </x:c>
      <x:c r="D1089" s="17" t="n">
        <x:v>84</x:v>
      </x:c>
      <x:c r="E1089" s="17" t="n">
        <x:v>163</x:v>
      </x:c>
      <x:c r="F1089" s="18" t="n">
        <x:v>1270.32</x:v>
      </x:c>
    </x:row>
    <x:row r="1090">
      <x:c r="A1090" s="14" t="str">
        <x:v>站点</x:v>
      </x:c>
      <x:c r="B1090" s="15" t="str">
        <x:v>泰国</x:v>
      </x:c>
      <x:c r="C1090" s="16" t="n">
        <x:v>46183</x:v>
      </x:c>
      <x:c r="D1090" s="17" t="n">
        <x:v>79</x:v>
      </x:c>
      <x:c r="E1090" s="17" t="n">
        <x:v>155</x:v>
      </x:c>
      <x:c r="F1090" s="18" t="n">
        <x:v>1241.65</x:v>
      </x:c>
    </x:row>
    <x:row r="1091">
      <x:c r="A1091" s="14" t="str">
        <x:v>站点</x:v>
      </x:c>
      <x:c r="B1091" s="15" t="str">
        <x:v>泰国</x:v>
      </x:c>
      <x:c r="C1091" s="16" t="n">
        <x:v>46184</x:v>
      </x:c>
      <x:c r="D1091" s="17" t="n">
        <x:v>86</x:v>
      </x:c>
      <x:c r="E1091" s="17" t="n">
        <x:v>171</x:v>
      </x:c>
      <x:c r="F1091" s="18" t="n">
        <x:v>1245.52</x:v>
      </x:c>
    </x:row>
    <x:row r="1092">
      <x:c r="A1092" s="14" t="str">
        <x:v>站点</x:v>
      </x:c>
      <x:c r="B1092" s="15" t="str">
        <x:v>泰国</x:v>
      </x:c>
      <x:c r="C1092" s="16" t="n">
        <x:v>46185</x:v>
      </x:c>
      <x:c r="D1092" s="17" t="n">
        <x:v>81</x:v>
      </x:c>
      <x:c r="E1092" s="17" t="n">
        <x:v>171</x:v>
      </x:c>
      <x:c r="F1092" s="18" t="n">
        <x:v>1480.91</x:v>
      </x:c>
    </x:row>
    <x:row r="1093">
      <x:c r="A1093" s="14" t="str">
        <x:v>站点</x:v>
      </x:c>
      <x:c r="B1093" s="15" t="str">
        <x:v>泰国</x:v>
      </x:c>
      <x:c r="C1093" s="16" t="n">
        <x:v>46186</x:v>
      </x:c>
      <x:c r="D1093" s="17" t="n">
        <x:v>67</x:v>
      </x:c>
      <x:c r="E1093" s="17" t="n">
        <x:v>146</x:v>
      </x:c>
      <x:c r="F1093" s="18" t="n">
        <x:v>1112.11</x:v>
      </x:c>
    </x:row>
    <x:row r="1094">
      <x:c r="A1094" s="14" t="str">
        <x:v>站点</x:v>
      </x:c>
      <x:c r="B1094" s="15" t="str">
        <x:v>泰国</x:v>
      </x:c>
      <x:c r="C1094" s="16" t="n">
        <x:v>46187</x:v>
      </x:c>
      <x:c r="D1094" s="17" t="n">
        <x:v>94</x:v>
      </x:c>
      <x:c r="E1094" s="17" t="n">
        <x:v>188</x:v>
      </x:c>
      <x:c r="F1094" s="18" t="n">
        <x:v>1390.88</x:v>
      </x:c>
    </x:row>
    <x:row r="1095">
      <x:c r="A1095" s="14" t="str">
        <x:v>站点</x:v>
      </x:c>
      <x:c r="B1095" s="15" t="str">
        <x:v>泰国</x:v>
      </x:c>
      <x:c r="C1095" s="16" t="n">
        <x:v>46188</x:v>
      </x:c>
      <x:c r="D1095" s="17" t="n">
        <x:v>70</x:v>
      </x:c>
      <x:c r="E1095" s="17" t="n">
        <x:v>141</x:v>
      </x:c>
      <x:c r="F1095" s="18" t="n">
        <x:v>945.45</x:v>
      </x:c>
    </x:row>
    <x:row r="1096">
      <x:c r="A1096" s="14" t="str">
        <x:v>站点</x:v>
      </x:c>
      <x:c r="B1096" s="15" t="str">
        <x:v>泰国</x:v>
      </x:c>
      <x:c r="C1096" s="16" t="n">
        <x:v>46189</x:v>
      </x:c>
      <x:c r="D1096" s="17" t="n">
        <x:v>79</x:v>
      </x:c>
      <x:c r="E1096" s="17" t="n">
        <x:v>146</x:v>
      </x:c>
      <x:c r="F1096" s="18" t="n">
        <x:v>1117.15</x:v>
      </x:c>
    </x:row>
    <x:row r="1097">
      <x:c r="A1097" s="14" t="str">
        <x:v>站点</x:v>
      </x:c>
      <x:c r="B1097" s="15" t="str">
        <x:v>泰国</x:v>
      </x:c>
      <x:c r="C1097" s="16" t="n">
        <x:v>46190</x:v>
      </x:c>
      <x:c r="D1097" s="17" t="n">
        <x:v>80</x:v>
      </x:c>
      <x:c r="E1097" s="17" t="n">
        <x:v>155</x:v>
      </x:c>
      <x:c r="F1097" s="18" t="n">
        <x:v>1037.82</x:v>
      </x:c>
    </x:row>
    <x:row r="1098">
      <x:c r="A1098" s="14" t="str">
        <x:v>站点</x:v>
      </x:c>
      <x:c r="B1098" s="15" t="str">
        <x:v>泰国</x:v>
      </x:c>
      <x:c r="C1098" s="16" t="n">
        <x:v>46191</x:v>
      </x:c>
      <x:c r="D1098" s="17" t="n">
        <x:v>56</x:v>
      </x:c>
      <x:c r="E1098" s="17" t="n">
        <x:v>109</x:v>
      </x:c>
      <x:c r="F1098" s="18" t="n">
        <x:v>864.14</x:v>
      </x:c>
    </x:row>
    <x:row r="1099">
      <x:c r="A1099" s="14" t="str">
        <x:v>站点</x:v>
      </x:c>
      <x:c r="B1099" s="15" t="str">
        <x:v>泰国</x:v>
      </x:c>
      <x:c r="C1099" s="16" t="n">
        <x:v>46192</x:v>
      </x:c>
      <x:c r="D1099" s="17" t="n">
        <x:v>74</x:v>
      </x:c>
      <x:c r="E1099" s="17" t="n">
        <x:v>135</x:v>
      </x:c>
      <x:c r="F1099" s="18" t="n">
        <x:v>1041.81</x:v>
      </x:c>
    </x:row>
    <x:row r="1100">
      <x:c r="A1100" s="14" t="str">
        <x:v>站点</x:v>
      </x:c>
      <x:c r="B1100" s="15" t="str">
        <x:v>泰国</x:v>
      </x:c>
      <x:c r="C1100" s="16" t="n">
        <x:v>46193</x:v>
      </x:c>
      <x:c r="D1100" s="17" t="n">
        <x:v>76</x:v>
      </x:c>
      <x:c r="E1100" s="17" t="n">
        <x:v>150</x:v>
      </x:c>
      <x:c r="F1100" s="18" t="n">
        <x:v>967.27</x:v>
      </x:c>
    </x:row>
    <x:row r="1101">
      <x:c r="A1101" s="14" t="str">
        <x:v>站点</x:v>
      </x:c>
      <x:c r="B1101" s="15" t="str">
        <x:v>泰国</x:v>
      </x:c>
      <x:c r="C1101" s="16" t="n">
        <x:v>46194</x:v>
      </x:c>
      <x:c r="D1101" s="17" t="n">
        <x:v>84</x:v>
      </x:c>
      <x:c r="E1101" s="17" t="n">
        <x:v>163</x:v>
      </x:c>
      <x:c r="F1101" s="18" t="n">
        <x:v>1140.2</x:v>
      </x:c>
    </x:row>
    <x:row r="1102">
      <x:c r="A1102" s="14" t="str">
        <x:v>站点</x:v>
      </x:c>
      <x:c r="B1102" s="15" t="str">
        <x:v>泰国</x:v>
      </x:c>
      <x:c r="C1102" s="16" t="n">
        <x:v>46195</x:v>
      </x:c>
      <x:c r="D1102" s="17" t="n">
        <x:v>71</x:v>
      </x:c>
      <x:c r="E1102" s="17" t="n">
        <x:v>147</x:v>
      </x:c>
      <x:c r="F1102" s="18" t="n">
        <x:v>1161.06</x:v>
      </x:c>
    </x:row>
    <x:row r="1103">
      <x:c r="A1103" s="14" t="str">
        <x:v>站点</x:v>
      </x:c>
      <x:c r="B1103" s="15" t="str">
        <x:v>泰国</x:v>
      </x:c>
      <x:c r="C1103" s="16" t="n">
        <x:v>46196</x:v>
      </x:c>
      <x:c r="D1103" s="17" t="n">
        <x:v>83</x:v>
      </x:c>
      <x:c r="E1103" s="17" t="n">
        <x:v>181</x:v>
      </x:c>
      <x:c r="F1103" s="18" t="n">
        <x:v>1447.41</x:v>
      </x:c>
    </x:row>
    <x:row r="1104">
      <x:c r="A1104" s="14" t="str">
        <x:v>站点</x:v>
      </x:c>
      <x:c r="B1104" s="15" t="str">
        <x:v>泰国</x:v>
      </x:c>
      <x:c r="C1104" s="16" t="n">
        <x:v>46197</x:v>
      </x:c>
      <x:c r="D1104" s="17" t="n">
        <x:v>77</x:v>
      </x:c>
      <x:c r="E1104" s="17" t="n">
        <x:v>153</x:v>
      </x:c>
      <x:c r="F1104" s="18" t="n">
        <x:v>1117.26</x:v>
      </x:c>
    </x:row>
    <x:row r="1105">
      <x:c r="A1105" s="14" t="str">
        <x:v>站点</x:v>
      </x:c>
      <x:c r="B1105" s="15" t="str">
        <x:v>泰国</x:v>
      </x:c>
      <x:c r="C1105" s="16" t="n">
        <x:v>46198</x:v>
      </x:c>
      <x:c r="D1105" s="17" t="n">
        <x:v>46</x:v>
      </x:c>
      <x:c r="E1105" s="17" t="n">
        <x:v>89</x:v>
      </x:c>
      <x:c r="F1105" s="18" t="n">
        <x:v>653.12</x:v>
      </x:c>
    </x:row>
    <x:row r="1106">
      <x:c r="A1106" s="14" t="str">
        <x:v>站点</x:v>
      </x:c>
      <x:c r="B1106" s="15" t="str">
        <x:v>泰国</x:v>
      </x:c>
      <x:c r="C1106" s="16" t="n">
        <x:v>46199</x:v>
      </x:c>
      <x:c r="D1106" s="17" t="n">
        <x:v>91</x:v>
      </x:c>
      <x:c r="E1106" s="17" t="n">
        <x:v>175</x:v>
      </x:c>
      <x:c r="F1106" s="18" t="n">
        <x:v>1328.22</x:v>
      </x:c>
    </x:row>
    <x:row r="1107">
      <x:c r="A1107" s="14" t="str">
        <x:v>站点</x:v>
      </x:c>
      <x:c r="B1107" s="15" t="str">
        <x:v>泰国</x:v>
      </x:c>
      <x:c r="C1107" s="16" t="n">
        <x:v>46200</x:v>
      </x:c>
      <x:c r="D1107" s="17" t="n">
        <x:v>49</x:v>
      </x:c>
      <x:c r="E1107" s="17" t="n">
        <x:v>94</x:v>
      </x:c>
      <x:c r="F1107" s="18" t="n">
        <x:v>701.58</x:v>
      </x:c>
    </x:row>
    <x:row r="1108">
      <x:c r="A1108" s="14" t="str">
        <x:v>站点</x:v>
      </x:c>
      <x:c r="B1108" s="15" t="str">
        <x:v>泰国</x:v>
      </x:c>
      <x:c r="C1108" s="16" t="n">
        <x:v>46201</x:v>
      </x:c>
      <x:c r="D1108" s="17" t="n">
        <x:v>71</x:v>
      </x:c>
      <x:c r="E1108" s="17" t="n">
        <x:v>136</x:v>
      </x:c>
      <x:c r="F1108" s="18" t="n">
        <x:v>1083.15</x:v>
      </x:c>
    </x:row>
    <x:row r="1109">
      <x:c r="A1109" s="14" t="str">
        <x:v>站点</x:v>
      </x:c>
      <x:c r="B1109" s="15" t="str">
        <x:v>泰国</x:v>
      </x:c>
      <x:c r="C1109" s="16" t="n">
        <x:v>46202</x:v>
      </x:c>
      <x:c r="D1109" s="17" t="n">
        <x:v>60</x:v>
      </x:c>
      <x:c r="E1109" s="17" t="n">
        <x:v>125</x:v>
      </x:c>
      <x:c r="F1109" s="18" t="n">
        <x:v>868.74</x:v>
      </x:c>
    </x:row>
    <x:row r="1110">
      <x:c r="A1110" s="14" t="str">
        <x:v>站点</x:v>
      </x:c>
      <x:c r="B1110" s="15" t="str">
        <x:v>泰国</x:v>
      </x:c>
      <x:c r="C1110" s="16" t="n">
        <x:v>46203</x:v>
      </x:c>
      <x:c r="D1110" s="17" t="n">
        <x:v>80</x:v>
      </x:c>
      <x:c r="E1110" s="17" t="n">
        <x:v>176</x:v>
      </x:c>
      <x:c r="F1110" s="18" t="n">
        <x:v>1242.26</x:v>
      </x:c>
    </x:row>
    <x:row r="1111">
      <x:c r="A1111" s="14" t="str">
        <x:v>站点</x:v>
      </x:c>
      <x:c r="B1111" s="15" t="str">
        <x:v>泰国</x:v>
      </x:c>
      <x:c r="C1111" s="16" t="n">
        <x:v>46204</x:v>
      </x:c>
      <x:c r="D1111" s="17" t="n">
        <x:v>102</x:v>
      </x:c>
      <x:c r="E1111" s="17" t="n">
        <x:v>199</x:v>
      </x:c>
      <x:c r="F1111" s="18" t="n">
        <x:v>1523.81</x:v>
      </x:c>
    </x:row>
    <x:row r="1112">
      <x:c r="A1112" s="14" t="str">
        <x:v>站点</x:v>
      </x:c>
      <x:c r="B1112" s="15" t="str">
        <x:v>泰国</x:v>
      </x:c>
      <x:c r="C1112" s="16" t="n">
        <x:v>46205</x:v>
      </x:c>
      <x:c r="D1112" s="17" t="n">
        <x:v>93</x:v>
      </x:c>
      <x:c r="E1112" s="17" t="n">
        <x:v>184</x:v>
      </x:c>
      <x:c r="F1112" s="18" t="n">
        <x:v>1262.68</x:v>
      </x:c>
    </x:row>
    <x:row r="1113">
      <x:c r="A1113" s="14" t="str">
        <x:v>站点</x:v>
      </x:c>
      <x:c r="B1113" s="15" t="str">
        <x:v>泰国</x:v>
      </x:c>
      <x:c r="C1113" s="16" t="n">
        <x:v>46206</x:v>
      </x:c>
      <x:c r="D1113" s="17" t="n">
        <x:v>72</x:v>
      </x:c>
      <x:c r="E1113" s="17" t="n">
        <x:v>153</x:v>
      </x:c>
      <x:c r="F1113" s="18" t="n">
        <x:v>1034</x:v>
      </x:c>
    </x:row>
    <x:row r="1114">
      <x:c r="A1114" s="14" t="str">
        <x:v>站点</x:v>
      </x:c>
      <x:c r="B1114" s="15" t="str">
        <x:v>泰国</x:v>
      </x:c>
      <x:c r="C1114" s="16" t="n">
        <x:v>46207</x:v>
      </x:c>
      <x:c r="D1114" s="17" t="n">
        <x:v>66</x:v>
      </x:c>
      <x:c r="E1114" s="17" t="n">
        <x:v>135</x:v>
      </x:c>
      <x:c r="F1114" s="18" t="n">
        <x:v>999.82</x:v>
      </x:c>
    </x:row>
    <x:row r="1115">
      <x:c r="A1115" s="14" t="str">
        <x:v>站点</x:v>
      </x:c>
      <x:c r="B1115" s="15" t="str">
        <x:v>泰国</x:v>
      </x:c>
      <x:c r="C1115" s="16" t="n">
        <x:v>46208</x:v>
      </x:c>
      <x:c r="D1115" s="17" t="n">
        <x:v>83</x:v>
      </x:c>
      <x:c r="E1115" s="17" t="n">
        <x:v>162</x:v>
      </x:c>
      <x:c r="F1115" s="18" t="n">
        <x:v>1204.08</x:v>
      </x:c>
    </x:row>
    <x:row r="1116">
      <x:c r="A1116" s="14" t="str">
        <x:v>站点</x:v>
      </x:c>
      <x:c r="B1116" s="15" t="str">
        <x:v>泰国</x:v>
      </x:c>
      <x:c r="C1116" s="16" t="n">
        <x:v>46209</x:v>
      </x:c>
      <x:c r="D1116" s="17" t="n">
        <x:v>86</x:v>
      </x:c>
      <x:c r="E1116" s="17" t="n">
        <x:v>169</x:v>
      </x:c>
      <x:c r="F1116" s="18" t="n">
        <x:v>1219.97</x:v>
      </x:c>
    </x:row>
    <x:row r="1117">
      <x:c r="A1117" s="14" t="str">
        <x:v>站点</x:v>
      </x:c>
      <x:c r="B1117" s="15" t="str">
        <x:v>泰国</x:v>
      </x:c>
      <x:c r="C1117" s="16" t="n">
        <x:v>46210</x:v>
      </x:c>
      <x:c r="D1117" s="17" t="n">
        <x:v>88</x:v>
      </x:c>
      <x:c r="E1117" s="17" t="n">
        <x:v>187</x:v>
      </x:c>
      <x:c r="F1117" s="18" t="n">
        <x:v>1512.74</x:v>
      </x:c>
    </x:row>
    <x:row r="1118">
      <x:c r="A1118" s="14" t="str">
        <x:v>站点</x:v>
      </x:c>
      <x:c r="B1118" s="15" t="str">
        <x:v>泰国</x:v>
      </x:c>
      <x:c r="C1118" s="16" t="n">
        <x:v>46211</x:v>
      </x:c>
      <x:c r="D1118" s="17" t="n">
        <x:v>79</x:v>
      </x:c>
      <x:c r="E1118" s="17" t="n">
        <x:v>159</x:v>
      </x:c>
      <x:c r="F1118" s="18" t="n">
        <x:v>1193.9</x:v>
      </x:c>
    </x:row>
    <x:row r="1119">
      <x:c r="A1119" s="14" t="str">
        <x:v>站点</x:v>
      </x:c>
      <x:c r="B1119" s="15" t="str">
        <x:v>泰国</x:v>
      </x:c>
      <x:c r="C1119" s="16" t="n">
        <x:v>46212</x:v>
      </x:c>
      <x:c r="D1119" s="17" t="n">
        <x:v>74</x:v>
      </x:c>
      <x:c r="E1119" s="17" t="n">
        <x:v>151</x:v>
      </x:c>
      <x:c r="F1119" s="18" t="n">
        <x:v>1041.67</x:v>
      </x:c>
    </x:row>
    <x:row r="1120">
      <x:c r="A1120" s="14" t="str">
        <x:v>站点</x:v>
      </x:c>
      <x:c r="B1120" s="15" t="str">
        <x:v>泰国</x:v>
      </x:c>
      <x:c r="C1120" s="16" t="n">
        <x:v>46213</x:v>
      </x:c>
      <x:c r="D1120" s="17" t="n">
        <x:v>61</x:v>
      </x:c>
      <x:c r="E1120" s="17" t="n">
        <x:v>125</x:v>
      </x:c>
      <x:c r="F1120" s="18" t="n">
        <x:v>882.53</x:v>
      </x:c>
    </x:row>
    <x:row r="1121">
      <x:c r="A1121" s="14" t="str">
        <x:v>站点</x:v>
      </x:c>
      <x:c r="B1121" s="15" t="str">
        <x:v>泰国</x:v>
      </x:c>
      <x:c r="C1121" s="16" t="n">
        <x:v>46214</x:v>
      </x:c>
      <x:c r="D1121" s="17" t="n">
        <x:v>67</x:v>
      </x:c>
      <x:c r="E1121" s="17" t="n">
        <x:v>140</x:v>
      </x:c>
      <x:c r="F1121" s="18" t="n">
        <x:v>1027.59</x:v>
      </x:c>
    </x:row>
    <x:row r="1122">
      <x:c r="A1122" s="14" t="str">
        <x:v>站点</x:v>
      </x:c>
      <x:c r="B1122" s="15" t="str">
        <x:v>泰国</x:v>
      </x:c>
      <x:c r="C1122" s="16" t="n">
        <x:v>46215</x:v>
      </x:c>
      <x:c r="D1122" s="17" t="n">
        <x:v>75</x:v>
      </x:c>
      <x:c r="E1122" s="17" t="n">
        <x:v>146</x:v>
      </x:c>
      <x:c r="F1122" s="18" t="n">
        <x:v>1001.17</x:v>
      </x:c>
    </x:row>
    <x:row r="1123">
      <x:c r="A1123" s="14" t="str">
        <x:v>站点</x:v>
      </x:c>
      <x:c r="B1123" s="15" t="str">
        <x:v>泰国</x:v>
      </x:c>
      <x:c r="C1123" s="16" t="n">
        <x:v>46216</x:v>
      </x:c>
      <x:c r="D1123" s="17" t="n">
        <x:v>62</x:v>
      </x:c>
      <x:c r="E1123" s="17" t="n">
        <x:v>127</x:v>
      </x:c>
      <x:c r="F1123" s="18" t="n">
        <x:v>887.1</x:v>
      </x:c>
    </x:row>
    <x:row r="1124">
      <x:c r="A1124" s="14" t="str">
        <x:v>站点</x:v>
      </x:c>
      <x:c r="B1124" s="15" t="str">
        <x:v>泰国</x:v>
      </x:c>
      <x:c r="C1124" s="16" t="n">
        <x:v>46217</x:v>
      </x:c>
      <x:c r="D1124" s="17" t="n">
        <x:v>62</x:v>
      </x:c>
      <x:c r="E1124" s="17" t="n">
        <x:v>131</x:v>
      </x:c>
      <x:c r="F1124" s="18" t="n">
        <x:v>926.22</x:v>
      </x:c>
    </x:row>
    <x:row r="1125">
      <x:c r="A1125" s="14" t="str">
        <x:v>站点</x:v>
      </x:c>
      <x:c r="B1125" s="15" t="str">
        <x:v>泰国</x:v>
      </x:c>
      <x:c r="C1125" s="16" t="n">
        <x:v>46218</x:v>
      </x:c>
      <x:c r="D1125" s="17" t="n">
        <x:v>60</x:v>
      </x:c>
      <x:c r="E1125" s="17" t="n">
        <x:v>129</x:v>
      </x:c>
      <x:c r="F1125" s="18" t="n">
        <x:v>929.41</x:v>
      </x:c>
    </x:row>
    <x:row r="1126">
      <x:c r="A1126" s="14" t="str">
        <x:v>站点</x:v>
      </x:c>
      <x:c r="B1126" s="15" t="str">
        <x:v>泰国</x:v>
      </x:c>
      <x:c r="C1126" s="16" t="n">
        <x:v>46219</x:v>
      </x:c>
      <x:c r="D1126" s="17" t="n">
        <x:v>53</x:v>
      </x:c>
      <x:c r="E1126" s="17" t="n">
        <x:v>111</x:v>
      </x:c>
      <x:c r="F1126" s="18" t="n">
        <x:v>847.59</x:v>
      </x:c>
    </x:row>
    <x:row r="1127">
      <x:c r="A1127" s="14" t="str">
        <x:v>站点</x:v>
      </x:c>
      <x:c r="B1127" s="15" t="str">
        <x:v>泰国</x:v>
      </x:c>
      <x:c r="C1127" s="16" t="n">
        <x:v>46220</x:v>
      </x:c>
      <x:c r="D1127" s="17" t="n">
        <x:v>73</x:v>
      </x:c>
      <x:c r="E1127" s="17" t="n">
        <x:v>149</x:v>
      </x:c>
      <x:c r="F1127" s="18" t="n">
        <x:v>1170.02</x:v>
      </x:c>
    </x:row>
    <x:row r="1128">
      <x:c r="A1128" s="14" t="str">
        <x:v>站点</x:v>
      </x:c>
      <x:c r="B1128" s="15" t="str">
        <x:v>泰国</x:v>
      </x:c>
      <x:c r="C1128" s="16" t="n">
        <x:v>46221</x:v>
      </x:c>
      <x:c r="D1128" s="17" t="n">
        <x:v>63</x:v>
      </x:c>
      <x:c r="E1128" s="17" t="n">
        <x:v>127</x:v>
      </x:c>
      <x:c r="F1128" s="18" t="n">
        <x:v>909.86</x:v>
      </x:c>
    </x:row>
    <x:row r="1129">
      <x:c r="A1129" s="14" t="str">
        <x:v>站点</x:v>
      </x:c>
      <x:c r="B1129" s="15" t="str">
        <x:v>泰国</x:v>
      </x:c>
      <x:c r="C1129" s="16" t="n">
        <x:v>46222</x:v>
      </x:c>
      <x:c r="D1129" s="17" t="n">
        <x:v>72</x:v>
      </x:c>
      <x:c r="E1129" s="17" t="n">
        <x:v>144</x:v>
      </x:c>
      <x:c r="F1129" s="18" t="n">
        <x:v>1077.28</x:v>
      </x:c>
    </x:row>
    <x:row r="1130">
      <x:c r="A1130" s="14" t="str">
        <x:v>站点</x:v>
      </x:c>
      <x:c r="B1130" s="15" t="str">
        <x:v>泰国</x:v>
      </x:c>
      <x:c r="C1130" s="16" t="n">
        <x:v>46223</x:v>
      </x:c>
      <x:c r="D1130" s="17" t="n">
        <x:v>75</x:v>
      </x:c>
      <x:c r="E1130" s="17" t="n">
        <x:v>155</x:v>
      </x:c>
      <x:c r="F1130" s="18" t="n">
        <x:v>1029.51</x:v>
      </x:c>
    </x:row>
    <x:row r="1131">
      <x:c r="A1131" s="14" t="str">
        <x:v>站点</x:v>
      </x:c>
      <x:c r="B1131" s="15" t="str">
        <x:v>泰国</x:v>
      </x:c>
      <x:c r="C1131" s="16" t="n">
        <x:v>46224</x:v>
      </x:c>
      <x:c r="D1131" s="17" t="n">
        <x:v>87</x:v>
      </x:c>
      <x:c r="E1131" s="17" t="n">
        <x:v>178</x:v>
      </x:c>
      <x:c r="F1131" s="18" t="n">
        <x:v>1276.29</x:v>
      </x:c>
    </x:row>
    <x:row r="1132">
      <x:c r="A1132" s="14" t="str">
        <x:v>站点</x:v>
      </x:c>
      <x:c r="B1132" s="15" t="str">
        <x:v>泰国</x:v>
      </x:c>
      <x:c r="C1132" s="16" t="n">
        <x:v>46225</x:v>
      </x:c>
      <x:c r="D1132" s="17" t="n">
        <x:v>71</x:v>
      </x:c>
      <x:c r="E1132" s="17" t="n">
        <x:v>143</x:v>
      </x:c>
      <x:c r="F1132" s="18" t="n">
        <x:v>1188</x:v>
      </x:c>
    </x:row>
    <x:row r="1133">
      <x:c r="A1133" s="14" t="str">
        <x:v>站点</x:v>
      </x:c>
      <x:c r="B1133" s="15" t="str">
        <x:v>泰国</x:v>
      </x:c>
      <x:c r="C1133" s="16" t="n">
        <x:v>46226</x:v>
      </x:c>
      <x:c r="D1133" s="17" t="n">
        <x:v>85</x:v>
      </x:c>
      <x:c r="E1133" s="17" t="n">
        <x:v>188</x:v>
      </x:c>
      <x:c r="F1133" s="18" t="n">
        <x:v>1345.73</x:v>
      </x:c>
    </x:row>
    <x:row r="1134">
      <x:c r="A1134" s="14" t="str">
        <x:v>站点</x:v>
      </x:c>
      <x:c r="B1134" s="15" t="str">
        <x:v>泰国</x:v>
      </x:c>
      <x:c r="C1134" s="16" t="n">
        <x:v>46227</x:v>
      </x:c>
      <x:c r="D1134" s="17" t="n">
        <x:v>85</x:v>
      </x:c>
      <x:c r="E1134" s="17" t="n">
        <x:v>170</x:v>
      </x:c>
      <x:c r="F1134" s="18" t="n">
        <x:v>1437.17</x:v>
      </x:c>
    </x:row>
    <x:row r="1135">
      <x:c r="A1135" s="14" t="str">
        <x:v>站点</x:v>
      </x:c>
      <x:c r="B1135" s="15" t="str">
        <x:v>泰国</x:v>
      </x:c>
      <x:c r="C1135" s="16" t="n">
        <x:v>46228</x:v>
      </x:c>
      <x:c r="D1135" s="17" t="n">
        <x:v>34</x:v>
      </x:c>
      <x:c r="E1135" s="17" t="n">
        <x:v>69</x:v>
      </x:c>
      <x:c r="F1135" s="18" t="n">
        <x:v>601.77</x:v>
      </x:c>
    </x:row>
    <x:row r="1136">
      <x:c r="A1136" s="14" t="str">
        <x:v>站点</x:v>
      </x:c>
      <x:c r="B1136" s="15" t="str">
        <x:v>泰国</x:v>
      </x:c>
      <x:c r="C1136" s="16" t="n">
        <x:v>46229</x:v>
      </x:c>
      <x:c r="D1136" s="17" t="n">
        <x:v>87</x:v>
      </x:c>
      <x:c r="E1136" s="17" t="n">
        <x:v>180</x:v>
      </x:c>
      <x:c r="F1136" s="18" t="n">
        <x:v>1192.54</x:v>
      </x:c>
    </x:row>
    <x:row r="1137">
      <x:c r="A1137" s="14" t="str">
        <x:v>站点</x:v>
      </x:c>
      <x:c r="B1137" s="15" t="str">
        <x:v>泰国</x:v>
      </x:c>
      <x:c r="C1137" s="16" t="n">
        <x:v>46230</x:v>
      </x:c>
      <x:c r="D1137" s="17" t="n">
        <x:v>64</x:v>
      </x:c>
      <x:c r="E1137" s="17" t="n">
        <x:v>138</x:v>
      </x:c>
      <x:c r="F1137" s="18" t="n">
        <x:v>887.6</x:v>
      </x:c>
    </x:row>
    <x:row r="1138">
      <x:c r="A1138" s="14" t="str">
        <x:v>站点</x:v>
      </x:c>
      <x:c r="B1138" s="15" t="str">
        <x:v>泰国</x:v>
      </x:c>
      <x:c r="C1138" s="16" t="n">
        <x:v>46231</x:v>
      </x:c>
      <x:c r="D1138" s="17" t="n">
        <x:v>63</x:v>
      </x:c>
      <x:c r="E1138" s="17" t="n">
        <x:v>135</x:v>
      </x:c>
      <x:c r="F1138" s="18" t="n">
        <x:v>1169.6</x:v>
      </x:c>
    </x:row>
    <x:row r="1139">
      <x:c r="A1139" s="14" t="str">
        <x:v>站点</x:v>
      </x:c>
      <x:c r="B1139" s="15" t="str">
        <x:v>泰国</x:v>
      </x:c>
      <x:c r="C1139" s="16" t="n">
        <x:v>46232</x:v>
      </x:c>
      <x:c r="D1139" s="17" t="n">
        <x:v>64</x:v>
      </x:c>
      <x:c r="E1139" s="17" t="n">
        <x:v>145</x:v>
      </x:c>
      <x:c r="F1139" s="18" t="n">
        <x:v>1233.83</x:v>
      </x:c>
    </x:row>
    <x:row r="1140">
      <x:c r="A1140" s="14" t="str">
        <x:v>站点</x:v>
      </x:c>
      <x:c r="B1140" s="15" t="str">
        <x:v>泰国</x:v>
      </x:c>
      <x:c r="C1140" s="16" t="n">
        <x:v>46233</x:v>
      </x:c>
      <x:c r="D1140" s="17" t="n">
        <x:v>47</x:v>
      </x:c>
      <x:c r="E1140" s="17" t="n">
        <x:v>101</x:v>
      </x:c>
      <x:c r="F1140" s="18" t="n">
        <x:v>711.96</x:v>
      </x:c>
    </x:row>
    <x:row r="1141">
      <x:c r="A1141" s="14" t="str">
        <x:v>站点</x:v>
      </x:c>
      <x:c r="B1141" s="15" t="str">
        <x:v>泰国</x:v>
      </x:c>
      <x:c r="C1141" s="16" t="n">
        <x:v>46234</x:v>
      </x:c>
      <x:c r="D1141" s="17" t="n">
        <x:v>63</x:v>
      </x:c>
      <x:c r="E1141" s="17" t="n">
        <x:v>136</x:v>
      </x:c>
      <x:c r="F1141" s="18" t="n">
        <x:v>1000.76</x:v>
      </x:c>
    </x:row>
    <x:row r="1142">
      <x:c r="A1142" s="14" t="str">
        <x:v>站点</x:v>
      </x:c>
      <x:c r="B1142" s="15" t="str">
        <x:v>泰国</x:v>
      </x:c>
      <x:c r="C1142" s="16" t="n">
        <x:v>46235</x:v>
      </x:c>
      <x:c r="D1142" s="17" t="n">
        <x:v>55</x:v>
      </x:c>
      <x:c r="E1142" s="17" t="n">
        <x:v>112</x:v>
      </x:c>
      <x:c r="F1142" s="18" t="n">
        <x:v>1192.88</x:v>
      </x:c>
    </x:row>
    <x:row r="1143">
      <x:c r="A1143" s="14" t="str">
        <x:v>站点</x:v>
      </x:c>
      <x:c r="B1143" s="15" t="str">
        <x:v>泰国</x:v>
      </x:c>
      <x:c r="C1143" s="16" t="n">
        <x:v>46236</x:v>
      </x:c>
      <x:c r="D1143" s="17" t="n">
        <x:v>40</x:v>
      </x:c>
      <x:c r="E1143" s="17" t="n">
        <x:v>71</x:v>
      </x:c>
      <x:c r="F1143" s="18" t="n">
        <x:v>610.02</x:v>
      </x:c>
    </x:row>
    <x:row r="1144">
      <x:c r="A1144" s="14" t="str">
        <x:v>站点</x:v>
      </x:c>
      <x:c r="B1144" s="15" t="str">
        <x:v>泰国</x:v>
      </x:c>
      <x:c r="C1144" s="16" t="n">
        <x:v>46237</x:v>
      </x:c>
      <x:c r="D1144" s="17" t="n">
        <x:v>10</x:v>
      </x:c>
      <x:c r="E1144" s="17" t="n">
        <x:v>21</x:v>
      </x:c>
      <x:c r="F1144" s="18" t="n">
        <x:v>199.45</x:v>
      </x:c>
    </x:row>
    <x:row r="1145">
      <x:c r="A1145" s="14" t="str">
        <x:v>站点</x:v>
      </x:c>
      <x:c r="B1145" s="15" t="str">
        <x:v>泰国</x:v>
      </x:c>
      <x:c r="C1145" s="16" t="n">
        <x:v>46238</x:v>
      </x:c>
      <x:c r="D1145" s="17" t="n">
        <x:v>76</x:v>
      </x:c>
      <x:c r="E1145" s="17" t="n">
        <x:v>246</x:v>
      </x:c>
      <x:c r="F1145" s="18" t="n">
        <x:v>2557.93</x:v>
      </x:c>
    </x:row>
    <x:row r="1146">
      <x:c r="A1146" s="14" t="str">
        <x:v>站点</x:v>
      </x:c>
      <x:c r="B1146" s="15" t="str">
        <x:v>泰国</x:v>
      </x:c>
      <x:c r="C1146" s="16" t="n">
        <x:v>46239</x:v>
      </x:c>
      <x:c r="D1146" s="17" t="n">
        <x:v>44</x:v>
      </x:c>
      <x:c r="E1146" s="17" t="n">
        <x:v>83</x:v>
      </x:c>
      <x:c r="F1146" s="18" t="n">
        <x:v>886.32</x:v>
      </x:c>
    </x:row>
    <x:row r="1147">
      <x:c r="A1147" s="14" t="str">
        <x:v>站点</x:v>
      </x:c>
      <x:c r="B1147" s="15" t="str">
        <x:v>泰国</x:v>
      </x:c>
      <x:c r="C1147" s="16" t="n">
        <x:v>46240</x:v>
      </x:c>
      <x:c r="D1147" s="17" t="n">
        <x:v>45</x:v>
      </x:c>
      <x:c r="E1147" s="17" t="n">
        <x:v>94</x:v>
      </x:c>
      <x:c r="F1147" s="18" t="n">
        <x:v>874.56</x:v>
      </x:c>
    </x:row>
    <x:row r="1148">
      <x:c r="A1148" s="14" t="str">
        <x:v>站点</x:v>
      </x:c>
      <x:c r="B1148" s="15" t="str">
        <x:v>泰国</x:v>
      </x:c>
      <x:c r="C1148" s="16" t="n">
        <x:v>46241</x:v>
      </x:c>
      <x:c r="D1148" s="17" t="n">
        <x:v>32</x:v>
      </x:c>
      <x:c r="E1148" s="17" t="n">
        <x:v>63</x:v>
      </x:c>
      <x:c r="F1148" s="18" t="n">
        <x:v>605.99</x:v>
      </x:c>
    </x:row>
    <x:row r="1149">
      <x:c r="A1149" s="14" t="str">
        <x:v>站点</x:v>
      </x:c>
      <x:c r="B1149" s="15" t="str">
        <x:v>泰国</x:v>
      </x:c>
      <x:c r="C1149" s="16" t="n">
        <x:v>46242</x:v>
      </x:c>
      <x:c r="D1149" s="17" t="n">
        <x:v>38</x:v>
      </x:c>
      <x:c r="E1149" s="17" t="n">
        <x:v>65</x:v>
      </x:c>
      <x:c r="F1149" s="18" t="n">
        <x:v>656.93</x:v>
      </x:c>
    </x:row>
    <x:row r="1150">
      <x:c r="A1150" s="14" t="str">
        <x:v>站点</x:v>
      </x:c>
      <x:c r="B1150" s="15" t="str">
        <x:v>泰国</x:v>
      </x:c>
      <x:c r="C1150" s="16" t="n">
        <x:v>46243</x:v>
      </x:c>
      <x:c r="D1150" s="17" t="n">
        <x:v>30</x:v>
      </x:c>
      <x:c r="E1150" s="17" t="n">
        <x:v>54</x:v>
      </x:c>
      <x:c r="F1150" s="18" t="n">
        <x:v>658.08</x:v>
      </x:c>
    </x:row>
    <x:row r="1151">
      <x:c r="A1151" s="14" t="str">
        <x:v>站点</x:v>
      </x:c>
      <x:c r="B1151" s="15" t="str">
        <x:v>泰国</x:v>
      </x:c>
      <x:c r="C1151" s="16" t="n">
        <x:v>46244</x:v>
      </x:c>
      <x:c r="D1151" s="17" t="n">
        <x:v>348</x:v>
      </x:c>
      <x:c r="E1151" s="17" t="n">
        <x:v>461</x:v>
      </x:c>
      <x:c r="F1151" s="18" t="n">
        <x:v>5310.69</x:v>
      </x:c>
    </x:row>
    <x:row r="1152">
      <x:c r="A1152" s="14" t="str">
        <x:v>站点</x:v>
      </x:c>
      <x:c r="B1152" s="15" t="str">
        <x:v>泰国</x:v>
      </x:c>
      <x:c r="C1152" s="16" t="n">
        <x:v>46245</x:v>
      </x:c>
      <x:c r="D1152" s="17" t="n">
        <x:v>85</x:v>
      </x:c>
      <x:c r="E1152" s="17" t="n">
        <x:v>164</x:v>
      </x:c>
      <x:c r="F1152" s="18" t="n">
        <x:v>1401.19</x:v>
      </x:c>
    </x:row>
    <x:row r="1153">
      <x:c r="A1153" s="14" t="str">
        <x:v>站点</x:v>
      </x:c>
      <x:c r="B1153" s="15" t="str">
        <x:v>泰国</x:v>
      </x:c>
      <x:c r="C1153" s="16" t="n">
        <x:v>46246</x:v>
      </x:c>
      <x:c r="D1153" s="17" t="n">
        <x:v>68</x:v>
      </x:c>
      <x:c r="E1153" s="17" t="n">
        <x:v>122</x:v>
      </x:c>
      <x:c r="F1153" s="18" t="n">
        <x:v>1066.25</x:v>
      </x:c>
    </x:row>
    <x:row r="1154">
      <x:c r="A1154" s="14" t="str">
        <x:v>站点</x:v>
      </x:c>
      <x:c r="B1154" s="15" t="str">
        <x:v>泰国</x:v>
      </x:c>
      <x:c r="C1154" s="16" t="n">
        <x:v>46247</x:v>
      </x:c>
      <x:c r="D1154" s="17" t="n">
        <x:v>96</x:v>
      </x:c>
      <x:c r="E1154" s="17" t="n">
        <x:v>180</x:v>
      </x:c>
      <x:c r="F1154" s="18" t="n">
        <x:v>1510.21</x:v>
      </x:c>
    </x:row>
    <x:row r="1155">
      <x:c r="A1155" s="14" t="str">
        <x:v>站点</x:v>
      </x:c>
      <x:c r="B1155" s="15" t="str">
        <x:v>泰国</x:v>
      </x:c>
      <x:c r="C1155" s="16" t="n">
        <x:v>46248</x:v>
      </x:c>
      <x:c r="D1155" s="17" t="n">
        <x:v>104</x:v>
      </x:c>
      <x:c r="E1155" s="17" t="n">
        <x:v>191</x:v>
      </x:c>
      <x:c r="F1155" s="18" t="n">
        <x:v>1551.47</x:v>
      </x:c>
    </x:row>
    <x:row r="1156">
      <x:c r="A1156" s="14" t="str">
        <x:v>站点</x:v>
      </x:c>
      <x:c r="B1156" s="15" t="str">
        <x:v>泰国</x:v>
      </x:c>
      <x:c r="C1156" s="16" t="n">
        <x:v>46249</x:v>
      </x:c>
      <x:c r="D1156" s="17" t="n">
        <x:v>73</x:v>
      </x:c>
      <x:c r="E1156" s="17" t="n">
        <x:v>144</x:v>
      </x:c>
      <x:c r="F1156" s="18" t="n">
        <x:v>1254.29</x:v>
      </x:c>
    </x:row>
    <x:row r="1157">
      <x:c r="A1157" s="14" t="str">
        <x:v>站点</x:v>
      </x:c>
      <x:c r="B1157" s="15" t="str">
        <x:v>泰国</x:v>
      </x:c>
      <x:c r="C1157" s="16" t="n">
        <x:v>46250</x:v>
      </x:c>
      <x:c r="D1157" s="17" t="n">
        <x:v>105</x:v>
      </x:c>
      <x:c r="E1157" s="17" t="n">
        <x:v>204</x:v>
      </x:c>
      <x:c r="F1157" s="18" t="n">
        <x:v>1509.64</x:v>
      </x:c>
    </x:row>
    <x:row r="1158">
      <x:c r="A1158" s="14" t="str">
        <x:v>站点</x:v>
      </x:c>
      <x:c r="B1158" s="15" t="str">
        <x:v>泰国</x:v>
      </x:c>
      <x:c r="C1158" s="16" t="n">
        <x:v>46251</x:v>
      </x:c>
      <x:c r="D1158" s="17" t="n">
        <x:v>123</x:v>
      </x:c>
      <x:c r="E1158" s="17" t="n">
        <x:v>233</x:v>
      </x:c>
      <x:c r="F1158" s="18" t="n">
        <x:v>1983.45</x:v>
      </x:c>
    </x:row>
    <x:row r="1159">
      <x:c r="A1159" s="14" t="str">
        <x:v>站点</x:v>
      </x:c>
      <x:c r="B1159" s="15" t="str">
        <x:v>泰国</x:v>
      </x:c>
      <x:c r="C1159" s="16" t="n">
        <x:v>46252</x:v>
      </x:c>
      <x:c r="D1159" s="17" t="n">
        <x:v>86</x:v>
      </x:c>
      <x:c r="E1159" s="17" t="n">
        <x:v>176</x:v>
      </x:c>
      <x:c r="F1159" s="18" t="n">
        <x:v>1396.18</x:v>
      </x:c>
    </x:row>
    <x:row r="1160">
      <x:c r="A1160" s="14" t="str">
        <x:v>站点</x:v>
      </x:c>
      <x:c r="B1160" s="15" t="str">
        <x:v>泰国</x:v>
      </x:c>
      <x:c r="C1160" s="16" t="n">
        <x:v>46253</x:v>
      </x:c>
      <x:c r="D1160" s="17" t="n">
        <x:v>96</x:v>
      </x:c>
      <x:c r="E1160" s="17" t="n">
        <x:v>192</x:v>
      </x:c>
      <x:c r="F1160" s="18" t="n">
        <x:v>1482.83</x:v>
      </x:c>
    </x:row>
    <x:row r="1161">
      <x:c r="A1161" s="14" t="str">
        <x:v>站点</x:v>
      </x:c>
      <x:c r="B1161" s="15" t="str">
        <x:v>泰国</x:v>
      </x:c>
      <x:c r="C1161" s="16" t="n">
        <x:v>46254</x:v>
      </x:c>
      <x:c r="D1161" s="17" t="n">
        <x:v>74</x:v>
      </x:c>
      <x:c r="E1161" s="17" t="n">
        <x:v>118</x:v>
      </x:c>
      <x:c r="F1161" s="18" t="n">
        <x:v>1190.1</x:v>
      </x:c>
    </x:row>
    <x:row r="1162">
      <x:c r="A1162" s="14" t="str">
        <x:v>站点</x:v>
      </x:c>
      <x:c r="B1162" s="15" t="str">
        <x:v>墨西哥</x:v>
      </x:c>
      <x:c r="C1162" s="16" t="n">
        <x:v>46023</x:v>
      </x:c>
      <x:c r="D1162" s="17" t="n">
        <x:v>55</x:v>
      </x:c>
      <x:c r="E1162" s="17" t="n">
        <x:v>65</x:v>
      </x:c>
      <x:c r="F1162" s="18" t="n">
        <x:v>3989.03</x:v>
      </x:c>
    </x:row>
    <x:row r="1163">
      <x:c r="A1163" s="14" t="str">
        <x:v>站点</x:v>
      </x:c>
      <x:c r="B1163" s="15" t="str">
        <x:v>墨西哥</x:v>
      </x:c>
      <x:c r="C1163" s="16" t="n">
        <x:v>46024</x:v>
      </x:c>
      <x:c r="D1163" s="17" t="n">
        <x:v>15</x:v>
      </x:c>
      <x:c r="E1163" s="17" t="n">
        <x:v>23</x:v>
      </x:c>
      <x:c r="F1163" s="18" t="n">
        <x:v>1773.14</x:v>
      </x:c>
    </x:row>
    <x:row r="1164">
      <x:c r="A1164" s="14" t="str">
        <x:v>站点</x:v>
      </x:c>
      <x:c r="B1164" s="15" t="str">
        <x:v>墨西哥</x:v>
      </x:c>
      <x:c r="C1164" s="16" t="n">
        <x:v>46025</x:v>
      </x:c>
      <x:c r="D1164" s="17" t="n">
        <x:v>159</x:v>
      </x:c>
      <x:c r="E1164" s="17" t="n">
        <x:v>188</x:v>
      </x:c>
      <x:c r="F1164" s="18" t="n">
        <x:v>15913.25</x:v>
      </x:c>
    </x:row>
    <x:row r="1165">
      <x:c r="A1165" s="14" t="str">
        <x:v>站点</x:v>
      </x:c>
      <x:c r="B1165" s="15" t="str">
        <x:v>墨西哥</x:v>
      </x:c>
      <x:c r="C1165" s="16" t="n">
        <x:v>46026</x:v>
      </x:c>
      <x:c r="D1165" s="17" t="n">
        <x:v>93</x:v>
      </x:c>
      <x:c r="E1165" s="17" t="n">
        <x:v>109</x:v>
      </x:c>
      <x:c r="F1165" s="18" t="n">
        <x:v>9461.49</x:v>
      </x:c>
    </x:row>
    <x:row r="1166">
      <x:c r="A1166" s="14" t="str">
        <x:v>站点</x:v>
      </x:c>
      <x:c r="B1166" s="15" t="str">
        <x:v>墨西哥</x:v>
      </x:c>
      <x:c r="C1166" s="16" t="n">
        <x:v>46027</x:v>
      </x:c>
      <x:c r="D1166" s="17" t="n">
        <x:v>80</x:v>
      </x:c>
      <x:c r="E1166" s="17" t="n">
        <x:v>100</x:v>
      </x:c>
      <x:c r="F1166" s="18" t="n">
        <x:v>7298.63</x:v>
      </x:c>
    </x:row>
    <x:row r="1167">
      <x:c r="A1167" s="14" t="str">
        <x:v>站点</x:v>
      </x:c>
      <x:c r="B1167" s="15" t="str">
        <x:v>墨西哥</x:v>
      </x:c>
      <x:c r="C1167" s="16" t="n">
        <x:v>46028</x:v>
      </x:c>
      <x:c r="D1167" s="17" t="n">
        <x:v>173</x:v>
      </x:c>
      <x:c r="E1167" s="17" t="n">
        <x:v>229</x:v>
      </x:c>
      <x:c r="F1167" s="18" t="n">
        <x:v>16609.87</x:v>
      </x:c>
    </x:row>
    <x:row r="1168">
      <x:c r="A1168" s="14" t="str">
        <x:v>站点</x:v>
      </x:c>
      <x:c r="B1168" s="15" t="str">
        <x:v>墨西哥</x:v>
      </x:c>
      <x:c r="C1168" s="16" t="n">
        <x:v>46029</x:v>
      </x:c>
      <x:c r="D1168" s="17" t="n">
        <x:v>140</x:v>
      </x:c>
      <x:c r="E1168" s="17" t="n">
        <x:v>158</x:v>
      </x:c>
      <x:c r="F1168" s="18" t="n">
        <x:v>13838.12</x:v>
      </x:c>
    </x:row>
    <x:row r="1169">
      <x:c r="A1169" s="14" t="str">
        <x:v>站点</x:v>
      </x:c>
      <x:c r="B1169" s="15" t="str">
        <x:v>墨西哥</x:v>
      </x:c>
      <x:c r="C1169" s="16" t="n">
        <x:v>46030</x:v>
      </x:c>
      <x:c r="D1169" s="17" t="n">
        <x:v>94</x:v>
      </x:c>
      <x:c r="E1169" s="17" t="n">
        <x:v>102</x:v>
      </x:c>
      <x:c r="F1169" s="18" t="n">
        <x:v>6589.5</x:v>
      </x:c>
    </x:row>
    <x:row r="1170">
      <x:c r="A1170" s="14" t="str">
        <x:v>站点</x:v>
      </x:c>
      <x:c r="B1170" s="15" t="str">
        <x:v>墨西哥</x:v>
      </x:c>
      <x:c r="C1170" s="16" t="n">
        <x:v>46031</x:v>
      </x:c>
      <x:c r="D1170" s="17" t="n">
        <x:v>99</x:v>
      </x:c>
      <x:c r="E1170" s="17" t="n">
        <x:v>113</x:v>
      </x:c>
      <x:c r="F1170" s="18" t="n">
        <x:v>9015.49</x:v>
      </x:c>
    </x:row>
    <x:row r="1171">
      <x:c r="A1171" s="14" t="str">
        <x:v>站点</x:v>
      </x:c>
      <x:c r="B1171" s="15" t="str">
        <x:v>墨西哥</x:v>
      </x:c>
      <x:c r="C1171" s="16" t="n">
        <x:v>46032</x:v>
      </x:c>
      <x:c r="D1171" s="17" t="n">
        <x:v>102</x:v>
      </x:c>
      <x:c r="E1171" s="17" t="n">
        <x:v>130</x:v>
      </x:c>
      <x:c r="F1171" s="18" t="n">
        <x:v>10466.34</x:v>
      </x:c>
    </x:row>
    <x:row r="1172">
      <x:c r="A1172" s="14" t="str">
        <x:v>站点</x:v>
      </x:c>
      <x:c r="B1172" s="15" t="str">
        <x:v>墨西哥</x:v>
      </x:c>
      <x:c r="C1172" s="16" t="n">
        <x:v>46033</x:v>
      </x:c>
      <x:c r="D1172" s="17" t="n">
        <x:v>72</x:v>
      </x:c>
      <x:c r="E1172" s="17" t="n">
        <x:v>84</x:v>
      </x:c>
      <x:c r="F1172" s="18" t="n">
        <x:v>7449.34</x:v>
      </x:c>
    </x:row>
    <x:row r="1173">
      <x:c r="A1173" s="14" t="str">
        <x:v>站点</x:v>
      </x:c>
      <x:c r="B1173" s="15" t="str">
        <x:v>墨西哥</x:v>
      </x:c>
      <x:c r="C1173" s="16" t="n">
        <x:v>46034</x:v>
      </x:c>
      <x:c r="D1173" s="17" t="n">
        <x:v>52</x:v>
      </x:c>
      <x:c r="E1173" s="17" t="n">
        <x:v>59</x:v>
      </x:c>
      <x:c r="F1173" s="18" t="n">
        <x:v>4953.27</x:v>
      </x:c>
    </x:row>
    <x:row r="1174">
      <x:c r="A1174" s="14" t="str">
        <x:v>站点</x:v>
      </x:c>
      <x:c r="B1174" s="15" t="str">
        <x:v>墨西哥</x:v>
      </x:c>
      <x:c r="C1174" s="16" t="n">
        <x:v>46035</x:v>
      </x:c>
      <x:c r="D1174" s="17" t="n">
        <x:v>118</x:v>
      </x:c>
      <x:c r="E1174" s="17" t="n">
        <x:v>142</x:v>
      </x:c>
      <x:c r="F1174" s="18" t="n">
        <x:v>12290.9</x:v>
      </x:c>
    </x:row>
    <x:row r="1175">
      <x:c r="A1175" s="14" t="str">
        <x:v>站点</x:v>
      </x:c>
      <x:c r="B1175" s="15" t="str">
        <x:v>墨西哥</x:v>
      </x:c>
      <x:c r="C1175" s="16" t="n">
        <x:v>46036</x:v>
      </x:c>
      <x:c r="D1175" s="17" t="n">
        <x:v>92</x:v>
      </x:c>
      <x:c r="E1175" s="17" t="n">
        <x:v>109</x:v>
      </x:c>
      <x:c r="F1175" s="18" t="n">
        <x:v>8895.52</x:v>
      </x:c>
    </x:row>
    <x:row r="1176">
      <x:c r="A1176" s="14" t="str">
        <x:v>站点</x:v>
      </x:c>
      <x:c r="B1176" s="15" t="str">
        <x:v>墨西哥</x:v>
      </x:c>
      <x:c r="C1176" s="16" t="n">
        <x:v>46037</x:v>
      </x:c>
      <x:c r="D1176" s="17" t="n">
        <x:v>88</x:v>
      </x:c>
      <x:c r="E1176" s="17" t="n">
        <x:v>101</x:v>
      </x:c>
      <x:c r="F1176" s="18" t="n">
        <x:v>8613.49</x:v>
      </x:c>
    </x:row>
    <x:row r="1177">
      <x:c r="A1177" s="14" t="str">
        <x:v>站点</x:v>
      </x:c>
      <x:c r="B1177" s="15" t="str">
        <x:v>墨西哥</x:v>
      </x:c>
      <x:c r="C1177" s="16" t="n">
        <x:v>46038</x:v>
      </x:c>
      <x:c r="D1177" s="17" t="n">
        <x:v>0</x:v>
      </x:c>
      <x:c r="E1177" s="17" t="n">
        <x:v>0</x:v>
      </x:c>
      <x:c r="F1177" s="18" t="n">
        <x:v>0</x:v>
      </x:c>
    </x:row>
    <x:row r="1178">
      <x:c r="A1178" s="14" t="str">
        <x:v>站点</x:v>
      </x:c>
      <x:c r="B1178" s="15" t="str">
        <x:v>墨西哥</x:v>
      </x:c>
      <x:c r="C1178" s="16" t="n">
        <x:v>46039</x:v>
      </x:c>
      <x:c r="D1178" s="17" t="n">
        <x:v>0</x:v>
      </x:c>
      <x:c r="E1178" s="17" t="n">
        <x:v>0</x:v>
      </x:c>
      <x:c r="F1178" s="18" t="n">
        <x:v>0</x:v>
      </x:c>
    </x:row>
    <x:row r="1179">
      <x:c r="A1179" s="14" t="str">
        <x:v>站点</x:v>
      </x:c>
      <x:c r="B1179" s="15" t="str">
        <x:v>墨西哥</x:v>
      </x:c>
      <x:c r="C1179" s="16" t="n">
        <x:v>46040</x:v>
      </x:c>
      <x:c r="D1179" s="17" t="n">
        <x:v>0</x:v>
      </x:c>
      <x:c r="E1179" s="17" t="n">
        <x:v>0</x:v>
      </x:c>
      <x:c r="F1179" s="18" t="n">
        <x:v>0</x:v>
      </x:c>
    </x:row>
    <x:row r="1180">
      <x:c r="A1180" s="14" t="str">
        <x:v>站点</x:v>
      </x:c>
      <x:c r="B1180" s="15" t="str">
        <x:v>墨西哥</x:v>
      </x:c>
      <x:c r="C1180" s="16" t="n">
        <x:v>46041</x:v>
      </x:c>
      <x:c r="D1180" s="17" t="n">
        <x:v>308</x:v>
      </x:c>
      <x:c r="E1180" s="17" t="n">
        <x:v>438</x:v>
      </x:c>
      <x:c r="F1180" s="18" t="n">
        <x:v>34792.09</x:v>
      </x:c>
    </x:row>
    <x:row r="1181">
      <x:c r="A1181" s="14" t="str">
        <x:v>站点</x:v>
      </x:c>
      <x:c r="B1181" s="15" t="str">
        <x:v>墨西哥</x:v>
      </x:c>
      <x:c r="C1181" s="16" t="n">
        <x:v>46042</x:v>
      </x:c>
      <x:c r="D1181" s="17" t="n">
        <x:v>92</x:v>
      </x:c>
      <x:c r="E1181" s="17" t="n">
        <x:v>131</x:v>
      </x:c>
      <x:c r="F1181" s="18" t="n">
        <x:v>10034.39</x:v>
      </x:c>
    </x:row>
    <x:row r="1182">
      <x:c r="A1182" s="14" t="str">
        <x:v>站点</x:v>
      </x:c>
      <x:c r="B1182" s="15" t="str">
        <x:v>墨西哥</x:v>
      </x:c>
      <x:c r="C1182" s="16" t="n">
        <x:v>46043</x:v>
      </x:c>
      <x:c r="D1182" s="17" t="n">
        <x:v>51</x:v>
      </x:c>
      <x:c r="E1182" s="17" t="n">
        <x:v>73</x:v>
      </x:c>
      <x:c r="F1182" s="18" t="n">
        <x:v>5722.04</x:v>
      </x:c>
    </x:row>
    <x:row r="1183">
      <x:c r="A1183" s="14" t="str">
        <x:v>站点</x:v>
      </x:c>
      <x:c r="B1183" s="15" t="str">
        <x:v>墨西哥</x:v>
      </x:c>
      <x:c r="C1183" s="16" t="n">
        <x:v>46044</x:v>
      </x:c>
      <x:c r="D1183" s="17" t="n">
        <x:v>45</x:v>
      </x:c>
      <x:c r="E1183" s="17" t="n">
        <x:v>75</x:v>
      </x:c>
      <x:c r="F1183" s="18" t="n">
        <x:v>5758.65</x:v>
      </x:c>
    </x:row>
    <x:row r="1184">
      <x:c r="A1184" s="14" t="str">
        <x:v>站点</x:v>
      </x:c>
      <x:c r="B1184" s="15" t="str">
        <x:v>墨西哥</x:v>
      </x:c>
      <x:c r="C1184" s="16" t="n">
        <x:v>46045</x:v>
      </x:c>
      <x:c r="D1184" s="17" t="n">
        <x:v>53</x:v>
      </x:c>
      <x:c r="E1184" s="17" t="n">
        <x:v>59</x:v>
      </x:c>
      <x:c r="F1184" s="18" t="n">
        <x:v>4708.6</x:v>
      </x:c>
    </x:row>
    <x:row r="1185">
      <x:c r="A1185" s="14" t="str">
        <x:v>站点</x:v>
      </x:c>
      <x:c r="B1185" s="15" t="str">
        <x:v>墨西哥</x:v>
      </x:c>
      <x:c r="C1185" s="16" t="n">
        <x:v>46046</x:v>
      </x:c>
      <x:c r="D1185" s="17" t="n">
        <x:v>67</x:v>
      </x:c>
      <x:c r="E1185" s="17" t="n">
        <x:v>98</x:v>
      </x:c>
      <x:c r="F1185" s="18" t="n">
        <x:v>6743.39</x:v>
      </x:c>
    </x:row>
    <x:row r="1186">
      <x:c r="A1186" s="14" t="str">
        <x:v>站点</x:v>
      </x:c>
      <x:c r="B1186" s="15" t="str">
        <x:v>墨西哥</x:v>
      </x:c>
      <x:c r="C1186" s="16" t="n">
        <x:v>46047</x:v>
      </x:c>
      <x:c r="D1186" s="17" t="n">
        <x:v>38</x:v>
      </x:c>
      <x:c r="E1186" s="17" t="n">
        <x:v>45</x:v>
      </x:c>
      <x:c r="F1186" s="18" t="n">
        <x:v>3372.29</x:v>
      </x:c>
    </x:row>
    <x:row r="1187">
      <x:c r="A1187" s="14" t="str">
        <x:v>站点</x:v>
      </x:c>
      <x:c r="B1187" s="15" t="str">
        <x:v>墨西哥</x:v>
      </x:c>
      <x:c r="C1187" s="16" t="n">
        <x:v>46048</x:v>
      </x:c>
      <x:c r="D1187" s="17" t="n">
        <x:v>39</x:v>
      </x:c>
      <x:c r="E1187" s="17" t="n">
        <x:v>46</x:v>
      </x:c>
      <x:c r="F1187" s="18" t="n">
        <x:v>2393</x:v>
      </x:c>
    </x:row>
    <x:row r="1188">
      <x:c r="A1188" s="14" t="str">
        <x:v>站点</x:v>
      </x:c>
      <x:c r="B1188" s="15" t="str">
        <x:v>墨西哥</x:v>
      </x:c>
      <x:c r="C1188" s="16" t="n">
        <x:v>46049</x:v>
      </x:c>
      <x:c r="D1188" s="17" t="n">
        <x:v>50</x:v>
      </x:c>
      <x:c r="E1188" s="17" t="n">
        <x:v>72</x:v>
      </x:c>
      <x:c r="F1188" s="18" t="n">
        <x:v>3302.49</x:v>
      </x:c>
    </x:row>
    <x:row r="1189">
      <x:c r="A1189" s="14" t="str">
        <x:v>站点</x:v>
      </x:c>
      <x:c r="B1189" s="15" t="str">
        <x:v>墨西哥</x:v>
      </x:c>
      <x:c r="C1189" s="16" t="n">
        <x:v>46050</x:v>
      </x:c>
      <x:c r="D1189" s="17" t="n">
        <x:v>43</x:v>
      </x:c>
      <x:c r="E1189" s="17" t="n">
        <x:v>57</x:v>
      </x:c>
      <x:c r="F1189" s="18" t="n">
        <x:v>1808.95</x:v>
      </x:c>
    </x:row>
    <x:row r="1190">
      <x:c r="A1190" s="14" t="str">
        <x:v>站点</x:v>
      </x:c>
      <x:c r="B1190" s="15" t="str">
        <x:v>墨西哥</x:v>
      </x:c>
      <x:c r="C1190" s="16" t="n">
        <x:v>46051</x:v>
      </x:c>
      <x:c r="D1190" s="17" t="n">
        <x:v>44</x:v>
      </x:c>
      <x:c r="E1190" s="17" t="n">
        <x:v>64</x:v>
      </x:c>
      <x:c r="F1190" s="18" t="n">
        <x:v>1952.56</x:v>
      </x:c>
    </x:row>
    <x:row r="1191">
      <x:c r="A1191" s="14" t="str">
        <x:v>站点</x:v>
      </x:c>
      <x:c r="B1191" s="15" t="str">
        <x:v>墨西哥</x:v>
      </x:c>
      <x:c r="C1191" s="16" t="n">
        <x:v>46052</x:v>
      </x:c>
      <x:c r="D1191" s="17" t="n">
        <x:v>54</x:v>
      </x:c>
      <x:c r="E1191" s="17" t="n">
        <x:v>68</x:v>
      </x:c>
      <x:c r="F1191" s="18" t="n">
        <x:v>2138.92</x:v>
      </x:c>
    </x:row>
    <x:row r="1192">
      <x:c r="A1192" s="14" t="str">
        <x:v>站点</x:v>
      </x:c>
      <x:c r="B1192" s="15" t="str">
        <x:v>墨西哥</x:v>
      </x:c>
      <x:c r="C1192" s="16" t="n">
        <x:v>46053</x:v>
      </x:c>
      <x:c r="D1192" s="17" t="n">
        <x:v>49</x:v>
      </x:c>
      <x:c r="E1192" s="17" t="n">
        <x:v>66</x:v>
      </x:c>
      <x:c r="F1192" s="18" t="n">
        <x:v>13747.88</x:v>
      </x:c>
    </x:row>
    <x:row r="1193">
      <x:c r="A1193" s="14" t="str">
        <x:v>站点</x:v>
      </x:c>
      <x:c r="B1193" s="15" t="str">
        <x:v>墨西哥</x:v>
      </x:c>
      <x:c r="C1193" s="16" t="n">
        <x:v>46054</x:v>
      </x:c>
      <x:c r="D1193" s="17" t="n">
        <x:v>25</x:v>
      </x:c>
      <x:c r="E1193" s="17" t="n">
        <x:v>36</x:v>
      </x:c>
      <x:c r="F1193" s="18" t="n">
        <x:v>911.82</x:v>
      </x:c>
    </x:row>
    <x:row r="1194">
      <x:c r="A1194" s="14" t="str">
        <x:v>站点</x:v>
      </x:c>
      <x:c r="B1194" s="15" t="str">
        <x:v>墨西哥</x:v>
      </x:c>
      <x:c r="C1194" s="16" t="n">
        <x:v>46055</x:v>
      </x:c>
      <x:c r="D1194" s="17" t="n">
        <x:v>16</x:v>
      </x:c>
      <x:c r="E1194" s="17" t="n">
        <x:v>18</x:v>
      </x:c>
      <x:c r="F1194" s="18" t="n">
        <x:v>418.06</x:v>
      </x:c>
    </x:row>
    <x:row r="1195">
      <x:c r="A1195" s="14" t="str">
        <x:v>站点</x:v>
      </x:c>
      <x:c r="B1195" s="15" t="str">
        <x:v>墨西哥</x:v>
      </x:c>
      <x:c r="C1195" s="16" t="n">
        <x:v>46056</x:v>
      </x:c>
      <x:c r="D1195" s="17" t="n">
        <x:v>8</x:v>
      </x:c>
      <x:c r="E1195" s="17" t="n">
        <x:v>11</x:v>
      </x:c>
      <x:c r="F1195" s="18" t="n">
        <x:v>278.27</x:v>
      </x:c>
    </x:row>
    <x:row r="1196">
      <x:c r="A1196" s="14" t="str">
        <x:v>站点</x:v>
      </x:c>
      <x:c r="B1196" s="15" t="str">
        <x:v>墨西哥</x:v>
      </x:c>
      <x:c r="C1196" s="16" t="n">
        <x:v>46057</x:v>
      </x:c>
      <x:c r="D1196" s="17" t="n">
        <x:v>57</x:v>
      </x:c>
      <x:c r="E1196" s="17" t="n">
        <x:v>76</x:v>
      </x:c>
      <x:c r="F1196" s="18" t="n">
        <x:v>1944.73</x:v>
      </x:c>
    </x:row>
    <x:row r="1197">
      <x:c r="A1197" s="14" t="str">
        <x:v>站点</x:v>
      </x:c>
      <x:c r="B1197" s="15" t="str">
        <x:v>墨西哥</x:v>
      </x:c>
      <x:c r="C1197" s="16" t="n">
        <x:v>46058</x:v>
      </x:c>
      <x:c r="D1197" s="17" t="n">
        <x:v>30</x:v>
      </x:c>
      <x:c r="E1197" s="17" t="n">
        <x:v>39</x:v>
      </x:c>
      <x:c r="F1197" s="18" t="n">
        <x:v>1031.22</x:v>
      </x:c>
    </x:row>
    <x:row r="1198">
      <x:c r="A1198" s="14" t="str">
        <x:v>站点</x:v>
      </x:c>
      <x:c r="B1198" s="15" t="str">
        <x:v>墨西哥</x:v>
      </x:c>
      <x:c r="C1198" s="16" t="n">
        <x:v>46059</x:v>
      </x:c>
      <x:c r="D1198" s="17" t="n">
        <x:v>26</x:v>
      </x:c>
      <x:c r="E1198" s="17" t="n">
        <x:v>32</x:v>
      </x:c>
      <x:c r="F1198" s="18" t="n">
        <x:v>872.01</x:v>
      </x:c>
    </x:row>
    <x:row r="1199">
      <x:c r="A1199" s="14" t="str">
        <x:v>站点</x:v>
      </x:c>
      <x:c r="B1199" s="15" t="str">
        <x:v>墨西哥</x:v>
      </x:c>
      <x:c r="C1199" s="16" t="n">
        <x:v>46060</x:v>
      </x:c>
      <x:c r="D1199" s="17" t="n">
        <x:v>37</x:v>
      </x:c>
      <x:c r="E1199" s="17" t="n">
        <x:v>48</x:v>
      </x:c>
      <x:c r="F1199" s="18" t="n">
        <x:v>1239.81</x:v>
      </x:c>
    </x:row>
    <x:row r="1200">
      <x:c r="A1200" s="14" t="str">
        <x:v>站点</x:v>
      </x:c>
      <x:c r="B1200" s="15" t="str">
        <x:v>墨西哥</x:v>
      </x:c>
      <x:c r="C1200" s="16" t="n">
        <x:v>46061</x:v>
      </x:c>
      <x:c r="D1200" s="17" t="n">
        <x:v>22</x:v>
      </x:c>
      <x:c r="E1200" s="17" t="n">
        <x:v>34</x:v>
      </x:c>
      <x:c r="F1200" s="18" t="n">
        <x:v>971.09</x:v>
      </x:c>
    </x:row>
    <x:row r="1201">
      <x:c r="A1201" s="14" t="str">
        <x:v>站点</x:v>
      </x:c>
      <x:c r="B1201" s="15" t="str">
        <x:v>墨西哥</x:v>
      </x:c>
      <x:c r="C1201" s="16" t="n">
        <x:v>46062</x:v>
      </x:c>
      <x:c r="D1201" s="17" t="n">
        <x:v>10</x:v>
      </x:c>
      <x:c r="E1201" s="17" t="n">
        <x:v>13</x:v>
      </x:c>
      <x:c r="F1201" s="18" t="n">
        <x:v>358.09</x:v>
      </x:c>
    </x:row>
    <x:row r="1202">
      <x:c r="A1202" s="14" t="str">
        <x:v>站点</x:v>
      </x:c>
      <x:c r="B1202" s="15" t="str">
        <x:v>墨西哥</x:v>
      </x:c>
      <x:c r="C1202" s="16" t="n">
        <x:v>46063</x:v>
      </x:c>
      <x:c r="D1202" s="17" t="n">
        <x:v>33</x:v>
      </x:c>
      <x:c r="E1202" s="17" t="n">
        <x:v>46</x:v>
      </x:c>
      <x:c r="F1202" s="18" t="n">
        <x:v>1057.05</x:v>
      </x:c>
    </x:row>
    <x:row r="1203">
      <x:c r="A1203" s="14" t="str">
        <x:v>站点</x:v>
      </x:c>
      <x:c r="B1203" s="15" t="str">
        <x:v>墨西哥</x:v>
      </x:c>
      <x:c r="C1203" s="16" t="n">
        <x:v>46064</x:v>
      </x:c>
      <x:c r="D1203" s="17" t="n">
        <x:v>32</x:v>
      </x:c>
      <x:c r="E1203" s="17" t="n">
        <x:v>45</x:v>
      </x:c>
      <x:c r="F1203" s="18" t="n">
        <x:v>1124.69</x:v>
      </x:c>
    </x:row>
    <x:row r="1204">
      <x:c r="A1204" s="14" t="str">
        <x:v>站点</x:v>
      </x:c>
      <x:c r="B1204" s="15" t="str">
        <x:v>墨西哥</x:v>
      </x:c>
      <x:c r="C1204" s="16" t="n">
        <x:v>46065</x:v>
      </x:c>
      <x:c r="D1204" s="17" t="n">
        <x:v>20</x:v>
      </x:c>
      <x:c r="E1204" s="17" t="n">
        <x:v>22</x:v>
      </x:c>
      <x:c r="F1204" s="18" t="n">
        <x:v>621.7</x:v>
      </x:c>
    </x:row>
    <x:row r="1205">
      <x:c r="A1205" s="14" t="str">
        <x:v>站点</x:v>
      </x:c>
      <x:c r="B1205" s="15" t="str">
        <x:v>墨西哥</x:v>
      </x:c>
      <x:c r="C1205" s="16" t="n">
        <x:v>46066</x:v>
      </x:c>
      <x:c r="D1205" s="17" t="n">
        <x:v>35</x:v>
      </x:c>
      <x:c r="E1205" s="17" t="n">
        <x:v>43</x:v>
      </x:c>
      <x:c r="F1205" s="18" t="n">
        <x:v>1094.47</x:v>
      </x:c>
    </x:row>
    <x:row r="1206">
      <x:c r="A1206" s="14" t="str">
        <x:v>站点</x:v>
      </x:c>
      <x:c r="B1206" s="15" t="str">
        <x:v>墨西哥</x:v>
      </x:c>
      <x:c r="C1206" s="16" t="n">
        <x:v>46067</x:v>
      </x:c>
      <x:c r="D1206" s="17" t="n">
        <x:v>26</x:v>
      </x:c>
      <x:c r="E1206" s="17" t="n">
        <x:v>33</x:v>
      </x:c>
      <x:c r="F1206" s="18" t="n">
        <x:v>749.34</x:v>
      </x:c>
    </x:row>
    <x:row r="1207">
      <x:c r="A1207" s="14" t="str">
        <x:v>站点</x:v>
      </x:c>
      <x:c r="B1207" s="15" t="str">
        <x:v>墨西哥</x:v>
      </x:c>
      <x:c r="C1207" s="16" t="n">
        <x:v>46068</x:v>
      </x:c>
      <x:c r="D1207" s="17" t="n">
        <x:v>32</x:v>
      </x:c>
      <x:c r="E1207" s="17" t="n">
        <x:v>41</x:v>
      </x:c>
      <x:c r="F1207" s="18" t="n">
        <x:v>1022.01</x:v>
      </x:c>
    </x:row>
    <x:row r="1208">
      <x:c r="A1208" s="14" t="str">
        <x:v>站点</x:v>
      </x:c>
      <x:c r="B1208" s="15" t="str">
        <x:v>墨西哥</x:v>
      </x:c>
      <x:c r="C1208" s="16" t="n">
        <x:v>46069</x:v>
      </x:c>
      <x:c r="D1208" s="17" t="n">
        <x:v>22</x:v>
      </x:c>
      <x:c r="E1208" s="17" t="n">
        <x:v>27</x:v>
      </x:c>
      <x:c r="F1208" s="18" t="n">
        <x:v>694.22</x:v>
      </x:c>
    </x:row>
    <x:row r="1209">
      <x:c r="A1209" s="14" t="str">
        <x:v>站点</x:v>
      </x:c>
      <x:c r="B1209" s="15" t="str">
        <x:v>墨西哥</x:v>
      </x:c>
      <x:c r="C1209" s="16" t="n">
        <x:v>46070</x:v>
      </x:c>
      <x:c r="D1209" s="17" t="n">
        <x:v>47</x:v>
      </x:c>
      <x:c r="E1209" s="17" t="n">
        <x:v>61</x:v>
      </x:c>
      <x:c r="F1209" s="18" t="n">
        <x:v>1733.05</x:v>
      </x:c>
    </x:row>
    <x:row r="1210">
      <x:c r="A1210" s="14" t="str">
        <x:v>站点</x:v>
      </x:c>
      <x:c r="B1210" s="15" t="str">
        <x:v>墨西哥</x:v>
      </x:c>
      <x:c r="C1210" s="16" t="n">
        <x:v>46071</x:v>
      </x:c>
      <x:c r="D1210" s="17" t="n">
        <x:v>22</x:v>
      </x:c>
      <x:c r="E1210" s="17" t="n">
        <x:v>26</x:v>
      </x:c>
      <x:c r="F1210" s="18" t="n">
        <x:v>700.13</x:v>
      </x:c>
    </x:row>
    <x:row r="1211">
      <x:c r="A1211" s="14" t="str">
        <x:v>站点</x:v>
      </x:c>
      <x:c r="B1211" s="15" t="str">
        <x:v>墨西哥</x:v>
      </x:c>
      <x:c r="C1211" s="16" t="n">
        <x:v>46072</x:v>
      </x:c>
      <x:c r="D1211" s="17" t="n">
        <x:v>26</x:v>
      </x:c>
      <x:c r="E1211" s="17" t="n">
        <x:v>38</x:v>
      </x:c>
      <x:c r="F1211" s="18" t="n">
        <x:v>1011.93</x:v>
      </x:c>
    </x:row>
    <x:row r="1212">
      <x:c r="A1212" s="14" t="str">
        <x:v>站点</x:v>
      </x:c>
      <x:c r="B1212" s="15" t="str">
        <x:v>墨西哥</x:v>
      </x:c>
      <x:c r="C1212" s="16" t="n">
        <x:v>46073</x:v>
      </x:c>
      <x:c r="D1212" s="17" t="n">
        <x:v>20</x:v>
      </x:c>
      <x:c r="E1212" s="17" t="n">
        <x:v>27</x:v>
      </x:c>
      <x:c r="F1212" s="18" t="n">
        <x:v>682.2</x:v>
      </x:c>
    </x:row>
    <x:row r="1213">
      <x:c r="A1213" s="14" t="str">
        <x:v>站点</x:v>
      </x:c>
      <x:c r="B1213" s="15" t="str">
        <x:v>墨西哥</x:v>
      </x:c>
      <x:c r="C1213" s="16" t="n">
        <x:v>46074</x:v>
      </x:c>
      <x:c r="D1213" s="17" t="n">
        <x:v>26</x:v>
      </x:c>
      <x:c r="E1213" s="17" t="n">
        <x:v>31</x:v>
      </x:c>
      <x:c r="F1213" s="18" t="n">
        <x:v>761.14</x:v>
      </x:c>
    </x:row>
    <x:row r="1214">
      <x:c r="A1214" s="14" t="str">
        <x:v>站点</x:v>
      </x:c>
      <x:c r="B1214" s="15" t="str">
        <x:v>墨西哥</x:v>
      </x:c>
      <x:c r="C1214" s="16" t="n">
        <x:v>46075</x:v>
      </x:c>
      <x:c r="D1214" s="17" t="n">
        <x:v>23</x:v>
      </x:c>
      <x:c r="E1214" s="17" t="n">
        <x:v>28</x:v>
      </x:c>
      <x:c r="F1214" s="18" t="n">
        <x:v>716.88</x:v>
      </x:c>
    </x:row>
    <x:row r="1215">
      <x:c r="A1215" s="14" t="str">
        <x:v>站点</x:v>
      </x:c>
      <x:c r="B1215" s="15" t="str">
        <x:v>墨西哥</x:v>
      </x:c>
      <x:c r="C1215" s="16" t="n">
        <x:v>46076</x:v>
      </x:c>
      <x:c r="D1215" s="17" t="n">
        <x:v>20</x:v>
      </x:c>
      <x:c r="E1215" s="17" t="n">
        <x:v>23</x:v>
      </x:c>
      <x:c r="F1215" s="18" t="n">
        <x:v>670.57</x:v>
      </x:c>
    </x:row>
    <x:row r="1216">
      <x:c r="A1216" s="14" t="str">
        <x:v>站点</x:v>
      </x:c>
      <x:c r="B1216" s="15" t="str">
        <x:v>墨西哥</x:v>
      </x:c>
      <x:c r="C1216" s="16" t="n">
        <x:v>46077</x:v>
      </x:c>
      <x:c r="D1216" s="17" t="n">
        <x:v>37</x:v>
      </x:c>
      <x:c r="E1216" s="17" t="n">
        <x:v>55</x:v>
      </x:c>
      <x:c r="F1216" s="18" t="n">
        <x:v>1518.23</x:v>
      </x:c>
    </x:row>
    <x:row r="1217">
      <x:c r="A1217" s="14" t="str">
        <x:v>站点</x:v>
      </x:c>
      <x:c r="B1217" s="15" t="str">
        <x:v>墨西哥</x:v>
      </x:c>
      <x:c r="C1217" s="16" t="n">
        <x:v>46078</x:v>
      </x:c>
      <x:c r="D1217" s="17" t="n">
        <x:v>24</x:v>
      </x:c>
      <x:c r="E1217" s="17" t="n">
        <x:v>29</x:v>
      </x:c>
      <x:c r="F1217" s="18" t="n">
        <x:v>947.75</x:v>
      </x:c>
    </x:row>
    <x:row r="1218">
      <x:c r="A1218" s="14" t="str">
        <x:v>站点</x:v>
      </x:c>
      <x:c r="B1218" s="15" t="str">
        <x:v>墨西哥</x:v>
      </x:c>
      <x:c r="C1218" s="16" t="n">
        <x:v>46079</x:v>
      </x:c>
      <x:c r="D1218" s="17" t="n">
        <x:v>31</x:v>
      </x:c>
      <x:c r="E1218" s="17" t="n">
        <x:v>33</x:v>
      </x:c>
      <x:c r="F1218" s="18" t="n">
        <x:v>806.91</x:v>
      </x:c>
    </x:row>
    <x:row r="1219">
      <x:c r="A1219" s="14" t="str">
        <x:v>站点</x:v>
      </x:c>
      <x:c r="B1219" s="15" t="str">
        <x:v>墨西哥</x:v>
      </x:c>
      <x:c r="C1219" s="16" t="n">
        <x:v>46080</x:v>
      </x:c>
      <x:c r="D1219" s="17" t="n">
        <x:v>13</x:v>
      </x:c>
      <x:c r="E1219" s="17" t="n">
        <x:v>16</x:v>
      </x:c>
      <x:c r="F1219" s="18" t="n">
        <x:v>414.14</x:v>
      </x:c>
    </x:row>
    <x:row r="1220">
      <x:c r="A1220" s="14" t="str">
        <x:v>站点</x:v>
      </x:c>
      <x:c r="B1220" s="15" t="str">
        <x:v>墨西哥</x:v>
      </x:c>
      <x:c r="C1220" s="16" t="n">
        <x:v>46081</x:v>
      </x:c>
      <x:c r="D1220" s="17" t="n">
        <x:v>24</x:v>
      </x:c>
      <x:c r="E1220" s="17" t="n">
        <x:v>30</x:v>
      </x:c>
      <x:c r="F1220" s="18" t="n">
        <x:v>-72707.56</x:v>
      </x:c>
    </x:row>
    <x:row r="1221">
      <x:c r="A1221" s="14" t="str">
        <x:v>站点</x:v>
      </x:c>
      <x:c r="B1221" s="15" t="str">
        <x:v>墨西哥</x:v>
      </x:c>
      <x:c r="C1221" s="16" t="n">
        <x:v>46082</x:v>
      </x:c>
      <x:c r="D1221" s="17" t="n">
        <x:v>19</x:v>
      </x:c>
      <x:c r="E1221" s="17" t="n">
        <x:v>21</x:v>
      </x:c>
      <x:c r="F1221" s="18" t="n">
        <x:v>692.43</x:v>
      </x:c>
    </x:row>
    <x:row r="1222">
      <x:c r="A1222" s="14" t="str">
        <x:v>站点</x:v>
      </x:c>
      <x:c r="B1222" s="15" t="str">
        <x:v>墨西哥</x:v>
      </x:c>
      <x:c r="C1222" s="16" t="n">
        <x:v>46083</x:v>
      </x:c>
      <x:c r="D1222" s="17" t="n">
        <x:v>26</x:v>
      </x:c>
      <x:c r="E1222" s="17" t="n">
        <x:v>38</x:v>
      </x:c>
      <x:c r="F1222" s="18" t="n">
        <x:v>1136.11</x:v>
      </x:c>
    </x:row>
    <x:row r="1223">
      <x:c r="A1223" s="14" t="str">
        <x:v>站点</x:v>
      </x:c>
      <x:c r="B1223" s="15" t="str">
        <x:v>墨西哥</x:v>
      </x:c>
      <x:c r="C1223" s="16" t="n">
        <x:v>46084</x:v>
      </x:c>
      <x:c r="D1223" s="17" t="n">
        <x:v>35</x:v>
      </x:c>
      <x:c r="E1223" s="17" t="n">
        <x:v>53</x:v>
      </x:c>
      <x:c r="F1223" s="18" t="n">
        <x:v>1613.94</x:v>
      </x:c>
    </x:row>
    <x:row r="1224">
      <x:c r="A1224" s="14" t="str">
        <x:v>站点</x:v>
      </x:c>
      <x:c r="B1224" s="15" t="str">
        <x:v>墨西哥</x:v>
      </x:c>
      <x:c r="C1224" s="16" t="n">
        <x:v>46085</x:v>
      </x:c>
      <x:c r="D1224" s="17" t="n">
        <x:v>36</x:v>
      </x:c>
      <x:c r="E1224" s="17" t="n">
        <x:v>55</x:v>
      </x:c>
      <x:c r="F1224" s="18" t="n">
        <x:v>1450.47</x:v>
      </x:c>
    </x:row>
    <x:row r="1225">
      <x:c r="A1225" s="14" t="str">
        <x:v>站点</x:v>
      </x:c>
      <x:c r="B1225" s="15" t="str">
        <x:v>墨西哥</x:v>
      </x:c>
      <x:c r="C1225" s="16" t="n">
        <x:v>46086</x:v>
      </x:c>
      <x:c r="D1225" s="17" t="n">
        <x:v>42</x:v>
      </x:c>
      <x:c r="E1225" s="17" t="n">
        <x:v>58</x:v>
      </x:c>
      <x:c r="F1225" s="18" t="n">
        <x:v>1644.29</x:v>
      </x:c>
    </x:row>
    <x:row r="1226">
      <x:c r="A1226" s="14" t="str">
        <x:v>站点</x:v>
      </x:c>
      <x:c r="B1226" s="15" t="str">
        <x:v>墨西哥</x:v>
      </x:c>
      <x:c r="C1226" s="16" t="n">
        <x:v>46087</x:v>
      </x:c>
      <x:c r="D1226" s="17" t="n">
        <x:v>23</x:v>
      </x:c>
      <x:c r="E1226" s="17" t="n">
        <x:v>33</x:v>
      </x:c>
      <x:c r="F1226" s="18" t="n">
        <x:v>1037.09</x:v>
      </x:c>
    </x:row>
    <x:row r="1227">
      <x:c r="A1227" s="14" t="str">
        <x:v>站点</x:v>
      </x:c>
      <x:c r="B1227" s="15" t="str">
        <x:v>墨西哥</x:v>
      </x:c>
      <x:c r="C1227" s="16" t="n">
        <x:v>46088</x:v>
      </x:c>
      <x:c r="D1227" s="17" t="n">
        <x:v>18</x:v>
      </x:c>
      <x:c r="E1227" s="17" t="n">
        <x:v>20</x:v>
      </x:c>
      <x:c r="F1227" s="18" t="n">
        <x:v>600.97</x:v>
      </x:c>
    </x:row>
    <x:row r="1228">
      <x:c r="A1228" s="14" t="str">
        <x:v>站点</x:v>
      </x:c>
      <x:c r="B1228" s="15" t="str">
        <x:v>墨西哥</x:v>
      </x:c>
      <x:c r="C1228" s="16" t="n">
        <x:v>46089</x:v>
      </x:c>
      <x:c r="D1228" s="17" t="n">
        <x:v>21</x:v>
      </x:c>
      <x:c r="E1228" s="17" t="n">
        <x:v>25</x:v>
      </x:c>
      <x:c r="F1228" s="18" t="n">
        <x:v>772.54</x:v>
      </x:c>
    </x:row>
    <x:row r="1229">
      <x:c r="A1229" s="14" t="str">
        <x:v>站点</x:v>
      </x:c>
      <x:c r="B1229" s="15" t="str">
        <x:v>墨西哥</x:v>
      </x:c>
      <x:c r="C1229" s="16" t="n">
        <x:v>46090</x:v>
      </x:c>
      <x:c r="D1229" s="17" t="n">
        <x:v>24</x:v>
      </x:c>
      <x:c r="E1229" s="17" t="n">
        <x:v>25</x:v>
      </x:c>
      <x:c r="F1229" s="18" t="n">
        <x:v>748.02</x:v>
      </x:c>
    </x:row>
    <x:row r="1230">
      <x:c r="A1230" s="14" t="str">
        <x:v>站点</x:v>
      </x:c>
      <x:c r="B1230" s="15" t="str">
        <x:v>墨西哥</x:v>
      </x:c>
      <x:c r="C1230" s="16" t="n">
        <x:v>46091</x:v>
      </x:c>
      <x:c r="D1230" s="17" t="n">
        <x:v>27</x:v>
      </x:c>
      <x:c r="E1230" s="17" t="n">
        <x:v>34</x:v>
      </x:c>
      <x:c r="F1230" s="18" t="n">
        <x:v>1142.69</x:v>
      </x:c>
    </x:row>
    <x:row r="1231">
      <x:c r="A1231" s="14" t="str">
        <x:v>站点</x:v>
      </x:c>
      <x:c r="B1231" s="15" t="str">
        <x:v>墨西哥</x:v>
      </x:c>
      <x:c r="C1231" s="16" t="n">
        <x:v>46092</x:v>
      </x:c>
      <x:c r="D1231" s="17" t="n">
        <x:v>20</x:v>
      </x:c>
      <x:c r="E1231" s="17" t="n">
        <x:v>23</x:v>
      </x:c>
      <x:c r="F1231" s="18" t="n">
        <x:v>700.61</x:v>
      </x:c>
    </x:row>
    <x:row r="1232">
      <x:c r="A1232" s="14" t="str">
        <x:v>站点</x:v>
      </x:c>
      <x:c r="B1232" s="15" t="str">
        <x:v>墨西哥</x:v>
      </x:c>
      <x:c r="C1232" s="16" t="n">
        <x:v>46093</x:v>
      </x:c>
      <x:c r="D1232" s="17" t="n">
        <x:v>7</x:v>
      </x:c>
      <x:c r="E1232" s="17" t="n">
        <x:v>8</x:v>
      </x:c>
      <x:c r="F1232" s="18" t="n">
        <x:v>293.33</x:v>
      </x:c>
    </x:row>
    <x:row r="1233">
      <x:c r="A1233" s="14" t="str">
        <x:v>站点</x:v>
      </x:c>
      <x:c r="B1233" s="15" t="str">
        <x:v>墨西哥</x:v>
      </x:c>
      <x:c r="C1233" s="16" t="n">
        <x:v>46094</x:v>
      </x:c>
      <x:c r="D1233" s="17" t="n">
        <x:v>20</x:v>
      </x:c>
      <x:c r="E1233" s="17" t="n">
        <x:v>22</x:v>
      </x:c>
      <x:c r="F1233" s="18" t="n">
        <x:v>757.51</x:v>
      </x:c>
    </x:row>
    <x:row r="1234">
      <x:c r="A1234" s="14" t="str">
        <x:v>站点</x:v>
      </x:c>
      <x:c r="B1234" s="15" t="str">
        <x:v>墨西哥</x:v>
      </x:c>
      <x:c r="C1234" s="16" t="n">
        <x:v>46095</x:v>
      </x:c>
      <x:c r="D1234" s="17" t="n">
        <x:v>18</x:v>
      </x:c>
      <x:c r="E1234" s="17" t="n">
        <x:v>20</x:v>
      </x:c>
      <x:c r="F1234" s="18" t="n">
        <x:v>735.13</x:v>
      </x:c>
    </x:row>
    <x:row r="1235">
      <x:c r="A1235" s="14" t="str">
        <x:v>站点</x:v>
      </x:c>
      <x:c r="B1235" s="15" t="str">
        <x:v>墨西哥</x:v>
      </x:c>
      <x:c r="C1235" s="16" t="n">
        <x:v>46096</x:v>
      </x:c>
      <x:c r="D1235" s="17" t="n">
        <x:v>10</x:v>
      </x:c>
      <x:c r="E1235" s="17" t="n">
        <x:v>11</x:v>
      </x:c>
      <x:c r="F1235" s="18" t="n">
        <x:v>403.65</x:v>
      </x:c>
    </x:row>
    <x:row r="1236">
      <x:c r="A1236" s="14" t="str">
        <x:v>站点</x:v>
      </x:c>
      <x:c r="B1236" s="15" t="str">
        <x:v>墨西哥</x:v>
      </x:c>
      <x:c r="C1236" s="16" t="n">
        <x:v>46097</x:v>
      </x:c>
      <x:c r="D1236" s="17" t="n">
        <x:v>9</x:v>
      </x:c>
      <x:c r="E1236" s="17" t="n">
        <x:v>14</x:v>
      </x:c>
      <x:c r="F1236" s="18" t="n">
        <x:v>526.98</x:v>
      </x:c>
    </x:row>
    <x:row r="1237">
      <x:c r="A1237" s="14" t="str">
        <x:v>站点</x:v>
      </x:c>
      <x:c r="B1237" s="15" t="str">
        <x:v>墨西哥</x:v>
      </x:c>
      <x:c r="C1237" s="16" t="n">
        <x:v>46098</x:v>
      </x:c>
      <x:c r="D1237" s="17" t="n">
        <x:v>8</x:v>
      </x:c>
      <x:c r="E1237" s="17" t="n">
        <x:v>8</x:v>
      </x:c>
      <x:c r="F1237" s="18" t="n">
        <x:v>308.92</x:v>
      </x:c>
    </x:row>
    <x:row r="1238">
      <x:c r="A1238" s="14" t="str">
        <x:v>站点</x:v>
      </x:c>
      <x:c r="B1238" s="15" t="str">
        <x:v>墨西哥</x:v>
      </x:c>
      <x:c r="C1238" s="16" t="n">
        <x:v>46099</x:v>
      </x:c>
      <x:c r="D1238" s="17" t="n">
        <x:v>23</x:v>
      </x:c>
      <x:c r="E1238" s="17" t="n">
        <x:v>28</x:v>
      </x:c>
      <x:c r="F1238" s="18" t="n">
        <x:v>1140.33</x:v>
      </x:c>
    </x:row>
    <x:row r="1239">
      <x:c r="A1239" s="14" t="str">
        <x:v>站点</x:v>
      </x:c>
      <x:c r="B1239" s="15" t="str">
        <x:v>墨西哥</x:v>
      </x:c>
      <x:c r="C1239" s="16" t="n">
        <x:v>46100</x:v>
      </x:c>
      <x:c r="D1239" s="17" t="n">
        <x:v>15</x:v>
      </x:c>
      <x:c r="E1239" s="17" t="n">
        <x:v>16</x:v>
      </x:c>
      <x:c r="F1239" s="18" t="n">
        <x:v>597.83</x:v>
      </x:c>
    </x:row>
    <x:row r="1240">
      <x:c r="A1240" s="14" t="str">
        <x:v>站点</x:v>
      </x:c>
      <x:c r="B1240" s="15" t="str">
        <x:v>墨西哥</x:v>
      </x:c>
      <x:c r="C1240" s="16" t="n">
        <x:v>46101</x:v>
      </x:c>
      <x:c r="D1240" s="17" t="n">
        <x:v>22</x:v>
      </x:c>
      <x:c r="E1240" s="17" t="n">
        <x:v>26</x:v>
      </x:c>
      <x:c r="F1240" s="18" t="n">
        <x:v>974.59</x:v>
      </x:c>
    </x:row>
    <x:row r="1241">
      <x:c r="A1241" s="14" t="str">
        <x:v>站点</x:v>
      </x:c>
      <x:c r="B1241" s="15" t="str">
        <x:v>墨西哥</x:v>
      </x:c>
      <x:c r="C1241" s="16" t="n">
        <x:v>46102</x:v>
      </x:c>
      <x:c r="D1241" s="17" t="n">
        <x:v>37</x:v>
      </x:c>
      <x:c r="E1241" s="17" t="n">
        <x:v>43</x:v>
      </x:c>
      <x:c r="F1241" s="18" t="n">
        <x:v>1141.44</x:v>
      </x:c>
    </x:row>
    <x:row r="1242">
      <x:c r="A1242" s="14" t="str">
        <x:v>站点</x:v>
      </x:c>
      <x:c r="B1242" s="15" t="str">
        <x:v>墨西哥</x:v>
      </x:c>
      <x:c r="C1242" s="16" t="n">
        <x:v>46103</x:v>
      </x:c>
      <x:c r="D1242" s="17" t="n">
        <x:v>18</x:v>
      </x:c>
      <x:c r="E1242" s="17" t="n">
        <x:v>25</x:v>
      </x:c>
      <x:c r="F1242" s="18" t="n">
        <x:v>832.11</x:v>
      </x:c>
    </x:row>
    <x:row r="1243">
      <x:c r="A1243" s="14" t="str">
        <x:v>站点</x:v>
      </x:c>
      <x:c r="B1243" s="15" t="str">
        <x:v>墨西哥</x:v>
      </x:c>
      <x:c r="C1243" s="16" t="n">
        <x:v>46104</x:v>
      </x:c>
      <x:c r="D1243" s="17" t="n">
        <x:v>23</x:v>
      </x:c>
      <x:c r="E1243" s="17" t="n">
        <x:v>27</x:v>
      </x:c>
      <x:c r="F1243" s="18" t="n">
        <x:v>953.21</x:v>
      </x:c>
    </x:row>
    <x:row r="1244">
      <x:c r="A1244" s="14" t="str">
        <x:v>站点</x:v>
      </x:c>
      <x:c r="B1244" s="15" t="str">
        <x:v>墨西哥</x:v>
      </x:c>
      <x:c r="C1244" s="16" t="n">
        <x:v>46105</x:v>
      </x:c>
      <x:c r="D1244" s="17" t="n">
        <x:v>79</x:v>
      </x:c>
      <x:c r="E1244" s="17" t="n">
        <x:v>85</x:v>
      </x:c>
      <x:c r="F1244" s="18" t="n">
        <x:v>2729.87</x:v>
      </x:c>
    </x:row>
    <x:row r="1245">
      <x:c r="A1245" s="14" t="str">
        <x:v>站点</x:v>
      </x:c>
      <x:c r="B1245" s="15" t="str">
        <x:v>墨西哥</x:v>
      </x:c>
      <x:c r="C1245" s="16" t="n">
        <x:v>46106</x:v>
      </x:c>
      <x:c r="D1245" s="17" t="n">
        <x:v>0</x:v>
      </x:c>
      <x:c r="E1245" s="17" t="n">
        <x:v>0</x:v>
      </x:c>
      <x:c r="F1245" s="18" t="n">
        <x:v>0</x:v>
      </x:c>
    </x:row>
    <x:row r="1246">
      <x:c r="A1246" s="14" t="str">
        <x:v>站点</x:v>
      </x:c>
      <x:c r="B1246" s="15" t="str">
        <x:v>墨西哥</x:v>
      </x:c>
      <x:c r="C1246" s="16" t="n">
        <x:v>46107</x:v>
      </x:c>
      <x:c r="D1246" s="17" t="n">
        <x:v>89</x:v>
      </x:c>
      <x:c r="E1246" s="17" t="n">
        <x:v>104</x:v>
      </x:c>
      <x:c r="F1246" s="18" t="n">
        <x:v>3309.44</x:v>
      </x:c>
    </x:row>
    <x:row r="1247">
      <x:c r="A1247" s="14" t="str">
        <x:v>站点</x:v>
      </x:c>
      <x:c r="B1247" s="15" t="str">
        <x:v>墨西哥</x:v>
      </x:c>
      <x:c r="C1247" s="16" t="n">
        <x:v>46108</x:v>
      </x:c>
      <x:c r="D1247" s="17" t="n">
        <x:v>35</x:v>
      </x:c>
      <x:c r="E1247" s="17" t="n">
        <x:v>37</x:v>
      </x:c>
      <x:c r="F1247" s="18" t="n">
        <x:v>1225.11</x:v>
      </x:c>
    </x:row>
    <x:row r="1248">
      <x:c r="A1248" s="14" t="str">
        <x:v>站点</x:v>
      </x:c>
      <x:c r="B1248" s="15" t="str">
        <x:v>墨西哥</x:v>
      </x:c>
      <x:c r="C1248" s="16" t="n">
        <x:v>46109</x:v>
      </x:c>
      <x:c r="D1248" s="17" t="n">
        <x:v>47</x:v>
      </x:c>
      <x:c r="E1248" s="17" t="n">
        <x:v>51</x:v>
      </x:c>
      <x:c r="F1248" s="18" t="n">
        <x:v>1379.98</x:v>
      </x:c>
    </x:row>
    <x:row r="1249">
      <x:c r="A1249" s="14" t="str">
        <x:v>站点</x:v>
      </x:c>
      <x:c r="B1249" s="15" t="str">
        <x:v>墨西哥</x:v>
      </x:c>
      <x:c r="C1249" s="16" t="n">
        <x:v>46110</x:v>
      </x:c>
      <x:c r="D1249" s="17" t="n">
        <x:v>26</x:v>
      </x:c>
      <x:c r="E1249" s="17" t="n">
        <x:v>29</x:v>
      </x:c>
      <x:c r="F1249" s="18" t="n">
        <x:v>1041.06</x:v>
      </x:c>
    </x:row>
    <x:row r="1250">
      <x:c r="A1250" s="14" t="str">
        <x:v>站点</x:v>
      </x:c>
      <x:c r="B1250" s="15" t="str">
        <x:v>墨西哥</x:v>
      </x:c>
      <x:c r="C1250" s="16" t="n">
        <x:v>46111</x:v>
      </x:c>
      <x:c r="D1250" s="17" t="n">
        <x:v>32</x:v>
      </x:c>
      <x:c r="E1250" s="17" t="n">
        <x:v>34</x:v>
      </x:c>
      <x:c r="F1250" s="18" t="n">
        <x:v>1286.18</x:v>
      </x:c>
    </x:row>
    <x:row r="1251">
      <x:c r="A1251" s="14" t="str">
        <x:v>站点</x:v>
      </x:c>
      <x:c r="B1251" s="15" t="str">
        <x:v>墨西哥</x:v>
      </x:c>
      <x:c r="C1251" s="16" t="n">
        <x:v>46112</x:v>
      </x:c>
      <x:c r="D1251" s="17" t="n">
        <x:v>42</x:v>
      </x:c>
      <x:c r="E1251" s="17" t="n">
        <x:v>50</x:v>
      </x:c>
      <x:c r="F1251" s="18" t="n">
        <x:v>-166.56</x:v>
      </x:c>
    </x:row>
    <x:row r="1252">
      <x:c r="A1252" s="14" t="str">
        <x:v>站点</x:v>
      </x:c>
      <x:c r="B1252" s="15" t="str">
        <x:v>墨西哥</x:v>
      </x:c>
      <x:c r="C1252" s="16" t="n">
        <x:v>46113</x:v>
      </x:c>
      <x:c r="D1252" s="17" t="n">
        <x:v>47</x:v>
      </x:c>
      <x:c r="E1252" s="17" t="n">
        <x:v>54</x:v>
      </x:c>
      <x:c r="F1252" s="18" t="n">
        <x:v>1508.33</x:v>
      </x:c>
    </x:row>
    <x:row r="1253">
      <x:c r="A1253" s="14" t="str">
        <x:v>站点</x:v>
      </x:c>
      <x:c r="B1253" s="15" t="str">
        <x:v>墨西哥</x:v>
      </x:c>
      <x:c r="C1253" s="16" t="n">
        <x:v>46114</x:v>
      </x:c>
      <x:c r="D1253" s="17" t="n">
        <x:v>52</x:v>
      </x:c>
      <x:c r="E1253" s="17" t="n">
        <x:v>63</x:v>
      </x:c>
      <x:c r="F1253" s="18" t="n">
        <x:v>1748.85</x:v>
      </x:c>
    </x:row>
    <x:row r="1254">
      <x:c r="A1254" s="14" t="str">
        <x:v>站点</x:v>
      </x:c>
      <x:c r="B1254" s="15" t="str">
        <x:v>墨西哥</x:v>
      </x:c>
      <x:c r="C1254" s="16" t="n">
        <x:v>46115</x:v>
      </x:c>
      <x:c r="D1254" s="17" t="n">
        <x:v>56</x:v>
      </x:c>
      <x:c r="E1254" s="17" t="n">
        <x:v>60</x:v>
      </x:c>
      <x:c r="F1254" s="18" t="n">
        <x:v>1710.99</x:v>
      </x:c>
    </x:row>
    <x:row r="1255">
      <x:c r="A1255" s="14" t="str">
        <x:v>站点</x:v>
      </x:c>
      <x:c r="B1255" s="15" t="str">
        <x:v>墨西哥</x:v>
      </x:c>
      <x:c r="C1255" s="16" t="n">
        <x:v>46116</x:v>
      </x:c>
      <x:c r="D1255" s="17" t="n">
        <x:v>30</x:v>
      </x:c>
      <x:c r="E1255" s="17" t="n">
        <x:v>34</x:v>
      </x:c>
      <x:c r="F1255" s="18" t="n">
        <x:v>1120.35</x:v>
      </x:c>
    </x:row>
    <x:row r="1256">
      <x:c r="A1256" s="14" t="str">
        <x:v>站点</x:v>
      </x:c>
      <x:c r="B1256" s="15" t="str">
        <x:v>墨西哥</x:v>
      </x:c>
      <x:c r="C1256" s="16" t="n">
        <x:v>46117</x:v>
      </x:c>
      <x:c r="D1256" s="17" t="n">
        <x:v>12</x:v>
      </x:c>
      <x:c r="E1256" s="17" t="n">
        <x:v>13</x:v>
      </x:c>
      <x:c r="F1256" s="18" t="n">
        <x:v>669.18</x:v>
      </x:c>
    </x:row>
    <x:row r="1257">
      <x:c r="A1257" s="14" t="str">
        <x:v>站点</x:v>
      </x:c>
      <x:c r="B1257" s="15" t="str">
        <x:v>墨西哥</x:v>
      </x:c>
      <x:c r="C1257" s="16" t="n">
        <x:v>46118</x:v>
      </x:c>
      <x:c r="D1257" s="17" t="n">
        <x:v>16</x:v>
      </x:c>
      <x:c r="E1257" s="17" t="n">
        <x:v>16</x:v>
      </x:c>
      <x:c r="F1257" s="18" t="n">
        <x:v>553.86</x:v>
      </x:c>
    </x:row>
    <x:row r="1258">
      <x:c r="A1258" s="14" t="str">
        <x:v>站点</x:v>
      </x:c>
      <x:c r="B1258" s="15" t="str">
        <x:v>墨西哥</x:v>
      </x:c>
      <x:c r="C1258" s="16" t="n">
        <x:v>46119</x:v>
      </x:c>
      <x:c r="D1258" s="17" t="n">
        <x:v>72</x:v>
      </x:c>
      <x:c r="E1258" s="17" t="n">
        <x:v>88</x:v>
      </x:c>
      <x:c r="F1258" s="18" t="n">
        <x:v>3145.17</x:v>
      </x:c>
    </x:row>
    <x:row r="1259">
      <x:c r="A1259" s="14" t="str">
        <x:v>站点</x:v>
      </x:c>
      <x:c r="B1259" s="15" t="str">
        <x:v>墨西哥</x:v>
      </x:c>
      <x:c r="C1259" s="16" t="n">
        <x:v>46120</x:v>
      </x:c>
      <x:c r="D1259" s="17" t="n">
        <x:v>53</x:v>
      </x:c>
      <x:c r="E1259" s="17" t="n">
        <x:v>73</x:v>
      </x:c>
      <x:c r="F1259" s="18" t="n">
        <x:v>2284.69</x:v>
      </x:c>
    </x:row>
    <x:row r="1260">
      <x:c r="A1260" s="14" t="str">
        <x:v>站点</x:v>
      </x:c>
      <x:c r="B1260" s="15" t="str">
        <x:v>墨西哥</x:v>
      </x:c>
      <x:c r="C1260" s="16" t="n">
        <x:v>46121</x:v>
      </x:c>
      <x:c r="D1260" s="17" t="n">
        <x:v>33</x:v>
      </x:c>
      <x:c r="E1260" s="17" t="n">
        <x:v>36</x:v>
      </x:c>
      <x:c r="F1260" s="18" t="n">
        <x:v>1048.89</x:v>
      </x:c>
    </x:row>
    <x:row r="1261">
      <x:c r="A1261" s="14" t="str">
        <x:v>站点</x:v>
      </x:c>
      <x:c r="B1261" s="15" t="str">
        <x:v>墨西哥</x:v>
      </x:c>
      <x:c r="C1261" s="16" t="n">
        <x:v>46122</x:v>
      </x:c>
      <x:c r="D1261" s="17" t="n">
        <x:v>49</x:v>
      </x:c>
      <x:c r="E1261" s="17" t="n">
        <x:v>64</x:v>
      </x:c>
      <x:c r="F1261" s="18" t="n">
        <x:v>2267.49</x:v>
      </x:c>
    </x:row>
    <x:row r="1262">
      <x:c r="A1262" s="14" t="str">
        <x:v>站点</x:v>
      </x:c>
      <x:c r="B1262" s="15" t="str">
        <x:v>墨西哥</x:v>
      </x:c>
      <x:c r="C1262" s="16" t="n">
        <x:v>46123</x:v>
      </x:c>
      <x:c r="D1262" s="17" t="n">
        <x:v>37</x:v>
      </x:c>
      <x:c r="E1262" s="17" t="n">
        <x:v>46</x:v>
      </x:c>
      <x:c r="F1262" s="18" t="n">
        <x:v>1572.02</x:v>
      </x:c>
    </x:row>
    <x:row r="1263">
      <x:c r="A1263" s="14" t="str">
        <x:v>站点</x:v>
      </x:c>
      <x:c r="B1263" s="15" t="str">
        <x:v>墨西哥</x:v>
      </x:c>
      <x:c r="C1263" s="16" t="n">
        <x:v>46124</x:v>
      </x:c>
      <x:c r="D1263" s="17" t="n">
        <x:v>20</x:v>
      </x:c>
      <x:c r="E1263" s="17" t="n">
        <x:v>21</x:v>
      </x:c>
      <x:c r="F1263" s="18" t="n">
        <x:v>873.06</x:v>
      </x:c>
    </x:row>
    <x:row r="1264">
      <x:c r="A1264" s="14" t="str">
        <x:v>站点</x:v>
      </x:c>
      <x:c r="B1264" s="15" t="str">
        <x:v>墨西哥</x:v>
      </x:c>
      <x:c r="C1264" s="16" t="n">
        <x:v>46125</x:v>
      </x:c>
      <x:c r="D1264" s="17" t="n">
        <x:v>22</x:v>
      </x:c>
      <x:c r="E1264" s="17" t="n">
        <x:v>23</x:v>
      </x:c>
      <x:c r="F1264" s="18" t="n">
        <x:v>905.03</x:v>
      </x:c>
    </x:row>
    <x:row r="1265">
      <x:c r="A1265" s="14" t="str">
        <x:v>站点</x:v>
      </x:c>
      <x:c r="B1265" s="15" t="str">
        <x:v>墨西哥</x:v>
      </x:c>
      <x:c r="C1265" s="16" t="n">
        <x:v>46126</x:v>
      </x:c>
      <x:c r="D1265" s="17" t="n">
        <x:v>59</x:v>
      </x:c>
      <x:c r="E1265" s="17" t="n">
        <x:v>62</x:v>
      </x:c>
      <x:c r="F1265" s="18" t="n">
        <x:v>2463.64</x:v>
      </x:c>
    </x:row>
    <x:row r="1266">
      <x:c r="A1266" s="14" t="str">
        <x:v>站点</x:v>
      </x:c>
      <x:c r="B1266" s="15" t="str">
        <x:v>墨西哥</x:v>
      </x:c>
      <x:c r="C1266" s="16" t="n">
        <x:v>46127</x:v>
      </x:c>
      <x:c r="D1266" s="17" t="n">
        <x:v>33</x:v>
      </x:c>
      <x:c r="E1266" s="17" t="n">
        <x:v>37</x:v>
      </x:c>
      <x:c r="F1266" s="18" t="n">
        <x:v>1328.52</x:v>
      </x:c>
    </x:row>
    <x:row r="1267">
      <x:c r="A1267" s="14" t="str">
        <x:v>站点</x:v>
      </x:c>
      <x:c r="B1267" s="15" t="str">
        <x:v>墨西哥</x:v>
      </x:c>
      <x:c r="C1267" s="16" t="n">
        <x:v>46128</x:v>
      </x:c>
      <x:c r="D1267" s="17" t="n">
        <x:v>35</x:v>
      </x:c>
      <x:c r="E1267" s="17" t="n">
        <x:v>42</x:v>
      </x:c>
      <x:c r="F1267" s="18" t="n">
        <x:v>1633.36</x:v>
      </x:c>
    </x:row>
    <x:row r="1268">
      <x:c r="A1268" s="14" t="str">
        <x:v>站点</x:v>
      </x:c>
      <x:c r="B1268" s="15" t="str">
        <x:v>墨西哥</x:v>
      </x:c>
      <x:c r="C1268" s="16" t="n">
        <x:v>46129</x:v>
      </x:c>
      <x:c r="D1268" s="17" t="n">
        <x:v>51</x:v>
      </x:c>
      <x:c r="E1268" s="17" t="n">
        <x:v>60</x:v>
      </x:c>
      <x:c r="F1268" s="18" t="n">
        <x:v>2546.57</x:v>
      </x:c>
    </x:row>
    <x:row r="1269">
      <x:c r="A1269" s="14" t="str">
        <x:v>站点</x:v>
      </x:c>
      <x:c r="B1269" s="15" t="str">
        <x:v>墨西哥</x:v>
      </x:c>
      <x:c r="C1269" s="16" t="n">
        <x:v>46130</x:v>
      </x:c>
      <x:c r="D1269" s="17" t="n">
        <x:v>69</x:v>
      </x:c>
      <x:c r="E1269" s="17" t="n">
        <x:v>77</x:v>
      </x:c>
      <x:c r="F1269" s="18" t="n">
        <x:v>2457.1</x:v>
      </x:c>
    </x:row>
    <x:row r="1270">
      <x:c r="A1270" s="14" t="str">
        <x:v>站点</x:v>
      </x:c>
      <x:c r="B1270" s="15" t="str">
        <x:v>墨西哥</x:v>
      </x:c>
      <x:c r="C1270" s="16" t="n">
        <x:v>46131</x:v>
      </x:c>
      <x:c r="D1270" s="17" t="n">
        <x:v>88</x:v>
      </x:c>
      <x:c r="E1270" s="17" t="n">
        <x:v>105</x:v>
      </x:c>
      <x:c r="F1270" s="18" t="n">
        <x:v>3714.99</x:v>
      </x:c>
    </x:row>
    <x:row r="1271">
      <x:c r="A1271" s="14" t="str">
        <x:v>站点</x:v>
      </x:c>
      <x:c r="B1271" s="15" t="str">
        <x:v>墨西哥</x:v>
      </x:c>
      <x:c r="C1271" s="16" t="n">
        <x:v>46132</x:v>
      </x:c>
      <x:c r="D1271" s="17" t="n">
        <x:v>18</x:v>
      </x:c>
      <x:c r="E1271" s="17" t="n">
        <x:v>21</x:v>
      </x:c>
      <x:c r="F1271" s="18" t="n">
        <x:v>1004.74</x:v>
      </x:c>
    </x:row>
    <x:row r="1272">
      <x:c r="A1272" s="14" t="str">
        <x:v>站点</x:v>
      </x:c>
      <x:c r="B1272" s="15" t="str">
        <x:v>墨西哥</x:v>
      </x:c>
      <x:c r="C1272" s="16" t="n">
        <x:v>46133</x:v>
      </x:c>
      <x:c r="D1272" s="17" t="n">
        <x:v>180</x:v>
      </x:c>
      <x:c r="E1272" s="17" t="n">
        <x:v>211</x:v>
      </x:c>
      <x:c r="F1272" s="18" t="n">
        <x:v>7475.58</x:v>
      </x:c>
    </x:row>
    <x:row r="1273">
      <x:c r="A1273" s="14" t="str">
        <x:v>站点</x:v>
      </x:c>
      <x:c r="B1273" s="15" t="str">
        <x:v>墨西哥</x:v>
      </x:c>
      <x:c r="C1273" s="16" t="n">
        <x:v>46134</x:v>
      </x:c>
      <x:c r="D1273" s="17" t="n">
        <x:v>71</x:v>
      </x:c>
      <x:c r="E1273" s="17" t="n">
        <x:v>84</x:v>
      </x:c>
      <x:c r="F1273" s="18" t="n">
        <x:v>2693.61</x:v>
      </x:c>
    </x:row>
    <x:row r="1274">
      <x:c r="A1274" s="14" t="str">
        <x:v>站点</x:v>
      </x:c>
      <x:c r="B1274" s="15" t="str">
        <x:v>墨西哥</x:v>
      </x:c>
      <x:c r="C1274" s="16" t="n">
        <x:v>46135</x:v>
      </x:c>
      <x:c r="D1274" s="17" t="n">
        <x:v>77</x:v>
      </x:c>
      <x:c r="E1274" s="17" t="n">
        <x:v>90</x:v>
      </x:c>
      <x:c r="F1274" s="18" t="n">
        <x:v>3271.82</x:v>
      </x:c>
    </x:row>
    <x:row r="1275">
      <x:c r="A1275" s="14" t="str">
        <x:v>站点</x:v>
      </x:c>
      <x:c r="B1275" s="15" t="str">
        <x:v>墨西哥</x:v>
      </x:c>
      <x:c r="C1275" s="16" t="n">
        <x:v>46136</x:v>
      </x:c>
      <x:c r="D1275" s="17" t="n">
        <x:v>51</x:v>
      </x:c>
      <x:c r="E1275" s="17" t="n">
        <x:v>57</x:v>
      </x:c>
      <x:c r="F1275" s="18" t="n">
        <x:v>2138.31</x:v>
      </x:c>
    </x:row>
    <x:row r="1276">
      <x:c r="A1276" s="14" t="str">
        <x:v>站点</x:v>
      </x:c>
      <x:c r="B1276" s="15" t="str">
        <x:v>墨西哥</x:v>
      </x:c>
      <x:c r="C1276" s="16" t="n">
        <x:v>46137</x:v>
      </x:c>
      <x:c r="D1276" s="17" t="n">
        <x:v>51</x:v>
      </x:c>
      <x:c r="E1276" s="17" t="n">
        <x:v>62</x:v>
      </x:c>
      <x:c r="F1276" s="18" t="n">
        <x:v>2434.96</x:v>
      </x:c>
    </x:row>
    <x:row r="1277">
      <x:c r="A1277" s="14" t="str">
        <x:v>站点</x:v>
      </x:c>
      <x:c r="B1277" s="15" t="str">
        <x:v>墨西哥</x:v>
      </x:c>
      <x:c r="C1277" s="16" t="n">
        <x:v>46138</x:v>
      </x:c>
      <x:c r="D1277" s="17" t="n">
        <x:v>32</x:v>
      </x:c>
      <x:c r="E1277" s="17" t="n">
        <x:v>37</x:v>
      </x:c>
      <x:c r="F1277" s="18" t="n">
        <x:v>1556.93</x:v>
      </x:c>
    </x:row>
    <x:row r="1278">
      <x:c r="A1278" s="14" t="str">
        <x:v>站点</x:v>
      </x:c>
      <x:c r="B1278" s="15" t="str">
        <x:v>墨西哥</x:v>
      </x:c>
      <x:c r="C1278" s="16" t="n">
        <x:v>46139</x:v>
      </x:c>
      <x:c r="D1278" s="17" t="n">
        <x:v>48</x:v>
      </x:c>
      <x:c r="E1278" s="17" t="n">
        <x:v>51</x:v>
      </x:c>
      <x:c r="F1278" s="18" t="n">
        <x:v>2392.1</x:v>
      </x:c>
    </x:row>
    <x:row r="1279">
      <x:c r="A1279" s="14" t="str">
        <x:v>站点</x:v>
      </x:c>
      <x:c r="B1279" s="15" t="str">
        <x:v>墨西哥</x:v>
      </x:c>
      <x:c r="C1279" s="16" t="n">
        <x:v>46140</x:v>
      </x:c>
      <x:c r="D1279" s="17" t="n">
        <x:v>68</x:v>
      </x:c>
      <x:c r="E1279" s="17" t="n">
        <x:v>71</x:v>
      </x:c>
      <x:c r="F1279" s="18" t="n">
        <x:v>2572.3</x:v>
      </x:c>
    </x:row>
    <x:row r="1280">
      <x:c r="A1280" s="14" t="str">
        <x:v>站点</x:v>
      </x:c>
      <x:c r="B1280" s="15" t="str">
        <x:v>墨西哥</x:v>
      </x:c>
      <x:c r="C1280" s="16" t="n">
        <x:v>46141</x:v>
      </x:c>
      <x:c r="D1280" s="17" t="n">
        <x:v>62</x:v>
      </x:c>
      <x:c r="E1280" s="17" t="n">
        <x:v>70</x:v>
      </x:c>
      <x:c r="F1280" s="18" t="n">
        <x:v>2627.96</x:v>
      </x:c>
    </x:row>
    <x:row r="1281">
      <x:c r="A1281" s="14" t="str">
        <x:v>站点</x:v>
      </x:c>
      <x:c r="B1281" s="15" t="str">
        <x:v>墨西哥</x:v>
      </x:c>
      <x:c r="C1281" s="16" t="n">
        <x:v>46142</x:v>
      </x:c>
      <x:c r="D1281" s="17" t="n">
        <x:v>58</x:v>
      </x:c>
      <x:c r="E1281" s="17" t="n">
        <x:v>64</x:v>
      </x:c>
      <x:c r="F1281" s="18" t="n">
        <x:v>2262.5</x:v>
      </x:c>
    </x:row>
    <x:row r="1282">
      <x:c r="A1282" s="14" t="str">
        <x:v>站点</x:v>
      </x:c>
      <x:c r="B1282" s="15" t="str">
        <x:v>墨西哥</x:v>
      </x:c>
      <x:c r="C1282" s="16" t="n">
        <x:v>46143</x:v>
      </x:c>
      <x:c r="D1282" s="17" t="n">
        <x:v>62</x:v>
      </x:c>
      <x:c r="E1282" s="17" t="n">
        <x:v>68</x:v>
      </x:c>
      <x:c r="F1282" s="18" t="n">
        <x:v>3095.16</x:v>
      </x:c>
    </x:row>
    <x:row r="1283">
      <x:c r="A1283" s="14" t="str">
        <x:v>站点</x:v>
      </x:c>
      <x:c r="B1283" s="15" t="str">
        <x:v>墨西哥</x:v>
      </x:c>
      <x:c r="C1283" s="16" t="n">
        <x:v>46144</x:v>
      </x:c>
      <x:c r="D1283" s="17" t="n">
        <x:v>41</x:v>
      </x:c>
      <x:c r="E1283" s="17" t="n">
        <x:v>44</x:v>
      </x:c>
      <x:c r="F1283" s="18" t="n">
        <x:v>1475.94</x:v>
      </x:c>
    </x:row>
    <x:row r="1284">
      <x:c r="A1284" s="14" t="str">
        <x:v>站点</x:v>
      </x:c>
      <x:c r="B1284" s="15" t="str">
        <x:v>墨西哥</x:v>
      </x:c>
      <x:c r="C1284" s="16" t="n">
        <x:v>46145</x:v>
      </x:c>
      <x:c r="D1284" s="17" t="n">
        <x:v>105</x:v>
      </x:c>
      <x:c r="E1284" s="17" t="n">
        <x:v>131</x:v>
      </x:c>
      <x:c r="F1284" s="18" t="n">
        <x:v>4558.71</x:v>
      </x:c>
    </x:row>
    <x:row r="1285">
      <x:c r="A1285" s="14" t="str">
        <x:v>站点</x:v>
      </x:c>
      <x:c r="B1285" s="15" t="str">
        <x:v>墨西哥</x:v>
      </x:c>
      <x:c r="C1285" s="16" t="n">
        <x:v>46146</x:v>
      </x:c>
      <x:c r="D1285" s="17" t="n">
        <x:v>83</x:v>
      </x:c>
      <x:c r="E1285" s="17" t="n">
        <x:v>103</x:v>
      </x:c>
      <x:c r="F1285" s="18" t="n">
        <x:v>3279.09</x:v>
      </x:c>
    </x:row>
    <x:row r="1286">
      <x:c r="A1286" s="14" t="str">
        <x:v>站点</x:v>
      </x:c>
      <x:c r="B1286" s="15" t="str">
        <x:v>墨西哥</x:v>
      </x:c>
      <x:c r="C1286" s="16" t="n">
        <x:v>46147</x:v>
      </x:c>
      <x:c r="D1286" s="17" t="n">
        <x:v>246</x:v>
      </x:c>
      <x:c r="E1286" s="17" t="n">
        <x:v>299</x:v>
      </x:c>
      <x:c r="F1286" s="18" t="n">
        <x:v>10669.6</x:v>
      </x:c>
    </x:row>
    <x:row r="1287">
      <x:c r="A1287" s="14" t="str">
        <x:v>站点</x:v>
      </x:c>
      <x:c r="B1287" s="15" t="str">
        <x:v>墨西哥</x:v>
      </x:c>
      <x:c r="C1287" s="16" t="n">
        <x:v>46148</x:v>
      </x:c>
      <x:c r="D1287" s="17" t="n">
        <x:v>169</x:v>
      </x:c>
      <x:c r="E1287" s="17" t="n">
        <x:v>200</x:v>
      </x:c>
      <x:c r="F1287" s="18" t="n">
        <x:v>7055.41</x:v>
      </x:c>
    </x:row>
    <x:row r="1288">
      <x:c r="A1288" s="14" t="str">
        <x:v>站点</x:v>
      </x:c>
      <x:c r="B1288" s="15" t="str">
        <x:v>墨西哥</x:v>
      </x:c>
      <x:c r="C1288" s="16" t="n">
        <x:v>46149</x:v>
      </x:c>
      <x:c r="D1288" s="17" t="n">
        <x:v>117</x:v>
      </x:c>
      <x:c r="E1288" s="17" t="n">
        <x:v>140</x:v>
      </x:c>
      <x:c r="F1288" s="18" t="n">
        <x:v>5388.08</x:v>
      </x:c>
    </x:row>
    <x:row r="1289">
      <x:c r="A1289" s="14" t="str">
        <x:v>站点</x:v>
      </x:c>
      <x:c r="B1289" s="15" t="str">
        <x:v>墨西哥</x:v>
      </x:c>
      <x:c r="C1289" s="16" t="n">
        <x:v>46150</x:v>
      </x:c>
      <x:c r="D1289" s="17" t="n">
        <x:v>72</x:v>
      </x:c>
      <x:c r="E1289" s="17" t="n">
        <x:v>98</x:v>
      </x:c>
      <x:c r="F1289" s="18" t="n">
        <x:v>3312.32</x:v>
      </x:c>
    </x:row>
    <x:row r="1290">
      <x:c r="A1290" s="14" t="str">
        <x:v>站点</x:v>
      </x:c>
      <x:c r="B1290" s="15" t="str">
        <x:v>墨西哥</x:v>
      </x:c>
      <x:c r="C1290" s="16" t="n">
        <x:v>46151</x:v>
      </x:c>
      <x:c r="D1290" s="17" t="n">
        <x:v>61</x:v>
      </x:c>
      <x:c r="E1290" s="17" t="n">
        <x:v>90</x:v>
      </x:c>
      <x:c r="F1290" s="18" t="n">
        <x:v>2867.95</x:v>
      </x:c>
    </x:row>
    <x:row r="1291">
      <x:c r="A1291" s="14" t="str">
        <x:v>站点</x:v>
      </x:c>
      <x:c r="B1291" s="15" t="str">
        <x:v>墨西哥</x:v>
      </x:c>
      <x:c r="C1291" s="16" t="n">
        <x:v>46152</x:v>
      </x:c>
      <x:c r="D1291" s="17" t="n">
        <x:v>40</x:v>
      </x:c>
      <x:c r="E1291" s="17" t="n">
        <x:v>44</x:v>
      </x:c>
      <x:c r="F1291" s="18" t="n">
        <x:v>1519.36</x:v>
      </x:c>
    </x:row>
    <x:row r="1292">
      <x:c r="A1292" s="14" t="str">
        <x:v>站点</x:v>
      </x:c>
      <x:c r="B1292" s="15" t="str">
        <x:v>墨西哥</x:v>
      </x:c>
      <x:c r="C1292" s="16" t="n">
        <x:v>46153</x:v>
      </x:c>
      <x:c r="D1292" s="17" t="n">
        <x:v>42</x:v>
      </x:c>
      <x:c r="E1292" s="17" t="n">
        <x:v>48</x:v>
      </x:c>
      <x:c r="F1292" s="18" t="n">
        <x:v>1733.88</x:v>
      </x:c>
    </x:row>
    <x:row r="1293">
      <x:c r="A1293" s="14" t="str">
        <x:v>站点</x:v>
      </x:c>
      <x:c r="B1293" s="15" t="str">
        <x:v>墨西哥</x:v>
      </x:c>
      <x:c r="C1293" s="16" t="n">
        <x:v>46154</x:v>
      </x:c>
      <x:c r="D1293" s="17" t="n">
        <x:v>36</x:v>
      </x:c>
      <x:c r="E1293" s="17" t="n">
        <x:v>42</x:v>
      </x:c>
      <x:c r="F1293" s="18" t="n">
        <x:v>1744.15</x:v>
      </x:c>
    </x:row>
    <x:row r="1294">
      <x:c r="A1294" s="14" t="str">
        <x:v>站点</x:v>
      </x:c>
      <x:c r="B1294" s="15" t="str">
        <x:v>墨西哥</x:v>
      </x:c>
      <x:c r="C1294" s="16" t="n">
        <x:v>46155</x:v>
      </x:c>
      <x:c r="D1294" s="17" t="n">
        <x:v>49</x:v>
      </x:c>
      <x:c r="E1294" s="17" t="n">
        <x:v>57</x:v>
      </x:c>
      <x:c r="F1294" s="18" t="n">
        <x:v>2179.7</x:v>
      </x:c>
    </x:row>
    <x:row r="1295">
      <x:c r="A1295" s="14" t="str">
        <x:v>站点</x:v>
      </x:c>
      <x:c r="B1295" s="15" t="str">
        <x:v>墨西哥</x:v>
      </x:c>
      <x:c r="C1295" s="16" t="n">
        <x:v>46156</x:v>
      </x:c>
      <x:c r="D1295" s="17" t="n">
        <x:v>36</x:v>
      </x:c>
      <x:c r="E1295" s="17" t="n">
        <x:v>97</x:v>
      </x:c>
      <x:c r="F1295" s="18" t="n">
        <x:v>2978.53</x:v>
      </x:c>
    </x:row>
    <x:row r="1296">
      <x:c r="A1296" s="14" t="str">
        <x:v>站点</x:v>
      </x:c>
      <x:c r="B1296" s="15" t="str">
        <x:v>墨西哥</x:v>
      </x:c>
      <x:c r="C1296" s="16" t="n">
        <x:v>46157</x:v>
      </x:c>
      <x:c r="D1296" s="17" t="n">
        <x:v>35</x:v>
      </x:c>
      <x:c r="E1296" s="17" t="n">
        <x:v>40</x:v>
      </x:c>
      <x:c r="F1296" s="18" t="n">
        <x:v>1715.07</x:v>
      </x:c>
    </x:row>
    <x:row r="1297">
      <x:c r="A1297" s="14" t="str">
        <x:v>站点</x:v>
      </x:c>
      <x:c r="B1297" s="15" t="str">
        <x:v>墨西哥</x:v>
      </x:c>
      <x:c r="C1297" s="16" t="n">
        <x:v>46158</x:v>
      </x:c>
      <x:c r="D1297" s="17" t="n">
        <x:v>27</x:v>
      </x:c>
      <x:c r="E1297" s="17" t="n">
        <x:v>29</x:v>
      </x:c>
      <x:c r="F1297" s="18" t="n">
        <x:v>1212.43</x:v>
      </x:c>
    </x:row>
    <x:row r="1298">
      <x:c r="A1298" s="14" t="str">
        <x:v>站点</x:v>
      </x:c>
      <x:c r="B1298" s="15" t="str">
        <x:v>墨西哥</x:v>
      </x:c>
      <x:c r="C1298" s="16" t="n">
        <x:v>46159</x:v>
      </x:c>
      <x:c r="D1298" s="17" t="n">
        <x:v>16</x:v>
      </x:c>
      <x:c r="E1298" s="17" t="n">
        <x:v>27</x:v>
      </x:c>
      <x:c r="F1298" s="18" t="n">
        <x:v>980.87</x:v>
      </x:c>
    </x:row>
    <x:row r="1299">
      <x:c r="A1299" s="14" t="str">
        <x:v>站点</x:v>
      </x:c>
      <x:c r="B1299" s="15" t="str">
        <x:v>墨西哥</x:v>
      </x:c>
      <x:c r="C1299" s="16" t="n">
        <x:v>46160</x:v>
      </x:c>
      <x:c r="D1299" s="17" t="n">
        <x:v>1</x:v>
      </x:c>
      <x:c r="E1299" s="17" t="n">
        <x:v>1</x:v>
      </x:c>
      <x:c r="F1299" s="18" t="n">
        <x:v>43.4</x:v>
      </x:c>
    </x:row>
    <x:row r="1300">
      <x:c r="A1300" s="14" t="str">
        <x:v>站点</x:v>
      </x:c>
      <x:c r="B1300" s="15" t="str">
        <x:v>墨西哥</x:v>
      </x:c>
      <x:c r="C1300" s="16" t="n">
        <x:v>46161</x:v>
      </x:c>
      <x:c r="D1300" s="17" t="n">
        <x:v>37</x:v>
      </x:c>
      <x:c r="E1300" s="17" t="n">
        <x:v>38</x:v>
      </x:c>
      <x:c r="F1300" s="18" t="n">
        <x:v>1634.28</x:v>
      </x:c>
    </x:row>
    <x:row r="1301">
      <x:c r="A1301" s="14" t="str">
        <x:v>站点</x:v>
      </x:c>
      <x:c r="B1301" s="15" t="str">
        <x:v>墨西哥</x:v>
      </x:c>
      <x:c r="C1301" s="16" t="n">
        <x:v>46162</x:v>
      </x:c>
      <x:c r="D1301" s="17" t="n">
        <x:v>32</x:v>
      </x:c>
      <x:c r="E1301" s="17" t="n">
        <x:v>34</x:v>
      </x:c>
      <x:c r="F1301" s="18" t="n">
        <x:v>1573.11</x:v>
      </x:c>
    </x:row>
    <x:row r="1302">
      <x:c r="A1302" s="14" t="str">
        <x:v>站点</x:v>
      </x:c>
      <x:c r="B1302" s="15" t="str">
        <x:v>墨西哥</x:v>
      </x:c>
      <x:c r="C1302" s="16" t="n">
        <x:v>46163</x:v>
      </x:c>
      <x:c r="D1302" s="17" t="n">
        <x:v>24</x:v>
      </x:c>
      <x:c r="E1302" s="17" t="n">
        <x:v>26</x:v>
      </x:c>
      <x:c r="F1302" s="18" t="n">
        <x:v>986.21</x:v>
      </x:c>
    </x:row>
    <x:row r="1303">
      <x:c r="A1303" s="14" t="str">
        <x:v>站点</x:v>
      </x:c>
      <x:c r="B1303" s="15" t="str">
        <x:v>墨西哥</x:v>
      </x:c>
      <x:c r="C1303" s="16" t="n">
        <x:v>46164</x:v>
      </x:c>
      <x:c r="D1303" s="17" t="n">
        <x:v>79</x:v>
      </x:c>
      <x:c r="E1303" s="17" t="n">
        <x:v>81</x:v>
      </x:c>
      <x:c r="F1303" s="18" t="n">
        <x:v>2234.43</x:v>
      </x:c>
    </x:row>
    <x:row r="1304">
      <x:c r="A1304" s="14" t="str">
        <x:v>站点</x:v>
      </x:c>
      <x:c r="B1304" s="15" t="str">
        <x:v>墨西哥</x:v>
      </x:c>
      <x:c r="C1304" s="16" t="n">
        <x:v>46165</x:v>
      </x:c>
      <x:c r="D1304" s="17" t="n">
        <x:v>32</x:v>
      </x:c>
      <x:c r="E1304" s="17" t="n">
        <x:v>35</x:v>
      </x:c>
      <x:c r="F1304" s="18" t="n">
        <x:v>1440.79</x:v>
      </x:c>
    </x:row>
    <x:row r="1305">
      <x:c r="A1305" s="14" t="str">
        <x:v>站点</x:v>
      </x:c>
      <x:c r="B1305" s="15" t="str">
        <x:v>墨西哥</x:v>
      </x:c>
      <x:c r="C1305" s="16" t="n">
        <x:v>46166</x:v>
      </x:c>
      <x:c r="D1305" s="17" t="n">
        <x:v>30</x:v>
      </x:c>
      <x:c r="E1305" s="17" t="n">
        <x:v>33</x:v>
      </x:c>
      <x:c r="F1305" s="18" t="n">
        <x:v>1503.48</x:v>
      </x:c>
    </x:row>
    <x:row r="1306">
      <x:c r="A1306" s="14" t="str">
        <x:v>站点</x:v>
      </x:c>
      <x:c r="B1306" s="15" t="str">
        <x:v>墨西哥</x:v>
      </x:c>
      <x:c r="C1306" s="16" t="n">
        <x:v>46167</x:v>
      </x:c>
      <x:c r="D1306" s="17" t="n">
        <x:v>14</x:v>
      </x:c>
      <x:c r="E1306" s="17" t="n">
        <x:v>15</x:v>
      </x:c>
      <x:c r="F1306" s="18" t="n">
        <x:v>728.73</x:v>
      </x:c>
    </x:row>
    <x:row r="1307">
      <x:c r="A1307" s="14" t="str">
        <x:v>站点</x:v>
      </x:c>
      <x:c r="B1307" s="15" t="str">
        <x:v>墨西哥</x:v>
      </x:c>
      <x:c r="C1307" s="16" t="n">
        <x:v>46168</x:v>
      </x:c>
      <x:c r="D1307" s="17" t="n">
        <x:v>18</x:v>
      </x:c>
      <x:c r="E1307" s="17" t="n">
        <x:v>19</x:v>
      </x:c>
      <x:c r="F1307" s="18" t="n">
        <x:v>780.47</x:v>
      </x:c>
    </x:row>
    <x:row r="1308">
      <x:c r="A1308" s="14" t="str">
        <x:v>站点</x:v>
      </x:c>
      <x:c r="B1308" s="15" t="str">
        <x:v>墨西哥</x:v>
      </x:c>
      <x:c r="C1308" s="16" t="n">
        <x:v>46169</x:v>
      </x:c>
      <x:c r="D1308" s="17" t="n">
        <x:v>33</x:v>
      </x:c>
      <x:c r="E1308" s="17" t="n">
        <x:v>38</x:v>
      </x:c>
      <x:c r="F1308" s="18" t="n">
        <x:v>1796.99</x:v>
      </x:c>
    </x:row>
    <x:row r="1309">
      <x:c r="A1309" s="14" t="str">
        <x:v>站点</x:v>
      </x:c>
      <x:c r="B1309" s="15" t="str">
        <x:v>墨西哥</x:v>
      </x:c>
      <x:c r="C1309" s="16" t="n">
        <x:v>46170</x:v>
      </x:c>
      <x:c r="D1309" s="17" t="n">
        <x:v>31</x:v>
      </x:c>
      <x:c r="E1309" s="17" t="n">
        <x:v>33</x:v>
      </x:c>
      <x:c r="F1309" s="18" t="n">
        <x:v>1743.27</x:v>
      </x:c>
    </x:row>
    <x:row r="1310">
      <x:c r="A1310" s="14" t="str">
        <x:v>站点</x:v>
      </x:c>
      <x:c r="B1310" s="15" t="str">
        <x:v>墨西哥</x:v>
      </x:c>
      <x:c r="C1310" s="16" t="n">
        <x:v>46171</x:v>
      </x:c>
      <x:c r="D1310" s="17" t="n">
        <x:v>23</x:v>
      </x:c>
      <x:c r="E1310" s="17" t="n">
        <x:v>29</x:v>
      </x:c>
      <x:c r="F1310" s="18" t="n">
        <x:v>1173.2</x:v>
      </x:c>
    </x:row>
    <x:row r="1311">
      <x:c r="A1311" s="14" t="str">
        <x:v>站点</x:v>
      </x:c>
      <x:c r="B1311" s="15" t="str">
        <x:v>墨西哥</x:v>
      </x:c>
      <x:c r="C1311" s="16" t="n">
        <x:v>46172</x:v>
      </x:c>
      <x:c r="D1311" s="17" t="n">
        <x:v>22</x:v>
      </x:c>
      <x:c r="E1311" s="17" t="n">
        <x:v>29</x:v>
      </x:c>
      <x:c r="F1311" s="18" t="n">
        <x:v>1099.67</x:v>
      </x:c>
    </x:row>
    <x:row r="1312">
      <x:c r="A1312" s="14" t="str">
        <x:v>站点</x:v>
      </x:c>
      <x:c r="B1312" s="15" t="str">
        <x:v>墨西哥</x:v>
      </x:c>
      <x:c r="C1312" s="16" t="n">
        <x:v>46173</x:v>
      </x:c>
      <x:c r="D1312" s="17" t="n">
        <x:v>25</x:v>
      </x:c>
      <x:c r="E1312" s="17" t="n">
        <x:v>31</x:v>
      </x:c>
      <x:c r="F1312" s="18" t="n">
        <x:v>1055.89</x:v>
      </x:c>
    </x:row>
    <x:row r="1313">
      <x:c r="A1313" s="14" t="str">
        <x:v>站点</x:v>
      </x:c>
      <x:c r="B1313" s="15" t="str">
        <x:v>墨西哥</x:v>
      </x:c>
      <x:c r="C1313" s="16" t="n">
        <x:v>46174</x:v>
      </x:c>
      <x:c r="D1313" s="17" t="n">
        <x:v>28</x:v>
      </x:c>
      <x:c r="E1313" s="17" t="n">
        <x:v>31</x:v>
      </x:c>
      <x:c r="F1313" s="18" t="n">
        <x:v>1383.15</x:v>
      </x:c>
    </x:row>
    <x:row r="1314">
      <x:c r="A1314" s="14" t="str">
        <x:v>站点</x:v>
      </x:c>
      <x:c r="B1314" s="15" t="str">
        <x:v>墨西哥</x:v>
      </x:c>
      <x:c r="C1314" s="16" t="n">
        <x:v>46175</x:v>
      </x:c>
      <x:c r="D1314" s="17" t="n">
        <x:v>19</x:v>
      </x:c>
      <x:c r="E1314" s="17" t="n">
        <x:v>43</x:v>
      </x:c>
      <x:c r="F1314" s="18" t="n">
        <x:v>1525.48</x:v>
      </x:c>
    </x:row>
    <x:row r="1315">
      <x:c r="A1315" s="14" t="str">
        <x:v>站点</x:v>
      </x:c>
      <x:c r="B1315" s="15" t="str">
        <x:v>墨西哥</x:v>
      </x:c>
      <x:c r="C1315" s="16" t="n">
        <x:v>46176</x:v>
      </x:c>
      <x:c r="D1315" s="17" t="n">
        <x:v>59</x:v>
      </x:c>
      <x:c r="E1315" s="17" t="n">
        <x:v>76</x:v>
      </x:c>
      <x:c r="F1315" s="18" t="n">
        <x:v>2783.58</x:v>
      </x:c>
    </x:row>
    <x:row r="1316">
      <x:c r="A1316" s="14" t="str">
        <x:v>站点</x:v>
      </x:c>
      <x:c r="B1316" s="15" t="str">
        <x:v>墨西哥</x:v>
      </x:c>
      <x:c r="C1316" s="16" t="n">
        <x:v>46177</x:v>
      </x:c>
      <x:c r="D1316" s="17" t="n">
        <x:v>10</x:v>
      </x:c>
      <x:c r="E1316" s="17" t="n">
        <x:v>20</x:v>
      </x:c>
      <x:c r="F1316" s="18" t="n">
        <x:v>949.71</x:v>
      </x:c>
    </x:row>
    <x:row r="1317">
      <x:c r="A1317" s="14" t="str">
        <x:v>站点</x:v>
      </x:c>
      <x:c r="B1317" s="15" t="str">
        <x:v>墨西哥</x:v>
      </x:c>
      <x:c r="C1317" s="16" t="n">
        <x:v>46178</x:v>
      </x:c>
      <x:c r="D1317" s="17" t="n">
        <x:v>47</x:v>
      </x:c>
      <x:c r="E1317" s="17" t="n">
        <x:v>64</x:v>
      </x:c>
      <x:c r="F1317" s="18" t="n">
        <x:v>2742.56</x:v>
      </x:c>
    </x:row>
    <x:row r="1318">
      <x:c r="A1318" s="14" t="str">
        <x:v>站点</x:v>
      </x:c>
      <x:c r="B1318" s="15" t="str">
        <x:v>墨西哥</x:v>
      </x:c>
      <x:c r="C1318" s="16" t="n">
        <x:v>46179</x:v>
      </x:c>
      <x:c r="D1318" s="17" t="n">
        <x:v>36</x:v>
      </x:c>
      <x:c r="E1318" s="17" t="n">
        <x:v>49</x:v>
      </x:c>
      <x:c r="F1318" s="18" t="n">
        <x:v>2077.44</x:v>
      </x:c>
    </x:row>
    <x:row r="1319">
      <x:c r="A1319" s="14" t="str">
        <x:v>站点</x:v>
      </x:c>
      <x:c r="B1319" s="15" t="str">
        <x:v>墨西哥</x:v>
      </x:c>
      <x:c r="C1319" s="16" t="n">
        <x:v>46180</x:v>
      </x:c>
      <x:c r="D1319" s="17" t="n">
        <x:v>18</x:v>
      </x:c>
      <x:c r="E1319" s="17" t="n">
        <x:v>20</x:v>
      </x:c>
      <x:c r="F1319" s="18" t="n">
        <x:v>951.2</x:v>
      </x:c>
    </x:row>
    <x:row r="1320">
      <x:c r="A1320" s="14" t="str">
        <x:v>站点</x:v>
      </x:c>
      <x:c r="B1320" s="15" t="str">
        <x:v>墨西哥</x:v>
      </x:c>
      <x:c r="C1320" s="16" t="n">
        <x:v>46181</x:v>
      </x:c>
      <x:c r="D1320" s="17" t="n">
        <x:v>15</x:v>
      </x:c>
      <x:c r="E1320" s="17" t="n">
        <x:v>15</x:v>
      </x:c>
      <x:c r="F1320" s="18" t="n">
        <x:v>640.06</x:v>
      </x:c>
    </x:row>
    <x:row r="1321">
      <x:c r="A1321" s="14" t="str">
        <x:v>站点</x:v>
      </x:c>
      <x:c r="B1321" s="15" t="str">
        <x:v>墨西哥</x:v>
      </x:c>
      <x:c r="C1321" s="16" t="n">
        <x:v>46182</x:v>
      </x:c>
      <x:c r="D1321" s="17" t="n">
        <x:v>41</x:v>
      </x:c>
      <x:c r="E1321" s="17" t="n">
        <x:v>50</x:v>
      </x:c>
      <x:c r="F1321" s="18" t="n">
        <x:v>2496.56</x:v>
      </x:c>
    </x:row>
    <x:row r="1322">
      <x:c r="A1322" s="14" t="str">
        <x:v>站点</x:v>
      </x:c>
      <x:c r="B1322" s="15" t="str">
        <x:v>墨西哥</x:v>
      </x:c>
      <x:c r="C1322" s="16" t="n">
        <x:v>46183</x:v>
      </x:c>
      <x:c r="D1322" s="17" t="n">
        <x:v>42</x:v>
      </x:c>
      <x:c r="E1322" s="17" t="n">
        <x:v>50</x:v>
      </x:c>
      <x:c r="F1322" s="18" t="n">
        <x:v>2272.88</x:v>
      </x:c>
    </x:row>
    <x:row r="1323">
      <x:c r="A1323" s="14" t="str">
        <x:v>站点</x:v>
      </x:c>
      <x:c r="B1323" s="15" t="str">
        <x:v>墨西哥</x:v>
      </x:c>
      <x:c r="C1323" s="16" t="n">
        <x:v>46184</x:v>
      </x:c>
      <x:c r="D1323" s="17" t="n">
        <x:v>35</x:v>
      </x:c>
      <x:c r="E1323" s="17" t="n">
        <x:v>41</x:v>
      </x:c>
      <x:c r="F1323" s="18" t="n">
        <x:v>2773.86</x:v>
      </x:c>
    </x:row>
    <x:row r="1324">
      <x:c r="A1324" s="14" t="str">
        <x:v>站点</x:v>
      </x:c>
      <x:c r="B1324" s="15" t="str">
        <x:v>墨西哥</x:v>
      </x:c>
      <x:c r="C1324" s="16" t="n">
        <x:v>46185</x:v>
      </x:c>
      <x:c r="D1324" s="17" t="n">
        <x:v>23</x:v>
      </x:c>
      <x:c r="E1324" s="17" t="n">
        <x:v>34</x:v>
      </x:c>
      <x:c r="F1324" s="18" t="n">
        <x:v>1806.17</x:v>
      </x:c>
    </x:row>
    <x:row r="1325">
      <x:c r="A1325" s="14" t="str">
        <x:v>站点</x:v>
      </x:c>
      <x:c r="B1325" s="15" t="str">
        <x:v>墨西哥</x:v>
      </x:c>
      <x:c r="C1325" s="16" t="n">
        <x:v>46186</x:v>
      </x:c>
      <x:c r="D1325" s="17" t="n">
        <x:v>29</x:v>
      </x:c>
      <x:c r="E1325" s="17" t="n">
        <x:v>40</x:v>
      </x:c>
      <x:c r="F1325" s="18" t="n">
        <x:v>2247.82</x:v>
      </x:c>
    </x:row>
    <x:row r="1326">
      <x:c r="A1326" s="14" t="str">
        <x:v>站点</x:v>
      </x:c>
      <x:c r="B1326" s="15" t="str">
        <x:v>墨西哥</x:v>
      </x:c>
      <x:c r="C1326" s="16" t="n">
        <x:v>46187</x:v>
      </x:c>
      <x:c r="D1326" s="17" t="n">
        <x:v>28</x:v>
      </x:c>
      <x:c r="E1326" s="17" t="n">
        <x:v>39</x:v>
      </x:c>
      <x:c r="F1326" s="18" t="n">
        <x:v>2302.18</x:v>
      </x:c>
    </x:row>
    <x:row r="1327">
      <x:c r="A1327" s="14" t="str">
        <x:v>站点</x:v>
      </x:c>
      <x:c r="B1327" s="15" t="str">
        <x:v>墨西哥</x:v>
      </x:c>
      <x:c r="C1327" s="16" t="n">
        <x:v>46188</x:v>
      </x:c>
      <x:c r="D1327" s="17" t="n">
        <x:v>13</x:v>
      </x:c>
      <x:c r="E1327" s="17" t="n">
        <x:v>15</x:v>
      </x:c>
      <x:c r="F1327" s="18" t="n">
        <x:v>688.08</x:v>
      </x:c>
    </x:row>
    <x:row r="1328">
      <x:c r="A1328" s="14" t="str">
        <x:v>站点</x:v>
      </x:c>
      <x:c r="B1328" s="15" t="str">
        <x:v>墨西哥</x:v>
      </x:c>
      <x:c r="C1328" s="16" t="n">
        <x:v>46189</x:v>
      </x:c>
      <x:c r="D1328" s="17" t="n">
        <x:v>56</x:v>
      </x:c>
      <x:c r="E1328" s="17" t="n">
        <x:v>68</x:v>
      </x:c>
      <x:c r="F1328" s="18" t="n">
        <x:v>3742.28</x:v>
      </x:c>
    </x:row>
    <x:row r="1329">
      <x:c r="A1329" s="14" t="str">
        <x:v>站点</x:v>
      </x:c>
      <x:c r="B1329" s="15" t="str">
        <x:v>墨西哥</x:v>
      </x:c>
      <x:c r="C1329" s="16" t="n">
        <x:v>46190</x:v>
      </x:c>
      <x:c r="D1329" s="17" t="n">
        <x:v>34</x:v>
      </x:c>
      <x:c r="E1329" s="17" t="n">
        <x:v>43</x:v>
      </x:c>
      <x:c r="F1329" s="18" t="n">
        <x:v>2358.92</x:v>
      </x:c>
    </x:row>
    <x:row r="1330">
      <x:c r="A1330" s="14" t="str">
        <x:v>站点</x:v>
      </x:c>
      <x:c r="B1330" s="15" t="str">
        <x:v>墨西哥</x:v>
      </x:c>
      <x:c r="C1330" s="16" t="n">
        <x:v>46191</x:v>
      </x:c>
      <x:c r="D1330" s="17" t="n">
        <x:v>34</x:v>
      </x:c>
      <x:c r="E1330" s="17" t="n">
        <x:v>42</x:v>
      </x:c>
      <x:c r="F1330" s="18" t="n">
        <x:v>2230.29</x:v>
      </x:c>
    </x:row>
    <x:row r="1331">
      <x:c r="A1331" s="14" t="str">
        <x:v>站点</x:v>
      </x:c>
      <x:c r="B1331" s="15" t="str">
        <x:v>墨西哥</x:v>
      </x:c>
      <x:c r="C1331" s="16" t="n">
        <x:v>46192</x:v>
      </x:c>
      <x:c r="D1331" s="17" t="n">
        <x:v>25</x:v>
      </x:c>
      <x:c r="E1331" s="17" t="n">
        <x:v>28</x:v>
      </x:c>
      <x:c r="F1331" s="18" t="n">
        <x:v>1528.15</x:v>
      </x:c>
    </x:row>
    <x:row r="1332">
      <x:c r="A1332" s="14" t="str">
        <x:v>站点</x:v>
      </x:c>
      <x:c r="B1332" s="15" t="str">
        <x:v>墨西哥</x:v>
      </x:c>
      <x:c r="C1332" s="16" t="n">
        <x:v>46193</x:v>
      </x:c>
      <x:c r="D1332" s="17" t="n">
        <x:v>20</x:v>
      </x:c>
      <x:c r="E1332" s="17" t="n">
        <x:v>21</x:v>
      </x:c>
      <x:c r="F1332" s="18" t="n">
        <x:v>1030.37</x:v>
      </x:c>
    </x:row>
    <x:row r="1333">
      <x:c r="A1333" s="14" t="str">
        <x:v>站点</x:v>
      </x:c>
      <x:c r="B1333" s="15" t="str">
        <x:v>墨西哥</x:v>
      </x:c>
      <x:c r="C1333" s="16" t="n">
        <x:v>46194</x:v>
      </x:c>
      <x:c r="D1333" s="17" t="n">
        <x:v>14</x:v>
      </x:c>
      <x:c r="E1333" s="17" t="n">
        <x:v>15</x:v>
      </x:c>
      <x:c r="F1333" s="18" t="n">
        <x:v>585.73</x:v>
      </x:c>
    </x:row>
    <x:row r="1334">
      <x:c r="A1334" s="14" t="str">
        <x:v>站点</x:v>
      </x:c>
      <x:c r="B1334" s="15" t="str">
        <x:v>墨西哥</x:v>
      </x:c>
      <x:c r="C1334" s="16" t="n">
        <x:v>46195</x:v>
      </x:c>
      <x:c r="D1334" s="17" t="n">
        <x:v>5</x:v>
      </x:c>
      <x:c r="E1334" s="17" t="n">
        <x:v>5</x:v>
      </x:c>
      <x:c r="F1334" s="18" t="n">
        <x:v>204.57</x:v>
      </x:c>
    </x:row>
    <x:row r="1335">
      <x:c r="A1335" s="14" t="str">
        <x:v>站点</x:v>
      </x:c>
      <x:c r="B1335" s="15" t="str">
        <x:v>墨西哥</x:v>
      </x:c>
      <x:c r="C1335" s="16" t="n">
        <x:v>46196</x:v>
      </x:c>
      <x:c r="D1335" s="17" t="n">
        <x:v>62</x:v>
      </x:c>
      <x:c r="E1335" s="17" t="n">
        <x:v>68</x:v>
      </x:c>
      <x:c r="F1335" s="18" t="n">
        <x:v>3122.92</x:v>
      </x:c>
    </x:row>
    <x:row r="1336">
      <x:c r="A1336" s="14" t="str">
        <x:v>站点</x:v>
      </x:c>
      <x:c r="B1336" s="15" t="str">
        <x:v>墨西哥</x:v>
      </x:c>
      <x:c r="C1336" s="16" t="n">
        <x:v>46197</x:v>
      </x:c>
      <x:c r="D1336" s="17" t="n">
        <x:v>34</x:v>
      </x:c>
      <x:c r="E1336" s="17" t="n">
        <x:v>45</x:v>
      </x:c>
      <x:c r="F1336" s="18" t="n">
        <x:v>1910.52</x:v>
      </x:c>
    </x:row>
    <x:row r="1337">
      <x:c r="A1337" s="14" t="str">
        <x:v>站点</x:v>
      </x:c>
      <x:c r="B1337" s="15" t="str">
        <x:v>墨西哥</x:v>
      </x:c>
      <x:c r="C1337" s="16" t="n">
        <x:v>46198</x:v>
      </x:c>
      <x:c r="D1337" s="17" t="n">
        <x:v>28</x:v>
      </x:c>
      <x:c r="E1337" s="17" t="n">
        <x:v>39</x:v>
      </x:c>
      <x:c r="F1337" s="18" t="n">
        <x:v>1431.41</x:v>
      </x:c>
    </x:row>
    <x:row r="1338">
      <x:c r="A1338" s="14" t="str">
        <x:v>站点</x:v>
      </x:c>
      <x:c r="B1338" s="15" t="str">
        <x:v>墨西哥</x:v>
      </x:c>
      <x:c r="C1338" s="16" t="n">
        <x:v>46199</x:v>
      </x:c>
      <x:c r="D1338" s="17" t="n">
        <x:v>34</x:v>
      </x:c>
      <x:c r="E1338" s="17" t="n">
        <x:v>43</x:v>
      </x:c>
      <x:c r="F1338" s="18" t="n">
        <x:v>1930.47</x:v>
      </x:c>
    </x:row>
    <x:row r="1339">
      <x:c r="A1339" s="14" t="str">
        <x:v>站点</x:v>
      </x:c>
      <x:c r="B1339" s="15" t="str">
        <x:v>墨西哥</x:v>
      </x:c>
      <x:c r="C1339" s="16" t="n">
        <x:v>46200</x:v>
      </x:c>
      <x:c r="D1339" s="17" t="n">
        <x:v>69</x:v>
      </x:c>
      <x:c r="E1339" s="17" t="n">
        <x:v>83</x:v>
      </x:c>
      <x:c r="F1339" s="18" t="n">
        <x:v>2868.88</x:v>
      </x:c>
    </x:row>
    <x:row r="1340">
      <x:c r="A1340" s="14" t="str">
        <x:v>站点</x:v>
      </x:c>
      <x:c r="B1340" s="15" t="str">
        <x:v>墨西哥</x:v>
      </x:c>
      <x:c r="C1340" s="16" t="n">
        <x:v>46201</x:v>
      </x:c>
      <x:c r="D1340" s="17" t="n">
        <x:v>47</x:v>
      </x:c>
      <x:c r="E1340" s="17" t="n">
        <x:v>57</x:v>
      </x:c>
      <x:c r="F1340" s="18" t="n">
        <x:v>2369</x:v>
      </x:c>
    </x:row>
    <x:row r="1341">
      <x:c r="A1341" s="14" t="str">
        <x:v>站点</x:v>
      </x:c>
      <x:c r="B1341" s="15" t="str">
        <x:v>墨西哥</x:v>
      </x:c>
      <x:c r="C1341" s="16" t="n">
        <x:v>46202</x:v>
      </x:c>
      <x:c r="D1341" s="17" t="n">
        <x:v>28</x:v>
      </x:c>
      <x:c r="E1341" s="17" t="n">
        <x:v>32</x:v>
      </x:c>
      <x:c r="F1341" s="18" t="n">
        <x:v>1687.28</x:v>
      </x:c>
    </x:row>
    <x:row r="1342">
      <x:c r="A1342" s="14" t="str">
        <x:v>站点</x:v>
      </x:c>
      <x:c r="B1342" s="15" t="str">
        <x:v>墨西哥</x:v>
      </x:c>
      <x:c r="C1342" s="16" t="n">
        <x:v>46203</x:v>
      </x:c>
      <x:c r="D1342" s="17" t="n">
        <x:v>100</x:v>
      </x:c>
      <x:c r="E1342" s="17" t="n">
        <x:v>130</x:v>
      </x:c>
      <x:c r="F1342" s="18" t="n">
        <x:v>6677.29</x:v>
      </x:c>
    </x:row>
    <x:row r="1343">
      <x:c r="A1343" s="14" t="str">
        <x:v>站点</x:v>
      </x:c>
      <x:c r="B1343" s="15" t="str">
        <x:v>墨西哥</x:v>
      </x:c>
      <x:c r="C1343" s="16" t="n">
        <x:v>46204</x:v>
      </x:c>
      <x:c r="D1343" s="17" t="n">
        <x:v>57</x:v>
      </x:c>
      <x:c r="E1343" s="17" t="n">
        <x:v>67</x:v>
      </x:c>
      <x:c r="F1343" s="18" t="n">
        <x:v>2759.83</x:v>
      </x:c>
    </x:row>
    <x:row r="1344">
      <x:c r="A1344" s="14" t="str">
        <x:v>站点</x:v>
      </x:c>
      <x:c r="B1344" s="15" t="str">
        <x:v>墨西哥</x:v>
      </x:c>
      <x:c r="C1344" s="16" t="n">
        <x:v>46205</x:v>
      </x:c>
      <x:c r="D1344" s="17" t="n">
        <x:v>53</x:v>
      </x:c>
      <x:c r="E1344" s="17" t="n">
        <x:v>57</x:v>
      </x:c>
      <x:c r="F1344" s="18" t="n">
        <x:v>2100.87</x:v>
      </x:c>
    </x:row>
    <x:row r="1345">
      <x:c r="A1345" s="14" t="str">
        <x:v>站点</x:v>
      </x:c>
      <x:c r="B1345" s="15" t="str">
        <x:v>墨西哥</x:v>
      </x:c>
      <x:c r="C1345" s="16" t="n">
        <x:v>46206</x:v>
      </x:c>
      <x:c r="D1345" s="17" t="n">
        <x:v>65</x:v>
      </x:c>
      <x:c r="E1345" s="17" t="n">
        <x:v>95</x:v>
      </x:c>
      <x:c r="F1345" s="18" t="n">
        <x:v>3351.37</x:v>
      </x:c>
    </x:row>
    <x:row r="1346">
      <x:c r="A1346" s="14" t="str">
        <x:v>站点</x:v>
      </x:c>
      <x:c r="B1346" s="15" t="str">
        <x:v>墨西哥</x:v>
      </x:c>
      <x:c r="C1346" s="16" t="n">
        <x:v>46207</x:v>
      </x:c>
      <x:c r="D1346" s="17" t="n">
        <x:v>64</x:v>
      </x:c>
      <x:c r="E1346" s="17" t="n">
        <x:v>88</x:v>
      </x:c>
      <x:c r="F1346" s="18" t="n">
        <x:v>2559.81</x:v>
      </x:c>
    </x:row>
    <x:row r="1347">
      <x:c r="A1347" s="14" t="str">
        <x:v>站点</x:v>
      </x:c>
      <x:c r="B1347" s="15" t="str">
        <x:v>墨西哥</x:v>
      </x:c>
      <x:c r="C1347" s="16" t="n">
        <x:v>46208</x:v>
      </x:c>
      <x:c r="D1347" s="17" t="n">
        <x:v>48</x:v>
      </x:c>
      <x:c r="E1347" s="17" t="n">
        <x:v>60</x:v>
      </x:c>
      <x:c r="F1347" s="18" t="n">
        <x:v>2429.11</x:v>
      </x:c>
    </x:row>
    <x:row r="1348">
      <x:c r="A1348" s="14" t="str">
        <x:v>站点</x:v>
      </x:c>
      <x:c r="B1348" s="15" t="str">
        <x:v>墨西哥</x:v>
      </x:c>
      <x:c r="C1348" s="16" t="n">
        <x:v>46209</x:v>
      </x:c>
      <x:c r="D1348" s="17" t="n">
        <x:v>45</x:v>
      </x:c>
      <x:c r="E1348" s="17" t="n">
        <x:v>56</x:v>
      </x:c>
      <x:c r="F1348" s="18" t="n">
        <x:v>2273.81</x:v>
      </x:c>
    </x:row>
    <x:row r="1349">
      <x:c r="A1349" s="14" t="str">
        <x:v>站点</x:v>
      </x:c>
      <x:c r="B1349" s="15" t="str">
        <x:v>墨西哥</x:v>
      </x:c>
      <x:c r="C1349" s="16" t="n">
        <x:v>46210</x:v>
      </x:c>
      <x:c r="D1349" s="17" t="n">
        <x:v>86</x:v>
      </x:c>
      <x:c r="E1349" s="17" t="n">
        <x:v>102</x:v>
      </x:c>
      <x:c r="F1349" s="18" t="n">
        <x:v>3543.46</x:v>
      </x:c>
    </x:row>
    <x:row r="1350">
      <x:c r="A1350" s="14" t="str">
        <x:v>站点</x:v>
      </x:c>
      <x:c r="B1350" s="15" t="str">
        <x:v>墨西哥</x:v>
      </x:c>
      <x:c r="C1350" s="16" t="n">
        <x:v>46211</x:v>
      </x:c>
      <x:c r="D1350" s="17" t="n">
        <x:v>40</x:v>
      </x:c>
      <x:c r="E1350" s="17" t="n">
        <x:v>54</x:v>
      </x:c>
      <x:c r="F1350" s="18" t="n">
        <x:v>2066.27</x:v>
      </x:c>
    </x:row>
    <x:row r="1351">
      <x:c r="A1351" s="14" t="str">
        <x:v>站点</x:v>
      </x:c>
      <x:c r="B1351" s="15" t="str">
        <x:v>墨西哥</x:v>
      </x:c>
      <x:c r="C1351" s="16" t="n">
        <x:v>46212</x:v>
      </x:c>
      <x:c r="D1351" s="17" t="n">
        <x:v>47</x:v>
      </x:c>
      <x:c r="E1351" s="17" t="n">
        <x:v>56</x:v>
      </x:c>
      <x:c r="F1351" s="18" t="n">
        <x:v>2323.52</x:v>
      </x:c>
    </x:row>
    <x:row r="1352">
      <x:c r="A1352" s="14" t="str">
        <x:v>站点</x:v>
      </x:c>
      <x:c r="B1352" s="15" t="str">
        <x:v>墨西哥</x:v>
      </x:c>
      <x:c r="C1352" s="16" t="n">
        <x:v>46213</x:v>
      </x:c>
      <x:c r="D1352" s="17" t="n">
        <x:v>49</x:v>
      </x:c>
      <x:c r="E1352" s="17" t="n">
        <x:v>55</x:v>
      </x:c>
      <x:c r="F1352" s="18" t="n">
        <x:v>2385.59</x:v>
      </x:c>
    </x:row>
    <x:row r="1353">
      <x:c r="A1353" s="14" t="str">
        <x:v>站点</x:v>
      </x:c>
      <x:c r="B1353" s="15" t="str">
        <x:v>墨西哥</x:v>
      </x:c>
      <x:c r="C1353" s="16" t="n">
        <x:v>46214</x:v>
      </x:c>
      <x:c r="D1353" s="17" t="n">
        <x:v>33</x:v>
      </x:c>
      <x:c r="E1353" s="17" t="n">
        <x:v>39</x:v>
      </x:c>
      <x:c r="F1353" s="18" t="n">
        <x:v>1671.24</x:v>
      </x:c>
    </x:row>
    <x:row r="1354">
      <x:c r="A1354" s="14" t="str">
        <x:v>站点</x:v>
      </x:c>
      <x:c r="B1354" s="15" t="str">
        <x:v>墨西哥</x:v>
      </x:c>
      <x:c r="C1354" s="16" t="n">
        <x:v>46215</x:v>
      </x:c>
      <x:c r="D1354" s="17" t="n">
        <x:v>28</x:v>
      </x:c>
      <x:c r="E1354" s="17" t="n">
        <x:v>32</x:v>
      </x:c>
      <x:c r="F1354" s="18" t="n">
        <x:v>1410.1</x:v>
      </x:c>
    </x:row>
    <x:row r="1355">
      <x:c r="A1355" s="14" t="str">
        <x:v>站点</x:v>
      </x:c>
      <x:c r="B1355" s="15" t="str">
        <x:v>墨西哥</x:v>
      </x:c>
      <x:c r="C1355" s="16" t="n">
        <x:v>46216</x:v>
      </x:c>
      <x:c r="D1355" s="17" t="n">
        <x:v>28</x:v>
      </x:c>
      <x:c r="E1355" s="17" t="n">
        <x:v>33</x:v>
      </x:c>
      <x:c r="F1355" s="18" t="n">
        <x:v>1459.04</x:v>
      </x:c>
    </x:row>
    <x:row r="1356">
      <x:c r="A1356" s="14" t="str">
        <x:v>站点</x:v>
      </x:c>
      <x:c r="B1356" s="15" t="str">
        <x:v>墨西哥</x:v>
      </x:c>
      <x:c r="C1356" s="16" t="n">
        <x:v>46217</x:v>
      </x:c>
      <x:c r="D1356" s="17" t="n">
        <x:v>56</x:v>
      </x:c>
      <x:c r="E1356" s="17" t="n">
        <x:v>65</x:v>
      </x:c>
      <x:c r="F1356" s="18" t="n">
        <x:v>2708.66</x:v>
      </x:c>
    </x:row>
    <x:row r="1357">
      <x:c r="A1357" s="14" t="str">
        <x:v>站点</x:v>
      </x:c>
      <x:c r="B1357" s="15" t="str">
        <x:v>墨西哥</x:v>
      </x:c>
      <x:c r="C1357" s="16" t="n">
        <x:v>46218</x:v>
      </x:c>
      <x:c r="D1357" s="17" t="n">
        <x:v>48</x:v>
      </x:c>
      <x:c r="E1357" s="17" t="n">
        <x:v>60</x:v>
      </x:c>
      <x:c r="F1357" s="18" t="n">
        <x:v>2557.33</x:v>
      </x:c>
    </x:row>
    <x:row r="1358">
      <x:c r="A1358" s="14" t="str">
        <x:v>站点</x:v>
      </x:c>
      <x:c r="B1358" s="15" t="str">
        <x:v>墨西哥</x:v>
      </x:c>
      <x:c r="C1358" s="16" t="n">
        <x:v>46219</x:v>
      </x:c>
      <x:c r="D1358" s="17" t="n">
        <x:v>40</x:v>
      </x:c>
      <x:c r="E1358" s="17" t="n">
        <x:v>45</x:v>
      </x:c>
      <x:c r="F1358" s="18" t="n">
        <x:v>1990.23</x:v>
      </x:c>
    </x:row>
    <x:row r="1359">
      <x:c r="A1359" s="14" t="str">
        <x:v>站点</x:v>
      </x:c>
      <x:c r="B1359" s="15" t="str">
        <x:v>墨西哥</x:v>
      </x:c>
      <x:c r="C1359" s="16" t="n">
        <x:v>46220</x:v>
      </x:c>
      <x:c r="D1359" s="17" t="n">
        <x:v>42</x:v>
      </x:c>
      <x:c r="E1359" s="17" t="n">
        <x:v>52</x:v>
      </x:c>
      <x:c r="F1359" s="18" t="n">
        <x:v>2212.12</x:v>
      </x:c>
    </x:row>
    <x:row r="1360">
      <x:c r="A1360" s="14" t="str">
        <x:v>站点</x:v>
      </x:c>
      <x:c r="B1360" s="15" t="str">
        <x:v>墨西哥</x:v>
      </x:c>
      <x:c r="C1360" s="16" t="n">
        <x:v>46221</x:v>
      </x:c>
      <x:c r="D1360" s="17" t="n">
        <x:v>32</x:v>
      </x:c>
      <x:c r="E1360" s="17" t="n">
        <x:v>36</x:v>
      </x:c>
      <x:c r="F1360" s="18" t="n">
        <x:v>1625.98</x:v>
      </x:c>
    </x:row>
    <x:row r="1361">
      <x:c r="A1361" s="14" t="str">
        <x:v>站点</x:v>
      </x:c>
      <x:c r="B1361" s="15" t="str">
        <x:v>墨西哥</x:v>
      </x:c>
      <x:c r="C1361" s="16" t="n">
        <x:v>46222</x:v>
      </x:c>
      <x:c r="D1361" s="17" t="n">
        <x:v>40</x:v>
      </x:c>
      <x:c r="E1361" s="17" t="n">
        <x:v>44</x:v>
      </x:c>
      <x:c r="F1361" s="18" t="n">
        <x:v>1965.68</x:v>
      </x:c>
    </x:row>
    <x:row r="1362">
      <x:c r="A1362" s="14" t="str">
        <x:v>站点</x:v>
      </x:c>
      <x:c r="B1362" s="15" t="str">
        <x:v>墨西哥</x:v>
      </x:c>
      <x:c r="C1362" s="16" t="n">
        <x:v>46223</x:v>
      </x:c>
      <x:c r="D1362" s="17" t="n">
        <x:v>18</x:v>
      </x:c>
      <x:c r="E1362" s="17" t="n">
        <x:v>23</x:v>
      </x:c>
      <x:c r="F1362" s="18" t="n">
        <x:v>906.89</x:v>
      </x:c>
    </x:row>
    <x:row r="1363">
      <x:c r="A1363" s="14" t="str">
        <x:v>站点</x:v>
      </x:c>
      <x:c r="B1363" s="15" t="str">
        <x:v>墨西哥</x:v>
      </x:c>
      <x:c r="C1363" s="16" t="n">
        <x:v>46224</x:v>
      </x:c>
      <x:c r="D1363" s="17" t="n">
        <x:v>43</x:v>
      </x:c>
      <x:c r="E1363" s="17" t="n">
        <x:v>54</x:v>
      </x:c>
      <x:c r="F1363" s="18" t="n">
        <x:v>2200.4</x:v>
      </x:c>
    </x:row>
    <x:row r="1364">
      <x:c r="A1364" s="14" t="str">
        <x:v>站点</x:v>
      </x:c>
      <x:c r="B1364" s="15" t="str">
        <x:v>墨西哥</x:v>
      </x:c>
      <x:c r="C1364" s="16" t="n">
        <x:v>46225</x:v>
      </x:c>
      <x:c r="D1364" s="17" t="n">
        <x:v>69</x:v>
      </x:c>
      <x:c r="E1364" s="17" t="n">
        <x:v>84</x:v>
      </x:c>
      <x:c r="F1364" s="18" t="n">
        <x:v>3798.06</x:v>
      </x:c>
    </x:row>
    <x:row r="1365">
      <x:c r="A1365" s="14" t="str">
        <x:v>站点</x:v>
      </x:c>
      <x:c r="B1365" s="15" t="str">
        <x:v>墨西哥</x:v>
      </x:c>
      <x:c r="C1365" s="16" t="n">
        <x:v>46226</x:v>
      </x:c>
      <x:c r="D1365" s="17" t="n">
        <x:v>46</x:v>
      </x:c>
      <x:c r="E1365" s="17" t="n">
        <x:v>50</x:v>
      </x:c>
      <x:c r="F1365" s="18" t="n">
        <x:v>2122.65</x:v>
      </x:c>
    </x:row>
    <x:row r="1366">
      <x:c r="A1366" s="14" t="str">
        <x:v>站点</x:v>
      </x:c>
      <x:c r="B1366" s="15" t="str">
        <x:v>墨西哥</x:v>
      </x:c>
      <x:c r="C1366" s="16" t="n">
        <x:v>46227</x:v>
      </x:c>
      <x:c r="D1366" s="17" t="n">
        <x:v>40</x:v>
      </x:c>
      <x:c r="E1366" s="17" t="n">
        <x:v>46</x:v>
      </x:c>
      <x:c r="F1366" s="18" t="n">
        <x:v>1872.77</x:v>
      </x:c>
    </x:row>
    <x:row r="1367">
      <x:c r="A1367" s="14" t="str">
        <x:v>站点</x:v>
      </x:c>
      <x:c r="B1367" s="15" t="str">
        <x:v>墨西哥</x:v>
      </x:c>
      <x:c r="C1367" s="16" t="n">
        <x:v>46228</x:v>
      </x:c>
      <x:c r="D1367" s="17" t="n">
        <x:v>44</x:v>
      </x:c>
      <x:c r="E1367" s="17" t="n">
        <x:v>49</x:v>
      </x:c>
      <x:c r="F1367" s="18" t="n">
        <x:v>2073.92</x:v>
      </x:c>
    </x:row>
    <x:row r="1368">
      <x:c r="A1368" s="14" t="str">
        <x:v>站点</x:v>
      </x:c>
      <x:c r="B1368" s="15" t="str">
        <x:v>墨西哥</x:v>
      </x:c>
      <x:c r="C1368" s="16" t="n">
        <x:v>46229</x:v>
      </x:c>
      <x:c r="D1368" s="17" t="n">
        <x:v>34</x:v>
      </x:c>
      <x:c r="E1368" s="17" t="n">
        <x:v>38</x:v>
      </x:c>
      <x:c r="F1368" s="18" t="n">
        <x:v>1651.93</x:v>
      </x:c>
    </x:row>
    <x:row r="1369">
      <x:c r="A1369" s="14" t="str">
        <x:v>站点</x:v>
      </x:c>
      <x:c r="B1369" s="15" t="str">
        <x:v>墨西哥</x:v>
      </x:c>
      <x:c r="C1369" s="16" t="n">
        <x:v>46230</x:v>
      </x:c>
      <x:c r="D1369" s="17" t="n">
        <x:v>21</x:v>
      </x:c>
      <x:c r="E1369" s="17" t="n">
        <x:v>30</x:v>
      </x:c>
      <x:c r="F1369" s="18" t="n">
        <x:v>1161.71</x:v>
      </x:c>
    </x:row>
    <x:row r="1370">
      <x:c r="A1370" s="14" t="str">
        <x:v>站点</x:v>
      </x:c>
      <x:c r="B1370" s="15" t="str">
        <x:v>墨西哥</x:v>
      </x:c>
      <x:c r="C1370" s="16" t="n">
        <x:v>46231</x:v>
      </x:c>
      <x:c r="D1370" s="17" t="n">
        <x:v>66</x:v>
      </x:c>
      <x:c r="E1370" s="17" t="n">
        <x:v>79</x:v>
      </x:c>
      <x:c r="F1370" s="18" t="n">
        <x:v>3234.11</x:v>
      </x:c>
    </x:row>
    <x:row r="1371">
      <x:c r="A1371" s="14" t="str">
        <x:v>站点</x:v>
      </x:c>
      <x:c r="B1371" s="15" t="str">
        <x:v>墨西哥</x:v>
      </x:c>
      <x:c r="C1371" s="16" t="n">
        <x:v>46232</x:v>
      </x:c>
      <x:c r="D1371" s="17" t="n">
        <x:v>42</x:v>
      </x:c>
      <x:c r="E1371" s="17" t="n">
        <x:v>49</x:v>
      </x:c>
      <x:c r="F1371" s="18" t="n">
        <x:v>2053.15</x:v>
      </x:c>
    </x:row>
    <x:row r="1372">
      <x:c r="A1372" s="14" t="str">
        <x:v>站点</x:v>
      </x:c>
      <x:c r="B1372" s="15" t="str">
        <x:v>墨西哥</x:v>
      </x:c>
      <x:c r="C1372" s="16" t="n">
        <x:v>46233</x:v>
      </x:c>
      <x:c r="D1372" s="17" t="n">
        <x:v>52</x:v>
      </x:c>
      <x:c r="E1372" s="17" t="n">
        <x:v>62</x:v>
      </x:c>
      <x:c r="F1372" s="18" t="n">
        <x:v>2628.73</x:v>
      </x:c>
    </x:row>
    <x:row r="1373">
      <x:c r="A1373" s="14" t="str">
        <x:v>站点</x:v>
      </x:c>
      <x:c r="B1373" s="15" t="str">
        <x:v>墨西哥</x:v>
      </x:c>
      <x:c r="C1373" s="16" t="n">
        <x:v>46234</x:v>
      </x:c>
      <x:c r="D1373" s="17" t="n">
        <x:v>45</x:v>
      </x:c>
      <x:c r="E1373" s="17" t="n">
        <x:v>57</x:v>
      </x:c>
      <x:c r="F1373" s="18" t="n">
        <x:v>1416.59</x:v>
      </x:c>
    </x:row>
    <x:row r="1374">
      <x:c r="A1374" s="14" t="str">
        <x:v>站点</x:v>
      </x:c>
      <x:c r="B1374" s="15" t="str">
        <x:v>墨西哥</x:v>
      </x:c>
      <x:c r="C1374" s="16" t="n">
        <x:v>46235</x:v>
      </x:c>
      <x:c r="D1374" s="17" t="n">
        <x:v>58</x:v>
      </x:c>
      <x:c r="E1374" s="17" t="n">
        <x:v>64</x:v>
      </x:c>
      <x:c r="F1374" s="18" t="n">
        <x:v>2909.39</x:v>
      </x:c>
    </x:row>
    <x:row r="1375">
      <x:c r="A1375" s="14" t="str">
        <x:v>站点</x:v>
      </x:c>
      <x:c r="B1375" s="15" t="str">
        <x:v>墨西哥</x:v>
      </x:c>
      <x:c r="C1375" s="16" t="n">
        <x:v>46236</x:v>
      </x:c>
      <x:c r="D1375" s="17" t="n">
        <x:v>29</x:v>
      </x:c>
      <x:c r="E1375" s="17" t="n">
        <x:v>30</x:v>
      </x:c>
      <x:c r="F1375" s="18" t="n">
        <x:v>1721.1</x:v>
      </x:c>
    </x:row>
    <x:row r="1376">
      <x:c r="A1376" s="14" t="str">
        <x:v>站点</x:v>
      </x:c>
      <x:c r="B1376" s="15" t="str">
        <x:v>墨西哥</x:v>
      </x:c>
      <x:c r="C1376" s="16" t="n">
        <x:v>46237</x:v>
      </x:c>
      <x:c r="D1376" s="17" t="n">
        <x:v>11</x:v>
      </x:c>
      <x:c r="E1376" s="17" t="n">
        <x:v>15</x:v>
      </x:c>
      <x:c r="F1376" s="18" t="n">
        <x:v>896.43</x:v>
      </x:c>
    </x:row>
    <x:row r="1377">
      <x:c r="A1377" s="14" t="str">
        <x:v>站点</x:v>
      </x:c>
      <x:c r="B1377" s="15" t="str">
        <x:v>墨西哥</x:v>
      </x:c>
      <x:c r="C1377" s="16" t="n">
        <x:v>46238</x:v>
      </x:c>
      <x:c r="D1377" s="17" t="n">
        <x:v>78</x:v>
      </x:c>
      <x:c r="E1377" s="17" t="n">
        <x:v>95</x:v>
      </x:c>
      <x:c r="F1377" s="18" t="n">
        <x:v>4516.16</x:v>
      </x:c>
    </x:row>
    <x:row r="1378">
      <x:c r="A1378" s="14" t="str">
        <x:v>站点</x:v>
      </x:c>
      <x:c r="B1378" s="15" t="str">
        <x:v>墨西哥</x:v>
      </x:c>
      <x:c r="C1378" s="16" t="n">
        <x:v>46239</x:v>
      </x:c>
      <x:c r="D1378" s="17" t="n">
        <x:v>37</x:v>
      </x:c>
      <x:c r="E1378" s="17" t="n">
        <x:v>45</x:v>
      </x:c>
      <x:c r="F1378" s="18" t="n">
        <x:v>2326.22</x:v>
      </x:c>
    </x:row>
    <x:row r="1379">
      <x:c r="A1379" s="14" t="str">
        <x:v>站点</x:v>
      </x:c>
      <x:c r="B1379" s="15" t="str">
        <x:v>墨西哥</x:v>
      </x:c>
      <x:c r="C1379" s="16" t="n">
        <x:v>46240</x:v>
      </x:c>
      <x:c r="D1379" s="17" t="n">
        <x:v>32</x:v>
      </x:c>
      <x:c r="E1379" s="17" t="n">
        <x:v>39</x:v>
      </x:c>
      <x:c r="F1379" s="18" t="n">
        <x:v>2261.55</x:v>
      </x:c>
    </x:row>
    <x:row r="1380">
      <x:c r="A1380" s="14" t="str">
        <x:v>站点</x:v>
      </x:c>
      <x:c r="B1380" s="15" t="str">
        <x:v>墨西哥</x:v>
      </x:c>
      <x:c r="C1380" s="16" t="n">
        <x:v>46241</x:v>
      </x:c>
      <x:c r="D1380" s="17" t="n">
        <x:v>30</x:v>
      </x:c>
      <x:c r="E1380" s="17" t="n">
        <x:v>33</x:v>
      </x:c>
      <x:c r="F1380" s="18" t="n">
        <x:v>1806.17</x:v>
      </x:c>
    </x:row>
    <x:row r="1381">
      <x:c r="A1381" s="14" t="str">
        <x:v>站点</x:v>
      </x:c>
      <x:c r="B1381" s="15" t="str">
        <x:v>墨西哥</x:v>
      </x:c>
      <x:c r="C1381" s="16" t="n">
        <x:v>46242</x:v>
      </x:c>
      <x:c r="D1381" s="17" t="n">
        <x:v>45</x:v>
      </x:c>
      <x:c r="E1381" s="17" t="n">
        <x:v>54</x:v>
      </x:c>
      <x:c r="F1381" s="18" t="n">
        <x:v>3194.98</x:v>
      </x:c>
    </x:row>
    <x:row r="1382">
      <x:c r="A1382" s="14" t="str">
        <x:v>站点</x:v>
      </x:c>
      <x:c r="B1382" s="15" t="str">
        <x:v>墨西哥</x:v>
      </x:c>
      <x:c r="C1382" s="16" t="n">
        <x:v>46243</x:v>
      </x:c>
      <x:c r="D1382" s="17" t="n">
        <x:v>32</x:v>
      </x:c>
      <x:c r="E1382" s="17" t="n">
        <x:v>38</x:v>
      </x:c>
      <x:c r="F1382" s="18" t="n">
        <x:v>1949.35</x:v>
      </x:c>
    </x:row>
    <x:row r="1383">
      <x:c r="A1383" s="14" t="str">
        <x:v>站点</x:v>
      </x:c>
      <x:c r="B1383" s="15" t="str">
        <x:v>墨西哥</x:v>
      </x:c>
      <x:c r="C1383" s="16" t="n">
        <x:v>46244</x:v>
      </x:c>
      <x:c r="D1383" s="17" t="n">
        <x:v>19</x:v>
      </x:c>
      <x:c r="E1383" s="17" t="n">
        <x:v>30</x:v>
      </x:c>
      <x:c r="F1383" s="18" t="n">
        <x:v>1869.76</x:v>
      </x:c>
    </x:row>
    <x:row r="1384">
      <x:c r="A1384" s="14" t="str">
        <x:v>站点</x:v>
      </x:c>
      <x:c r="B1384" s="15" t="str">
        <x:v>墨西哥</x:v>
      </x:c>
      <x:c r="C1384" s="16" t="n">
        <x:v>46245</x:v>
      </x:c>
      <x:c r="D1384" s="17" t="n">
        <x:v>56</x:v>
      </x:c>
      <x:c r="E1384" s="17" t="n">
        <x:v>65</x:v>
      </x:c>
      <x:c r="F1384" s="18" t="n">
        <x:v>2901.59</x:v>
      </x:c>
    </x:row>
    <x:row r="1385">
      <x:c r="A1385" s="14" t="str">
        <x:v>站点</x:v>
      </x:c>
      <x:c r="B1385" s="15" t="str">
        <x:v>墨西哥</x:v>
      </x:c>
      <x:c r="C1385" s="16" t="n">
        <x:v>46246</x:v>
      </x:c>
      <x:c r="D1385" s="17" t="n">
        <x:v>40</x:v>
      </x:c>
      <x:c r="E1385" s="17" t="n">
        <x:v>42</x:v>
      </x:c>
      <x:c r="F1385" s="18" t="n">
        <x:v>2504.04</x:v>
      </x:c>
    </x:row>
    <x:row r="1386">
      <x:c r="A1386" s="14" t="str">
        <x:v>站点</x:v>
      </x:c>
      <x:c r="B1386" s="15" t="str">
        <x:v>墨西哥</x:v>
      </x:c>
      <x:c r="C1386" s="16" t="n">
        <x:v>46247</x:v>
      </x:c>
      <x:c r="D1386" s="17" t="n">
        <x:v>31</x:v>
      </x:c>
      <x:c r="E1386" s="17" t="n">
        <x:v>35</x:v>
      </x:c>
      <x:c r="F1386" s="18" t="n">
        <x:v>2181.12</x:v>
      </x:c>
    </x:row>
    <x:row r="1387">
      <x:c r="A1387" s="14" t="str">
        <x:v>站点</x:v>
      </x:c>
      <x:c r="B1387" s="15" t="str">
        <x:v>墨西哥</x:v>
      </x:c>
      <x:c r="C1387" s="16" t="n">
        <x:v>46248</x:v>
      </x:c>
      <x:c r="D1387" s="17" t="n">
        <x:v>38</x:v>
      </x:c>
      <x:c r="E1387" s="17" t="n">
        <x:v>41</x:v>
      </x:c>
      <x:c r="F1387" s="18" t="n">
        <x:v>2466.14</x:v>
      </x:c>
    </x:row>
    <x:row r="1388">
      <x:c r="A1388" s="14" t="str">
        <x:v>站点</x:v>
      </x:c>
      <x:c r="B1388" s="15" t="str">
        <x:v>墨西哥</x:v>
      </x:c>
      <x:c r="C1388" s="16" t="n">
        <x:v>46249</x:v>
      </x:c>
      <x:c r="D1388" s="17" t="n">
        <x:v>46</x:v>
      </x:c>
      <x:c r="E1388" s="17" t="n">
        <x:v>57</x:v>
      </x:c>
      <x:c r="F1388" s="18" t="n">
        <x:v>3359.93</x:v>
      </x:c>
    </x:row>
    <x:row r="1389">
      <x:c r="A1389" s="14" t="str">
        <x:v>站点</x:v>
      </x:c>
      <x:c r="B1389" s="15" t="str">
        <x:v>墨西哥</x:v>
      </x:c>
      <x:c r="C1389" s="16" t="n">
        <x:v>46250</x:v>
      </x:c>
      <x:c r="D1389" s="17" t="n">
        <x:v>34</x:v>
      </x:c>
      <x:c r="E1389" s="17" t="n">
        <x:v>34</x:v>
      </x:c>
      <x:c r="F1389" s="18" t="n">
        <x:v>2210.05</x:v>
      </x:c>
    </x:row>
    <x:row r="1390">
      <x:c r="A1390" s="14" t="str">
        <x:v>站点</x:v>
      </x:c>
      <x:c r="B1390" s="15" t="str">
        <x:v>墨西哥</x:v>
      </x:c>
      <x:c r="C1390" s="16" t="n">
        <x:v>46251</x:v>
      </x:c>
      <x:c r="D1390" s="17" t="n">
        <x:v>16</x:v>
      </x:c>
      <x:c r="E1390" s="17" t="n">
        <x:v>20</x:v>
      </x:c>
      <x:c r="F1390" s="18" t="n">
        <x:v>1452.85</x:v>
      </x:c>
    </x:row>
    <x:row r="1391">
      <x:c r="A1391" s="14" t="str">
        <x:v>站点</x:v>
      </x:c>
      <x:c r="B1391" s="15" t="str">
        <x:v>墨西哥</x:v>
      </x:c>
      <x:c r="C1391" s="16" t="n">
        <x:v>46252</x:v>
      </x:c>
      <x:c r="D1391" s="17" t="n">
        <x:v>104</x:v>
      </x:c>
      <x:c r="E1391" s="17" t="n">
        <x:v>123</x:v>
      </x:c>
      <x:c r="F1391" s="18" t="n">
        <x:v>6200.1</x:v>
      </x:c>
    </x:row>
    <x:row r="1392">
      <x:c r="A1392" s="14" t="str">
        <x:v>站点</x:v>
      </x:c>
      <x:c r="B1392" s="15" t="str">
        <x:v>墨西哥</x:v>
      </x:c>
      <x:c r="C1392" s="16" t="n">
        <x:v>46253</x:v>
      </x:c>
      <x:c r="D1392" s="17" t="n">
        <x:v>57</x:v>
      </x:c>
      <x:c r="E1392" s="17" t="n">
        <x:v>73</x:v>
      </x:c>
      <x:c r="F1392" s="18" t="n">
        <x:v>3283.56</x:v>
      </x:c>
    </x:row>
    <x:row r="1393">
      <x:c r="A1393" s="14" t="str">
        <x:v>站点</x:v>
      </x:c>
      <x:c r="B1393" s="15" t="str">
        <x:v>墨西哥</x:v>
      </x:c>
      <x:c r="C1393" s="16" t="n">
        <x:v>46254</x:v>
      </x:c>
      <x:c r="D1393" s="17" t="n">
        <x:v>39</x:v>
      </x:c>
      <x:c r="E1393" s="17" t="n">
        <x:v>44</x:v>
      </x:c>
      <x:c r="F1393" s="18" t="n">
        <x:v>1980.65</x:v>
      </x:c>
    </x:row>
    <x:row r="1394">
      <x:c r="A1394" s="14" t="str">
        <x:v>站点</x:v>
      </x:c>
      <x:c r="B1394" s="15" t="str">
        <x:v>巴西</x:v>
      </x:c>
      <x:c r="C1394" s="16" t="n">
        <x:v>46023</x:v>
      </x:c>
      <x:c r="D1394" s="17" t="n">
        <x:v>0</x:v>
      </x:c>
      <x:c r="E1394" s="17" t="n">
        <x:v>0</x:v>
      </x:c>
      <x:c r="F1394" s="18" t="n">
        <x:v>0</x:v>
      </x:c>
    </x:row>
    <x:row r="1395">
      <x:c r="A1395" s="14" t="str">
        <x:v>站点</x:v>
      </x:c>
      <x:c r="B1395" s="15" t="str">
        <x:v>巴西</x:v>
      </x:c>
      <x:c r="C1395" s="16" t="n">
        <x:v>46024</x:v>
      </x:c>
      <x:c r="D1395" s="17" t="n">
        <x:v>0</x:v>
      </x:c>
      <x:c r="E1395" s="17" t="n">
        <x:v>0</x:v>
      </x:c>
      <x:c r="F1395" s="18" t="n">
        <x:v>0</x:v>
      </x:c>
    </x:row>
    <x:row r="1396">
      <x:c r="A1396" s="14" t="str">
        <x:v>站点</x:v>
      </x:c>
      <x:c r="B1396" s="15" t="str">
        <x:v>巴西</x:v>
      </x:c>
      <x:c r="C1396" s="16" t="n">
        <x:v>46025</x:v>
      </x:c>
      <x:c r="D1396" s="17" t="n">
        <x:v>0</x:v>
      </x:c>
      <x:c r="E1396" s="17" t="n">
        <x:v>0</x:v>
      </x:c>
      <x:c r="F1396" s="18" t="n">
        <x:v>0</x:v>
      </x:c>
    </x:row>
    <x:row r="1397">
      <x:c r="A1397" s="14" t="str">
        <x:v>站点</x:v>
      </x:c>
      <x:c r="B1397" s="15" t="str">
        <x:v>巴西</x:v>
      </x:c>
      <x:c r="C1397" s="16" t="n">
        <x:v>46026</x:v>
      </x:c>
      <x:c r="D1397" s="17" t="n">
        <x:v>0</x:v>
      </x:c>
      <x:c r="E1397" s="17" t="n">
        <x:v>0</x:v>
      </x:c>
      <x:c r="F1397" s="18" t="n">
        <x:v>0</x:v>
      </x:c>
    </x:row>
    <x:row r="1398">
      <x:c r="A1398" s="14" t="str">
        <x:v>站点</x:v>
      </x:c>
      <x:c r="B1398" s="15" t="str">
        <x:v>巴西</x:v>
      </x:c>
      <x:c r="C1398" s="16" t="n">
        <x:v>46027</x:v>
      </x:c>
      <x:c r="D1398" s="17" t="n">
        <x:v>0</x:v>
      </x:c>
      <x:c r="E1398" s="17" t="n">
        <x:v>0</x:v>
      </x:c>
      <x:c r="F1398" s="18" t="n">
        <x:v>0</x:v>
      </x:c>
    </x:row>
    <x:row r="1399">
      <x:c r="A1399" s="14" t="str">
        <x:v>站点</x:v>
      </x:c>
      <x:c r="B1399" s="15" t="str">
        <x:v>巴西</x:v>
      </x:c>
      <x:c r="C1399" s="16" t="n">
        <x:v>46028</x:v>
      </x:c>
      <x:c r="D1399" s="17" t="n">
        <x:v>0</x:v>
      </x:c>
      <x:c r="E1399" s="17" t="n">
        <x:v>0</x:v>
      </x:c>
      <x:c r="F1399" s="18" t="n">
        <x:v>0</x:v>
      </x:c>
    </x:row>
    <x:row r="1400">
      <x:c r="A1400" s="14" t="str">
        <x:v>站点</x:v>
      </x:c>
      <x:c r="B1400" s="15" t="str">
        <x:v>巴西</x:v>
      </x:c>
      <x:c r="C1400" s="16" t="n">
        <x:v>46029</x:v>
      </x:c>
      <x:c r="D1400" s="17" t="n">
        <x:v>0</x:v>
      </x:c>
      <x:c r="E1400" s="17" t="n">
        <x:v>0</x:v>
      </x:c>
      <x:c r="F1400" s="18" t="n">
        <x:v>0</x:v>
      </x:c>
    </x:row>
    <x:row r="1401">
      <x:c r="A1401" s="14" t="str">
        <x:v>站点</x:v>
      </x:c>
      <x:c r="B1401" s="15" t="str">
        <x:v>巴西</x:v>
      </x:c>
      <x:c r="C1401" s="16" t="n">
        <x:v>46030</x:v>
      </x:c>
      <x:c r="D1401" s="17" t="n">
        <x:v>0</x:v>
      </x:c>
      <x:c r="E1401" s="17" t="n">
        <x:v>0</x:v>
      </x:c>
      <x:c r="F1401" s="18" t="n">
        <x:v>0</x:v>
      </x:c>
    </x:row>
    <x:row r="1402">
      <x:c r="A1402" s="14" t="str">
        <x:v>站点</x:v>
      </x:c>
      <x:c r="B1402" s="15" t="str">
        <x:v>巴西</x:v>
      </x:c>
      <x:c r="C1402" s="16" t="n">
        <x:v>46031</x:v>
      </x:c>
      <x:c r="D1402" s="17" t="n">
        <x:v>0</x:v>
      </x:c>
      <x:c r="E1402" s="17" t="n">
        <x:v>0</x:v>
      </x:c>
      <x:c r="F1402" s="18" t="n">
        <x:v>0</x:v>
      </x:c>
    </x:row>
    <x:row r="1403">
      <x:c r="A1403" s="14" t="str">
        <x:v>站点</x:v>
      </x:c>
      <x:c r="B1403" s="15" t="str">
        <x:v>巴西</x:v>
      </x:c>
      <x:c r="C1403" s="16" t="n">
        <x:v>46032</x:v>
      </x:c>
      <x:c r="D1403" s="17" t="n">
        <x:v>0</x:v>
      </x:c>
      <x:c r="E1403" s="17" t="n">
        <x:v>0</x:v>
      </x:c>
      <x:c r="F1403" s="18" t="n">
        <x:v>0</x:v>
      </x:c>
    </x:row>
    <x:row r="1404">
      <x:c r="A1404" s="14" t="str">
        <x:v>站点</x:v>
      </x:c>
      <x:c r="B1404" s="15" t="str">
        <x:v>巴西</x:v>
      </x:c>
      <x:c r="C1404" s="16" t="n">
        <x:v>46033</x:v>
      </x:c>
      <x:c r="D1404" s="17" t="n">
        <x:v>0</x:v>
      </x:c>
      <x:c r="E1404" s="17" t="n">
        <x:v>0</x:v>
      </x:c>
      <x:c r="F1404" s="18" t="n">
        <x:v>0</x:v>
      </x:c>
    </x:row>
    <x:row r="1405">
      <x:c r="A1405" s="14" t="str">
        <x:v>站点</x:v>
      </x:c>
      <x:c r="B1405" s="15" t="str">
        <x:v>巴西</x:v>
      </x:c>
      <x:c r="C1405" s="16" t="n">
        <x:v>46034</x:v>
      </x:c>
      <x:c r="D1405" s="17" t="n">
        <x:v>3</x:v>
      </x:c>
      <x:c r="E1405" s="17" t="n">
        <x:v>4</x:v>
      </x:c>
      <x:c r="F1405" s="18" t="n">
        <x:v>212.93</x:v>
      </x:c>
    </x:row>
    <x:row r="1406">
      <x:c r="A1406" s="14" t="str">
        <x:v>站点</x:v>
      </x:c>
      <x:c r="B1406" s="15" t="str">
        <x:v>巴西</x:v>
      </x:c>
      <x:c r="C1406" s="16" t="n">
        <x:v>46035</x:v>
      </x:c>
      <x:c r="D1406" s="17" t="n">
        <x:v>6</x:v>
      </x:c>
      <x:c r="E1406" s="17" t="n">
        <x:v>7</x:v>
      </x:c>
      <x:c r="F1406" s="18" t="n">
        <x:v>225.76</x:v>
      </x:c>
    </x:row>
    <x:row r="1407">
      <x:c r="A1407" s="14" t="str">
        <x:v>站点</x:v>
      </x:c>
      <x:c r="B1407" s="15" t="str">
        <x:v>巴西</x:v>
      </x:c>
      <x:c r="C1407" s="16" t="n">
        <x:v>46036</x:v>
      </x:c>
      <x:c r="D1407" s="17" t="n">
        <x:v>2</x:v>
      </x:c>
      <x:c r="E1407" s="17" t="n">
        <x:v>3</x:v>
      </x:c>
      <x:c r="F1407" s="18" t="n">
        <x:v>88.02</x:v>
      </x:c>
    </x:row>
    <x:row r="1408">
      <x:c r="A1408" s="14" t="str">
        <x:v>站点</x:v>
      </x:c>
      <x:c r="B1408" s="15" t="str">
        <x:v>巴西</x:v>
      </x:c>
      <x:c r="C1408" s="16" t="n">
        <x:v>46037</x:v>
      </x:c>
      <x:c r="D1408" s="17" t="n">
        <x:v>1</x:v>
      </x:c>
      <x:c r="E1408" s="17" t="n">
        <x:v>1</x:v>
      </x:c>
      <x:c r="F1408" s="18" t="n">
        <x:v>24.99</x:v>
      </x:c>
    </x:row>
    <x:row r="1409">
      <x:c r="A1409" s="14" t="str">
        <x:v>站点</x:v>
      </x:c>
      <x:c r="B1409" s="15" t="str">
        <x:v>巴西</x:v>
      </x:c>
      <x:c r="C1409" s="16" t="n">
        <x:v>46038</x:v>
      </x:c>
      <x:c r="D1409" s="17" t="n">
        <x:v>2</x:v>
      </x:c>
      <x:c r="E1409" s="17" t="n">
        <x:v>2</x:v>
      </x:c>
      <x:c r="F1409" s="18" t="n">
        <x:v>49.98</x:v>
      </x:c>
    </x:row>
    <x:row r="1410">
      <x:c r="A1410" s="14" t="str">
        <x:v>站点</x:v>
      </x:c>
      <x:c r="B1410" s="15" t="str">
        <x:v>巴西</x:v>
      </x:c>
      <x:c r="C1410" s="16" t="n">
        <x:v>46039</x:v>
      </x:c>
      <x:c r="D1410" s="17" t="n">
        <x:v>2</x:v>
      </x:c>
      <x:c r="E1410" s="17" t="n">
        <x:v>2</x:v>
      </x:c>
      <x:c r="F1410" s="18" t="n">
        <x:v>186.09</x:v>
      </x:c>
    </x:row>
    <x:row r="1411">
      <x:c r="A1411" s="14" t="str">
        <x:v>站点</x:v>
      </x:c>
      <x:c r="B1411" s="15" t="str">
        <x:v>巴西</x:v>
      </x:c>
      <x:c r="C1411" s="16" t="n">
        <x:v>46040</x:v>
      </x:c>
      <x:c r="D1411" s="17" t="n">
        <x:v>0</x:v>
      </x:c>
      <x:c r="E1411" s="17" t="n">
        <x:v>0</x:v>
      </x:c>
      <x:c r="F1411" s="18" t="n">
        <x:v>0</x:v>
      </x:c>
    </x:row>
    <x:row r="1412">
      <x:c r="A1412" s="14" t="str">
        <x:v>站点</x:v>
      </x:c>
      <x:c r="B1412" s="15" t="str">
        <x:v>巴西</x:v>
      </x:c>
      <x:c r="C1412" s="16" t="n">
        <x:v>46041</x:v>
      </x:c>
      <x:c r="D1412" s="17" t="n">
        <x:v>30</x:v>
      </x:c>
      <x:c r="E1412" s="17" t="n">
        <x:v>45</x:v>
      </x:c>
      <x:c r="F1412" s="18" t="n">
        <x:v>1504.24</x:v>
      </x:c>
    </x:row>
    <x:row r="1413">
      <x:c r="A1413" s="14" t="str">
        <x:v>站点</x:v>
      </x:c>
      <x:c r="B1413" s="15" t="str">
        <x:v>巴西</x:v>
      </x:c>
      <x:c r="C1413" s="16" t="n">
        <x:v>46042</x:v>
      </x:c>
      <x:c r="D1413" s="17" t="n">
        <x:v>3</x:v>
      </x:c>
      <x:c r="E1413" s="17" t="n">
        <x:v>3</x:v>
      </x:c>
      <x:c r="F1413" s="18" t="n">
        <x:v>236.76</x:v>
      </x:c>
    </x:row>
    <x:row r="1414">
      <x:c r="A1414" s="14" t="str">
        <x:v>站点</x:v>
      </x:c>
      <x:c r="B1414" s="15" t="str">
        <x:v>巴西</x:v>
      </x:c>
      <x:c r="C1414" s="16" t="n">
        <x:v>46043</x:v>
      </x:c>
      <x:c r="D1414" s="17" t="n">
        <x:v>2</x:v>
      </x:c>
      <x:c r="E1414" s="17" t="n">
        <x:v>2</x:v>
      </x:c>
      <x:c r="F1414" s="18" t="n">
        <x:v>112.99</x:v>
      </x:c>
    </x:row>
    <x:row r="1415">
      <x:c r="A1415" s="14" t="str">
        <x:v>站点</x:v>
      </x:c>
      <x:c r="B1415" s="15" t="str">
        <x:v>巴西</x:v>
      </x:c>
      <x:c r="C1415" s="16" t="n">
        <x:v>46044</x:v>
      </x:c>
      <x:c r="D1415" s="17" t="n">
        <x:v>9</x:v>
      </x:c>
      <x:c r="E1415" s="17" t="n">
        <x:v>10</x:v>
      </x:c>
      <x:c r="F1415" s="18" t="n">
        <x:v>781.13</x:v>
      </x:c>
    </x:row>
    <x:row r="1416">
      <x:c r="A1416" s="14" t="str">
        <x:v>站点</x:v>
      </x:c>
      <x:c r="B1416" s="15" t="str">
        <x:v>巴西</x:v>
      </x:c>
      <x:c r="C1416" s="16" t="n">
        <x:v>46045</x:v>
      </x:c>
      <x:c r="D1416" s="17" t="n">
        <x:v>7</x:v>
      </x:c>
      <x:c r="E1416" s="17" t="n">
        <x:v>9</x:v>
      </x:c>
      <x:c r="F1416" s="18" t="n">
        <x:v>383.74</x:v>
      </x:c>
    </x:row>
    <x:row r="1417">
      <x:c r="A1417" s="14" t="str">
        <x:v>站点</x:v>
      </x:c>
      <x:c r="B1417" s="15" t="str">
        <x:v>巴西</x:v>
      </x:c>
      <x:c r="C1417" s="16" t="n">
        <x:v>46046</x:v>
      </x:c>
      <x:c r="D1417" s="17" t="n">
        <x:v>0</x:v>
      </x:c>
      <x:c r="E1417" s="17" t="n">
        <x:v>0</x:v>
      </x:c>
      <x:c r="F1417" s="18" t="n">
        <x:v>0</x:v>
      </x:c>
    </x:row>
    <x:row r="1418">
      <x:c r="A1418" s="14" t="str">
        <x:v>站点</x:v>
      </x:c>
      <x:c r="B1418" s="15" t="str">
        <x:v>巴西</x:v>
      </x:c>
      <x:c r="C1418" s="16" t="n">
        <x:v>46047</x:v>
      </x:c>
      <x:c r="D1418" s="17" t="n">
        <x:v>0</x:v>
      </x:c>
      <x:c r="E1418" s="17" t="n">
        <x:v>0</x:v>
      </x:c>
      <x:c r="F1418" s="18" t="n">
        <x:v>0</x:v>
      </x:c>
    </x:row>
    <x:row r="1419">
      <x:c r="A1419" s="14" t="str">
        <x:v>站点</x:v>
      </x:c>
      <x:c r="B1419" s="15" t="str">
        <x:v>巴西</x:v>
      </x:c>
      <x:c r="C1419" s="16" t="n">
        <x:v>46048</x:v>
      </x:c>
      <x:c r="D1419" s="17" t="n">
        <x:v>9</x:v>
      </x:c>
      <x:c r="E1419" s="17" t="n">
        <x:v>13</x:v>
      </x:c>
      <x:c r="F1419" s="18" t="n">
        <x:v>527.05</x:v>
      </x:c>
    </x:row>
    <x:row r="1420">
      <x:c r="A1420" s="14" t="str">
        <x:v>站点</x:v>
      </x:c>
      <x:c r="B1420" s="15" t="str">
        <x:v>巴西</x:v>
      </x:c>
      <x:c r="C1420" s="16" t="n">
        <x:v>46049</x:v>
      </x:c>
      <x:c r="D1420" s="17" t="n">
        <x:v>2</x:v>
      </x:c>
      <x:c r="E1420" s="17" t="n">
        <x:v>3</x:v>
      </x:c>
      <x:c r="F1420" s="18" t="n">
        <x:v>94.05</x:v>
      </x:c>
    </x:row>
    <x:row r="1421">
      <x:c r="A1421" s="14" t="str">
        <x:v>站点</x:v>
      </x:c>
      <x:c r="B1421" s="15" t="str">
        <x:v>巴西</x:v>
      </x:c>
      <x:c r="C1421" s="16" t="n">
        <x:v>46050</x:v>
      </x:c>
      <x:c r="D1421" s="17" t="n">
        <x:v>10</x:v>
      </x:c>
      <x:c r="E1421" s="17" t="n">
        <x:v>11</x:v>
      </x:c>
      <x:c r="F1421" s="18" t="n">
        <x:v>499.3</x:v>
      </x:c>
    </x:row>
    <x:row r="1422">
      <x:c r="A1422" s="14" t="str">
        <x:v>站点</x:v>
      </x:c>
      <x:c r="B1422" s="15" t="str">
        <x:v>巴西</x:v>
      </x:c>
      <x:c r="C1422" s="16" t="n">
        <x:v>46051</x:v>
      </x:c>
      <x:c r="D1422" s="17" t="n">
        <x:v>3</x:v>
      </x:c>
      <x:c r="E1422" s="17" t="n">
        <x:v>7</x:v>
      </x:c>
      <x:c r="F1422" s="18" t="n">
        <x:v>325.61</x:v>
      </x:c>
    </x:row>
    <x:row r="1423">
      <x:c r="A1423" s="14" t="str">
        <x:v>站点</x:v>
      </x:c>
      <x:c r="B1423" s="15" t="str">
        <x:v>巴西</x:v>
      </x:c>
      <x:c r="C1423" s="16" t="n">
        <x:v>46052</x:v>
      </x:c>
      <x:c r="D1423" s="17" t="n">
        <x:v>19</x:v>
      </x:c>
      <x:c r="E1423" s="17" t="n">
        <x:v>23</x:v>
      </x:c>
      <x:c r="F1423" s="18" t="n">
        <x:v>926.3</x:v>
      </x:c>
    </x:row>
    <x:row r="1424">
      <x:c r="A1424" s="14" t="str">
        <x:v>站点</x:v>
      </x:c>
      <x:c r="B1424" s="15" t="str">
        <x:v>巴西</x:v>
      </x:c>
      <x:c r="C1424" s="16" t="n">
        <x:v>46053</x:v>
      </x:c>
      <x:c r="D1424" s="17" t="n">
        <x:v>0</x:v>
      </x:c>
      <x:c r="E1424" s="17" t="n">
        <x:v>0</x:v>
      </x:c>
      <x:c r="F1424" s="18" t="n">
        <x:v>-0.21</x:v>
      </x:c>
    </x:row>
    <x:row r="1425">
      <x:c r="A1425" s="14" t="str">
        <x:v>站点</x:v>
      </x:c>
      <x:c r="B1425" s="15" t="str">
        <x:v>巴西</x:v>
      </x:c>
      <x:c r="C1425" s="16" t="n">
        <x:v>46054</x:v>
      </x:c>
      <x:c r="D1425" s="17" t="n">
        <x:v>0</x:v>
      </x:c>
      <x:c r="E1425" s="17" t="n">
        <x:v>0</x:v>
      </x:c>
      <x:c r="F1425" s="18" t="n">
        <x:v>0</x:v>
      </x:c>
    </x:row>
    <x:row r="1426">
      <x:c r="A1426" s="14" t="str">
        <x:v>站点</x:v>
      </x:c>
      <x:c r="B1426" s="15" t="str">
        <x:v>巴西</x:v>
      </x:c>
      <x:c r="C1426" s="16" t="n">
        <x:v>46055</x:v>
      </x:c>
      <x:c r="D1426" s="17" t="n">
        <x:v>22</x:v>
      </x:c>
      <x:c r="E1426" s="17" t="n">
        <x:v>24</x:v>
      </x:c>
      <x:c r="F1426" s="18" t="n">
        <x:v>1170.42</x:v>
      </x:c>
    </x:row>
    <x:row r="1427">
      <x:c r="A1427" s="14" t="str">
        <x:v>站点</x:v>
      </x:c>
      <x:c r="B1427" s="15" t="str">
        <x:v>巴西</x:v>
      </x:c>
      <x:c r="C1427" s="16" t="n">
        <x:v>46056</x:v>
      </x:c>
      <x:c r="D1427" s="17" t="n">
        <x:v>7</x:v>
      </x:c>
      <x:c r="E1427" s="17" t="n">
        <x:v>8</x:v>
      </x:c>
      <x:c r="F1427" s="18" t="n">
        <x:v>471.78</x:v>
      </x:c>
    </x:row>
    <x:row r="1428">
      <x:c r="A1428" s="14" t="str">
        <x:v>站点</x:v>
      </x:c>
      <x:c r="B1428" s="15" t="str">
        <x:v>巴西</x:v>
      </x:c>
      <x:c r="C1428" s="16" t="n">
        <x:v>46057</x:v>
      </x:c>
      <x:c r="D1428" s="17" t="n">
        <x:v>2</x:v>
      </x:c>
      <x:c r="E1428" s="17" t="n">
        <x:v>2</x:v>
      </x:c>
      <x:c r="F1428" s="18" t="n">
        <x:v>128.73</x:v>
      </x:c>
    </x:row>
    <x:row r="1429">
      <x:c r="A1429" s="14" t="str">
        <x:v>站点</x:v>
      </x:c>
      <x:c r="B1429" s="15" t="str">
        <x:v>巴西</x:v>
      </x:c>
      <x:c r="C1429" s="16" t="n">
        <x:v>46058</x:v>
      </x:c>
      <x:c r="D1429" s="17" t="n">
        <x:v>11</x:v>
      </x:c>
      <x:c r="E1429" s="17" t="n">
        <x:v>11</x:v>
      </x:c>
      <x:c r="F1429" s="18" t="n">
        <x:v>671.46</x:v>
      </x:c>
    </x:row>
    <x:row r="1430">
      <x:c r="A1430" s="14" t="str">
        <x:v>站点</x:v>
      </x:c>
      <x:c r="B1430" s="15" t="str">
        <x:v>巴西</x:v>
      </x:c>
      <x:c r="C1430" s="16" t="n">
        <x:v>46059</x:v>
      </x:c>
      <x:c r="D1430" s="17" t="n">
        <x:v>3</x:v>
      </x:c>
      <x:c r="E1430" s="17" t="n">
        <x:v>4</x:v>
      </x:c>
      <x:c r="F1430" s="18" t="n">
        <x:v>210.53</x:v>
      </x:c>
    </x:row>
    <x:row r="1431">
      <x:c r="A1431" s="14" t="str">
        <x:v>站点</x:v>
      </x:c>
      <x:c r="B1431" s="15" t="str">
        <x:v>巴西</x:v>
      </x:c>
      <x:c r="C1431" s="16" t="n">
        <x:v>46060</x:v>
      </x:c>
      <x:c r="D1431" s="17" t="n">
        <x:v>1</x:v>
      </x:c>
      <x:c r="E1431" s="17" t="n">
        <x:v>1</x:v>
      </x:c>
      <x:c r="F1431" s="18" t="n">
        <x:v>43.74</x:v>
      </x:c>
    </x:row>
    <x:row r="1432">
      <x:c r="A1432" s="14" t="str">
        <x:v>站点</x:v>
      </x:c>
      <x:c r="B1432" s="15" t="str">
        <x:v>巴西</x:v>
      </x:c>
      <x:c r="C1432" s="16" t="n">
        <x:v>46061</x:v>
      </x:c>
      <x:c r="D1432" s="17" t="n">
        <x:v>0</x:v>
      </x:c>
      <x:c r="E1432" s="17" t="n">
        <x:v>0</x:v>
      </x:c>
      <x:c r="F1432" s="18" t="n">
        <x:v>0</x:v>
      </x:c>
    </x:row>
    <x:row r="1433">
      <x:c r="A1433" s="14" t="str">
        <x:v>站点</x:v>
      </x:c>
      <x:c r="B1433" s="15" t="str">
        <x:v>巴西</x:v>
      </x:c>
      <x:c r="C1433" s="16" t="n">
        <x:v>46062</x:v>
      </x:c>
      <x:c r="D1433" s="17" t="n">
        <x:v>7</x:v>
      </x:c>
      <x:c r="E1433" s="17" t="n">
        <x:v>7</x:v>
      </x:c>
      <x:c r="F1433" s="18" t="n">
        <x:v>305.29</x:v>
      </x:c>
    </x:row>
    <x:row r="1434">
      <x:c r="A1434" s="14" t="str">
        <x:v>站点</x:v>
      </x:c>
      <x:c r="B1434" s="15" t="str">
        <x:v>巴西</x:v>
      </x:c>
      <x:c r="C1434" s="16" t="n">
        <x:v>46063</x:v>
      </x:c>
      <x:c r="D1434" s="17" t="n">
        <x:v>10</x:v>
      </x:c>
      <x:c r="E1434" s="17" t="n">
        <x:v>11</x:v>
      </x:c>
      <x:c r="F1434" s="18" t="n">
        <x:v>723.62</x:v>
      </x:c>
    </x:row>
    <x:row r="1435">
      <x:c r="A1435" s="14" t="str">
        <x:v>站点</x:v>
      </x:c>
      <x:c r="B1435" s="15" t="str">
        <x:v>巴西</x:v>
      </x:c>
      <x:c r="C1435" s="16" t="n">
        <x:v>46064</x:v>
      </x:c>
      <x:c r="D1435" s="17" t="n">
        <x:v>2</x:v>
      </x:c>
      <x:c r="E1435" s="17" t="n">
        <x:v>2</x:v>
      </x:c>
      <x:c r="F1435" s="18" t="n">
        <x:v>118.73</x:v>
      </x:c>
    </x:row>
    <x:row r="1436">
      <x:c r="A1436" s="14" t="str">
        <x:v>站点</x:v>
      </x:c>
      <x:c r="B1436" s="15" t="str">
        <x:v>巴西</x:v>
      </x:c>
      <x:c r="C1436" s="16" t="n">
        <x:v>46065</x:v>
      </x:c>
      <x:c r="D1436" s="17" t="n">
        <x:v>0</x:v>
      </x:c>
      <x:c r="E1436" s="17" t="n">
        <x:v>0</x:v>
      </x:c>
      <x:c r="F1436" s="18" t="n">
        <x:v>0</x:v>
      </x:c>
    </x:row>
    <x:row r="1437">
      <x:c r="A1437" s="14" t="str">
        <x:v>站点</x:v>
      </x:c>
      <x:c r="B1437" s="15" t="str">
        <x:v>巴西</x:v>
      </x:c>
      <x:c r="C1437" s="16" t="n">
        <x:v>46066</x:v>
      </x:c>
      <x:c r="D1437" s="17" t="n">
        <x:v>4</x:v>
      </x:c>
      <x:c r="E1437" s="17" t="n">
        <x:v>4</x:v>
      </x:c>
      <x:c r="F1437" s="18" t="n">
        <x:v>236.37</x:v>
      </x:c>
    </x:row>
    <x:row r="1438">
      <x:c r="A1438" s="14" t="str">
        <x:v>站点</x:v>
      </x:c>
      <x:c r="B1438" s="15" t="str">
        <x:v>巴西</x:v>
      </x:c>
      <x:c r="C1438" s="16" t="n">
        <x:v>46067</x:v>
      </x:c>
      <x:c r="D1438" s="17" t="n">
        <x:v>0</x:v>
      </x:c>
      <x:c r="E1438" s="17" t="n">
        <x:v>0</x:v>
      </x:c>
      <x:c r="F1438" s="18" t="n">
        <x:v>0</x:v>
      </x:c>
    </x:row>
    <x:row r="1439">
      <x:c r="A1439" s="14" t="str">
        <x:v>站点</x:v>
      </x:c>
      <x:c r="B1439" s="15" t="str">
        <x:v>巴西</x:v>
      </x:c>
      <x:c r="C1439" s="16" t="n">
        <x:v>46068</x:v>
      </x:c>
      <x:c r="D1439" s="17" t="n">
        <x:v>0</x:v>
      </x:c>
      <x:c r="E1439" s="17" t="n">
        <x:v>0</x:v>
      </x:c>
      <x:c r="F1439" s="18" t="n">
        <x:v>0</x:v>
      </x:c>
    </x:row>
    <x:row r="1440">
      <x:c r="A1440" s="14" t="str">
        <x:v>站点</x:v>
      </x:c>
      <x:c r="B1440" s="15" t="str">
        <x:v>巴西</x:v>
      </x:c>
      <x:c r="C1440" s="16" t="n">
        <x:v>46069</x:v>
      </x:c>
      <x:c r="D1440" s="17" t="n">
        <x:v>0</x:v>
      </x:c>
      <x:c r="E1440" s="17" t="n">
        <x:v>0</x:v>
      </x:c>
      <x:c r="F1440" s="18" t="n">
        <x:v>0</x:v>
      </x:c>
    </x:row>
    <x:row r="1441">
      <x:c r="A1441" s="14" t="str">
        <x:v>站点</x:v>
      </x:c>
      <x:c r="B1441" s="15" t="str">
        <x:v>巴西</x:v>
      </x:c>
      <x:c r="C1441" s="16" t="n">
        <x:v>46070</x:v>
      </x:c>
      <x:c r="D1441" s="17" t="n">
        <x:v>0</x:v>
      </x:c>
      <x:c r="E1441" s="17" t="n">
        <x:v>0</x:v>
      </x:c>
      <x:c r="F1441" s="18" t="n">
        <x:v>0</x:v>
      </x:c>
    </x:row>
    <x:row r="1442">
      <x:c r="A1442" s="14" t="str">
        <x:v>站点</x:v>
      </x:c>
      <x:c r="B1442" s="15" t="str">
        <x:v>巴西</x:v>
      </x:c>
      <x:c r="C1442" s="16" t="n">
        <x:v>46071</x:v>
      </x:c>
      <x:c r="D1442" s="17" t="n">
        <x:v>2</x:v>
      </x:c>
      <x:c r="E1442" s="17" t="n">
        <x:v>2</x:v>
      </x:c>
      <x:c r="F1442" s="18" t="n">
        <x:v>113.73</x:v>
      </x:c>
    </x:row>
    <x:row r="1443">
      <x:c r="A1443" s="14" t="str">
        <x:v>站点</x:v>
      </x:c>
      <x:c r="B1443" s="15" t="str">
        <x:v>巴西</x:v>
      </x:c>
      <x:c r="C1443" s="16" t="n">
        <x:v>46072</x:v>
      </x:c>
      <x:c r="D1443" s="17" t="n">
        <x:v>5</x:v>
      </x:c>
      <x:c r="E1443" s="17" t="n">
        <x:v>5</x:v>
      </x:c>
      <x:c r="F1443" s="18" t="n">
        <x:v>284.94</x:v>
      </x:c>
    </x:row>
    <x:row r="1444">
      <x:c r="A1444" s="14" t="str">
        <x:v>站点</x:v>
      </x:c>
      <x:c r="B1444" s="15" t="str">
        <x:v>巴西</x:v>
      </x:c>
      <x:c r="C1444" s="16" t="n">
        <x:v>46073</x:v>
      </x:c>
      <x:c r="D1444" s="17" t="n">
        <x:v>2</x:v>
      </x:c>
      <x:c r="E1444" s="17" t="n">
        <x:v>2</x:v>
      </x:c>
      <x:c r="F1444" s="18" t="n">
        <x:v>109.98</x:v>
      </x:c>
    </x:row>
    <x:row r="1445">
      <x:c r="A1445" s="14" t="str">
        <x:v>站点</x:v>
      </x:c>
      <x:c r="B1445" s="15" t="str">
        <x:v>巴西</x:v>
      </x:c>
      <x:c r="C1445" s="16" t="n">
        <x:v>46074</x:v>
      </x:c>
      <x:c r="D1445" s="17" t="n">
        <x:v>0</x:v>
      </x:c>
      <x:c r="E1445" s="17" t="n">
        <x:v>0</x:v>
      </x:c>
      <x:c r="F1445" s="18" t="n">
        <x:v>0</x:v>
      </x:c>
    </x:row>
    <x:row r="1446">
      <x:c r="A1446" s="14" t="str">
        <x:v>站点</x:v>
      </x:c>
      <x:c r="B1446" s="15" t="str">
        <x:v>巴西</x:v>
      </x:c>
      <x:c r="C1446" s="16" t="n">
        <x:v>46075</x:v>
      </x:c>
      <x:c r="D1446" s="17" t="n">
        <x:v>0</x:v>
      </x:c>
      <x:c r="E1446" s="17" t="n">
        <x:v>0</x:v>
      </x:c>
      <x:c r="F1446" s="18" t="n">
        <x:v>0</x:v>
      </x:c>
    </x:row>
    <x:row r="1447">
      <x:c r="A1447" s="14" t="str">
        <x:v>站点</x:v>
      </x:c>
      <x:c r="B1447" s="15" t="str">
        <x:v>巴西</x:v>
      </x:c>
      <x:c r="C1447" s="16" t="n">
        <x:v>46076</x:v>
      </x:c>
      <x:c r="D1447" s="17" t="n">
        <x:v>6</x:v>
      </x:c>
      <x:c r="E1447" s="17" t="n">
        <x:v>6</x:v>
      </x:c>
      <x:c r="F1447" s="18" t="n">
        <x:v>328.85</x:v>
      </x:c>
    </x:row>
    <x:row r="1448">
      <x:c r="A1448" s="14" t="str">
        <x:v>站点</x:v>
      </x:c>
      <x:c r="B1448" s="15" t="str">
        <x:v>巴西</x:v>
      </x:c>
      <x:c r="C1448" s="16" t="n">
        <x:v>46077</x:v>
      </x:c>
      <x:c r="D1448" s="17" t="n">
        <x:v>1</x:v>
      </x:c>
      <x:c r="E1448" s="17" t="n">
        <x:v>1</x:v>
      </x:c>
      <x:c r="F1448" s="18" t="n">
        <x:v>48.74</x:v>
      </x:c>
    </x:row>
    <x:row r="1449">
      <x:c r="A1449" s="14" t="str">
        <x:v>站点</x:v>
      </x:c>
      <x:c r="B1449" s="15" t="str">
        <x:v>巴西</x:v>
      </x:c>
      <x:c r="C1449" s="16" t="n">
        <x:v>46078</x:v>
      </x:c>
      <x:c r="D1449" s="17" t="n">
        <x:v>10</x:v>
      </x:c>
      <x:c r="E1449" s="17" t="n">
        <x:v>13</x:v>
      </x:c>
      <x:c r="F1449" s="18" t="n">
        <x:v>776.1</x:v>
      </x:c>
    </x:row>
    <x:row r="1450">
      <x:c r="A1450" s="14" t="str">
        <x:v>站点</x:v>
      </x:c>
      <x:c r="B1450" s="15" t="str">
        <x:v>巴西</x:v>
      </x:c>
      <x:c r="C1450" s="16" t="n">
        <x:v>46079</x:v>
      </x:c>
      <x:c r="D1450" s="17" t="n">
        <x:v>5</x:v>
      </x:c>
      <x:c r="E1450" s="17" t="n">
        <x:v>6</x:v>
      </x:c>
      <x:c r="F1450" s="18" t="n">
        <x:v>386.18</x:v>
      </x:c>
    </x:row>
    <x:row r="1451">
      <x:c r="A1451" s="14" t="str">
        <x:v>站点</x:v>
      </x:c>
      <x:c r="B1451" s="15" t="str">
        <x:v>巴西</x:v>
      </x:c>
      <x:c r="C1451" s="16" t="n">
        <x:v>46080</x:v>
      </x:c>
      <x:c r="D1451" s="17" t="n">
        <x:v>4</x:v>
      </x:c>
      <x:c r="E1451" s="17" t="n">
        <x:v>4</x:v>
      </x:c>
      <x:c r="F1451" s="18" t="n">
        <x:v>237.45</x:v>
      </x:c>
    </x:row>
    <x:row r="1452">
      <x:c r="A1452" s="14" t="str">
        <x:v>站点</x:v>
      </x:c>
      <x:c r="B1452" s="15" t="str">
        <x:v>巴西</x:v>
      </x:c>
      <x:c r="C1452" s="16" t="n">
        <x:v>46081</x:v>
      </x:c>
      <x:c r="D1452" s="17" t="n">
        <x:v>1</x:v>
      </x:c>
      <x:c r="E1452" s="17" t="n">
        <x:v>1</x:v>
      </x:c>
      <x:c r="F1452" s="18" t="n">
        <x:v>69.63</x:v>
      </x:c>
    </x:row>
    <x:row r="1453">
      <x:c r="A1453" s="14" t="str">
        <x:v>站点</x:v>
      </x:c>
      <x:c r="B1453" s="15" t="str">
        <x:v>巴西</x:v>
      </x:c>
      <x:c r="C1453" s="16" t="n">
        <x:v>46082</x:v>
      </x:c>
      <x:c r="D1453" s="17" t="n">
        <x:v>0</x:v>
      </x:c>
      <x:c r="E1453" s="17" t="n">
        <x:v>0</x:v>
      </x:c>
      <x:c r="F1453" s="18" t="n">
        <x:v>0</x:v>
      </x:c>
    </x:row>
    <x:row r="1454">
      <x:c r="A1454" s="14" t="str">
        <x:v>站点</x:v>
      </x:c>
      <x:c r="B1454" s="15" t="str">
        <x:v>巴西</x:v>
      </x:c>
      <x:c r="C1454" s="16" t="n">
        <x:v>46083</x:v>
      </x:c>
      <x:c r="D1454" s="17" t="n">
        <x:v>8</x:v>
      </x:c>
      <x:c r="E1454" s="17" t="n">
        <x:v>9</x:v>
      </x:c>
      <x:c r="F1454" s="18" t="n">
        <x:v>558.64</x:v>
      </x:c>
    </x:row>
    <x:row r="1455">
      <x:c r="A1455" s="14" t="str">
        <x:v>站点</x:v>
      </x:c>
      <x:c r="B1455" s="15" t="str">
        <x:v>巴西</x:v>
      </x:c>
      <x:c r="C1455" s="16" t="n">
        <x:v>46084</x:v>
      </x:c>
      <x:c r="D1455" s="17" t="n">
        <x:v>9</x:v>
      </x:c>
      <x:c r="E1455" s="17" t="n">
        <x:v>12</x:v>
      </x:c>
      <x:c r="F1455" s="18" t="n">
        <x:v>723.61</x:v>
      </x:c>
    </x:row>
    <x:row r="1456">
      <x:c r="A1456" s="14" t="str">
        <x:v>站点</x:v>
      </x:c>
      <x:c r="B1456" s="15" t="str">
        <x:v>巴西</x:v>
      </x:c>
      <x:c r="C1456" s="16" t="n">
        <x:v>46085</x:v>
      </x:c>
      <x:c r="D1456" s="17" t="n">
        <x:v>5</x:v>
      </x:c>
      <x:c r="E1456" s="17" t="n">
        <x:v>5</x:v>
      </x:c>
      <x:c r="F1456" s="18" t="n">
        <x:v>348.69</x:v>
      </x:c>
    </x:row>
    <x:row r="1457">
      <x:c r="A1457" s="14" t="str">
        <x:v>站点</x:v>
      </x:c>
      <x:c r="B1457" s="15" t="str">
        <x:v>巴西</x:v>
      </x:c>
      <x:c r="C1457" s="16" t="n">
        <x:v>46086</x:v>
      </x:c>
      <x:c r="D1457" s="17" t="n">
        <x:v>3</x:v>
      </x:c>
      <x:c r="E1457" s="17" t="n">
        <x:v>3</x:v>
      </x:c>
      <x:c r="F1457" s="18" t="n">
        <x:v>208.72</x:v>
      </x:c>
    </x:row>
    <x:row r="1458">
      <x:c r="A1458" s="14" t="str">
        <x:v>站点</x:v>
      </x:c>
      <x:c r="B1458" s="15" t="str">
        <x:v>巴西</x:v>
      </x:c>
      <x:c r="C1458" s="16" t="n">
        <x:v>46087</x:v>
      </x:c>
      <x:c r="D1458" s="17" t="n">
        <x:v>3</x:v>
      </x:c>
      <x:c r="E1458" s="17" t="n">
        <x:v>4</x:v>
      </x:c>
      <x:c r="F1458" s="18" t="n">
        <x:v>257.45</x:v>
      </x:c>
    </x:row>
    <x:row r="1459">
      <x:c r="A1459" s="14" t="str">
        <x:v>站点</x:v>
      </x:c>
      <x:c r="B1459" s="15" t="str">
        <x:v>巴西</x:v>
      </x:c>
      <x:c r="C1459" s="16" t="n">
        <x:v>46088</x:v>
      </x:c>
      <x:c r="D1459" s="17" t="n">
        <x:v>0</x:v>
      </x:c>
      <x:c r="E1459" s="17" t="n">
        <x:v>0</x:v>
      </x:c>
      <x:c r="F1459" s="18" t="n">
        <x:v>0</x:v>
      </x:c>
    </x:row>
    <x:row r="1460">
      <x:c r="A1460" s="14" t="str">
        <x:v>站点</x:v>
      </x:c>
      <x:c r="B1460" s="15" t="str">
        <x:v>巴西</x:v>
      </x:c>
      <x:c r="C1460" s="16" t="n">
        <x:v>46089</x:v>
      </x:c>
      <x:c r="D1460" s="17" t="n">
        <x:v>0</x:v>
      </x:c>
      <x:c r="E1460" s="17" t="n">
        <x:v>0</x:v>
      </x:c>
      <x:c r="F1460" s="18" t="n">
        <x:v>0</x:v>
      </x:c>
    </x:row>
    <x:row r="1461">
      <x:c r="A1461" s="14" t="str">
        <x:v>站点</x:v>
      </x:c>
      <x:c r="B1461" s="15" t="str">
        <x:v>巴西</x:v>
      </x:c>
      <x:c r="C1461" s="16" t="n">
        <x:v>46090</x:v>
      </x:c>
      <x:c r="D1461" s="17" t="n">
        <x:v>7</x:v>
      </x:c>
      <x:c r="E1461" s="17" t="n">
        <x:v>7</x:v>
      </x:c>
      <x:c r="F1461" s="18" t="n">
        <x:v>483.59</x:v>
      </x:c>
    </x:row>
    <x:row r="1462">
      <x:c r="A1462" s="14" t="str">
        <x:v>站点</x:v>
      </x:c>
      <x:c r="B1462" s="15" t="str">
        <x:v>巴西</x:v>
      </x:c>
      <x:c r="C1462" s="16" t="n">
        <x:v>46091</x:v>
      </x:c>
      <x:c r="D1462" s="17" t="n">
        <x:v>7</x:v>
      </x:c>
      <x:c r="E1462" s="17" t="n">
        <x:v>7</x:v>
      </x:c>
      <x:c r="F1462" s="18" t="n">
        <x:v>370.22</x:v>
      </x:c>
    </x:row>
    <x:row r="1463">
      <x:c r="A1463" s="14" t="str">
        <x:v>站点</x:v>
      </x:c>
      <x:c r="B1463" s="15" t="str">
        <x:v>巴西</x:v>
      </x:c>
      <x:c r="C1463" s="16" t="n">
        <x:v>46092</x:v>
      </x:c>
      <x:c r="D1463" s="17" t="n">
        <x:v>5</x:v>
      </x:c>
      <x:c r="E1463" s="17" t="n">
        <x:v>5</x:v>
      </x:c>
      <x:c r="F1463" s="18" t="n">
        <x:v>289.8</x:v>
      </x:c>
    </x:row>
    <x:row r="1464">
      <x:c r="A1464" s="14" t="str">
        <x:v>站点</x:v>
      </x:c>
      <x:c r="B1464" s="15" t="str">
        <x:v>巴西</x:v>
      </x:c>
      <x:c r="C1464" s="16" t="n">
        <x:v>46093</x:v>
      </x:c>
      <x:c r="D1464" s="17" t="n">
        <x:v>3</x:v>
      </x:c>
      <x:c r="E1464" s="17" t="n">
        <x:v>3</x:v>
      </x:c>
      <x:c r="F1464" s="18" t="n">
        <x:v>146.66</x:v>
      </x:c>
    </x:row>
    <x:row r="1465">
      <x:c r="A1465" s="14" t="str">
        <x:v>站点</x:v>
      </x:c>
      <x:c r="B1465" s="15" t="str">
        <x:v>巴西</x:v>
      </x:c>
      <x:c r="C1465" s="16" t="n">
        <x:v>46094</x:v>
      </x:c>
      <x:c r="D1465" s="17" t="n">
        <x:v>2</x:v>
      </x:c>
      <x:c r="E1465" s="17" t="n">
        <x:v>3</x:v>
      </x:c>
      <x:c r="F1465" s="18" t="n">
        <x:v>211.91</x:v>
      </x:c>
    </x:row>
    <x:row r="1466">
      <x:c r="A1466" s="14" t="str">
        <x:v>站点</x:v>
      </x:c>
      <x:c r="B1466" s="15" t="str">
        <x:v>巴西</x:v>
      </x:c>
      <x:c r="C1466" s="16" t="n">
        <x:v>46095</x:v>
      </x:c>
      <x:c r="D1466" s="17" t="n">
        <x:v>1</x:v>
      </x:c>
      <x:c r="E1466" s="17" t="n">
        <x:v>1</x:v>
      </x:c>
      <x:c r="F1466" s="18" t="n">
        <x:v>81.24</x:v>
      </x:c>
    </x:row>
    <x:row r="1467">
      <x:c r="A1467" s="14" t="str">
        <x:v>站点</x:v>
      </x:c>
      <x:c r="B1467" s="15" t="str">
        <x:v>巴西</x:v>
      </x:c>
      <x:c r="C1467" s="16" t="n">
        <x:v>46096</x:v>
      </x:c>
      <x:c r="D1467" s="17" t="n">
        <x:v>0</x:v>
      </x:c>
      <x:c r="E1467" s="17" t="n">
        <x:v>0</x:v>
      </x:c>
      <x:c r="F1467" s="18" t="n">
        <x:v>0</x:v>
      </x:c>
    </x:row>
    <x:row r="1468">
      <x:c r="A1468" s="14" t="str">
        <x:v>站点</x:v>
      </x:c>
      <x:c r="B1468" s="15" t="str">
        <x:v>巴西</x:v>
      </x:c>
      <x:c r="C1468" s="16" t="n">
        <x:v>46097</x:v>
      </x:c>
      <x:c r="D1468" s="17" t="n">
        <x:v>1</x:v>
      </x:c>
      <x:c r="E1468" s="17" t="n">
        <x:v>1</x:v>
      </x:c>
      <x:c r="F1468" s="18" t="n">
        <x:v>69.99</x:v>
      </x:c>
    </x:row>
    <x:row r="1469">
      <x:c r="A1469" s="14" t="str">
        <x:v>站点</x:v>
      </x:c>
      <x:c r="B1469" s="15" t="str">
        <x:v>巴西</x:v>
      </x:c>
      <x:c r="C1469" s="16" t="n">
        <x:v>46098</x:v>
      </x:c>
      <x:c r="D1469" s="17" t="n">
        <x:v>4</x:v>
      </x:c>
      <x:c r="E1469" s="17" t="n">
        <x:v>4</x:v>
      </x:c>
      <x:c r="F1469" s="18" t="n">
        <x:v>228.02</x:v>
      </x:c>
    </x:row>
    <x:row r="1470">
      <x:c r="A1470" s="14" t="str">
        <x:v>站点</x:v>
      </x:c>
      <x:c r="B1470" s="15" t="str">
        <x:v>巴西</x:v>
      </x:c>
      <x:c r="C1470" s="16" t="n">
        <x:v>46099</x:v>
      </x:c>
      <x:c r="D1470" s="17" t="n">
        <x:v>6</x:v>
      </x:c>
      <x:c r="E1470" s="17" t="n">
        <x:v>7</x:v>
      </x:c>
      <x:c r="F1470" s="18" t="n">
        <x:v>451.91</x:v>
      </x:c>
    </x:row>
    <x:row r="1471">
      <x:c r="A1471" s="14" t="str">
        <x:v>站点</x:v>
      </x:c>
      <x:c r="B1471" s="15" t="str">
        <x:v>巴西</x:v>
      </x:c>
      <x:c r="C1471" s="16" t="n">
        <x:v>46100</x:v>
      </x:c>
      <x:c r="D1471" s="17" t="n">
        <x:v>3</x:v>
      </x:c>
      <x:c r="E1471" s="17" t="n">
        <x:v>3</x:v>
      </x:c>
      <x:c r="F1471" s="18" t="n">
        <x:v>156.53</x:v>
      </x:c>
    </x:row>
    <x:row r="1472">
      <x:c r="A1472" s="14" t="str">
        <x:v>站点</x:v>
      </x:c>
      <x:c r="B1472" s="15" t="str">
        <x:v>巴西</x:v>
      </x:c>
      <x:c r="C1472" s="16" t="n">
        <x:v>46101</x:v>
      </x:c>
      <x:c r="D1472" s="17" t="n">
        <x:v>0</x:v>
      </x:c>
      <x:c r="E1472" s="17" t="n">
        <x:v>0</x:v>
      </x:c>
      <x:c r="F1472" s="18" t="n">
        <x:v>0</x:v>
      </x:c>
    </x:row>
    <x:row r="1473">
      <x:c r="A1473" s="14" t="str">
        <x:v>站点</x:v>
      </x:c>
      <x:c r="B1473" s="15" t="str">
        <x:v>巴西</x:v>
      </x:c>
      <x:c r="C1473" s="16" t="n">
        <x:v>46102</x:v>
      </x:c>
      <x:c r="D1473" s="17" t="n">
        <x:v>1</x:v>
      </x:c>
      <x:c r="E1473" s="17" t="n">
        <x:v>1</x:v>
      </x:c>
      <x:c r="F1473" s="18" t="n">
        <x:v>24.99</x:v>
      </x:c>
    </x:row>
    <x:row r="1474">
      <x:c r="A1474" s="14" t="str">
        <x:v>站点</x:v>
      </x:c>
      <x:c r="B1474" s="15" t="str">
        <x:v>巴西</x:v>
      </x:c>
      <x:c r="C1474" s="16" t="n">
        <x:v>46103</x:v>
      </x:c>
      <x:c r="D1474" s="17" t="n">
        <x:v>0</x:v>
      </x:c>
      <x:c r="E1474" s="17" t="n">
        <x:v>0</x:v>
      </x:c>
      <x:c r="F1474" s="18" t="n">
        <x:v>0</x:v>
      </x:c>
    </x:row>
    <x:row r="1475">
      <x:c r="A1475" s="14" t="str">
        <x:v>站点</x:v>
      </x:c>
      <x:c r="B1475" s="15" t="str">
        <x:v>巴西</x:v>
      </x:c>
      <x:c r="C1475" s="16" t="n">
        <x:v>46104</x:v>
      </x:c>
      <x:c r="D1475" s="17" t="n">
        <x:v>3</x:v>
      </x:c>
      <x:c r="E1475" s="17" t="n">
        <x:v>4</x:v>
      </x:c>
      <x:c r="F1475" s="18" t="n">
        <x:v>387.47</x:v>
      </x:c>
    </x:row>
    <x:row r="1476">
      <x:c r="A1476" s="14" t="str">
        <x:v>站点</x:v>
      </x:c>
      <x:c r="B1476" s="15" t="str">
        <x:v>巴西</x:v>
      </x:c>
      <x:c r="C1476" s="16" t="n">
        <x:v>46105</x:v>
      </x:c>
      <x:c r="D1476" s="17" t="n">
        <x:v>2</x:v>
      </x:c>
      <x:c r="E1476" s="17" t="n">
        <x:v>3</x:v>
      </x:c>
      <x:c r="F1476" s="18" t="n">
        <x:v>217.33</x:v>
      </x:c>
    </x:row>
    <x:row r="1477">
      <x:c r="A1477" s="14" t="str">
        <x:v>站点</x:v>
      </x:c>
      <x:c r="B1477" s="15" t="str">
        <x:v>巴西</x:v>
      </x:c>
      <x:c r="C1477" s="16" t="n">
        <x:v>46106</x:v>
      </x:c>
      <x:c r="D1477" s="17" t="n">
        <x:v>0</x:v>
      </x:c>
      <x:c r="E1477" s="17" t="n">
        <x:v>0</x:v>
      </x:c>
      <x:c r="F1477" s="18" t="n">
        <x:v>0</x:v>
      </x:c>
    </x:row>
    <x:row r="1478">
      <x:c r="A1478" s="14" t="str">
        <x:v>站点</x:v>
      </x:c>
      <x:c r="B1478" s="15" t="str">
        <x:v>巴西</x:v>
      </x:c>
      <x:c r="C1478" s="16" t="n">
        <x:v>46107</x:v>
      </x:c>
      <x:c r="D1478" s="17" t="n">
        <x:v>1</x:v>
      </x:c>
      <x:c r="E1478" s="17" t="n">
        <x:v>6</x:v>
      </x:c>
      <x:c r="F1478" s="18" t="n">
        <x:v>704.93</x:v>
      </x:c>
    </x:row>
    <x:row r="1479">
      <x:c r="A1479" s="14" t="str">
        <x:v>站点</x:v>
      </x:c>
      <x:c r="B1479" s="15" t="str">
        <x:v>巴西</x:v>
      </x:c>
      <x:c r="C1479" s="16" t="n">
        <x:v>46108</x:v>
      </x:c>
      <x:c r="D1479" s="17" t="n">
        <x:v>2</x:v>
      </x:c>
      <x:c r="E1479" s="17" t="n">
        <x:v>2</x:v>
      </x:c>
      <x:c r="F1479" s="18" t="n">
        <x:v>138.73</x:v>
      </x:c>
    </x:row>
    <x:row r="1480">
      <x:c r="A1480" s="14" t="str">
        <x:v>站点</x:v>
      </x:c>
      <x:c r="B1480" s="15" t="str">
        <x:v>巴西</x:v>
      </x:c>
      <x:c r="C1480" s="16" t="n">
        <x:v>46109</x:v>
      </x:c>
      <x:c r="D1480" s="17" t="n">
        <x:v>1</x:v>
      </x:c>
      <x:c r="E1480" s="17" t="n">
        <x:v>1</x:v>
      </x:c>
      <x:c r="F1480" s="18" t="n">
        <x:v>87.49</x:v>
      </x:c>
    </x:row>
    <x:row r="1481">
      <x:c r="A1481" s="14" t="str">
        <x:v>站点</x:v>
      </x:c>
      <x:c r="B1481" s="15" t="str">
        <x:v>巴西</x:v>
      </x:c>
      <x:c r="C1481" s="16" t="n">
        <x:v>46110</x:v>
      </x:c>
      <x:c r="D1481" s="17" t="n">
        <x:v>0</x:v>
      </x:c>
      <x:c r="E1481" s="17" t="n">
        <x:v>0</x:v>
      </x:c>
      <x:c r="F1481" s="18" t="n">
        <x:v>0</x:v>
      </x:c>
    </x:row>
    <x:row r="1482">
      <x:c r="A1482" s="14" t="str">
        <x:v>站点</x:v>
      </x:c>
      <x:c r="B1482" s="15" t="str">
        <x:v>巴西</x:v>
      </x:c>
      <x:c r="C1482" s="16" t="n">
        <x:v>46111</x:v>
      </x:c>
      <x:c r="D1482" s="17" t="n">
        <x:v>4</x:v>
      </x:c>
      <x:c r="E1482" s="17" t="n">
        <x:v>4</x:v>
      </x:c>
      <x:c r="F1482" s="18" t="n">
        <x:v>256.21</x:v>
      </x:c>
    </x:row>
    <x:row r="1483">
      <x:c r="A1483" s="14" t="str">
        <x:v>站点</x:v>
      </x:c>
      <x:c r="B1483" s="15" t="str">
        <x:v>巴西</x:v>
      </x:c>
      <x:c r="C1483" s="16" t="n">
        <x:v>46112</x:v>
      </x:c>
      <x:c r="D1483" s="17" t="n">
        <x:v>1</x:v>
      </x:c>
      <x:c r="E1483" s="17" t="n">
        <x:v>1</x:v>
      </x:c>
      <x:c r="F1483" s="18" t="n">
        <x:v>61.61</x:v>
      </x:c>
    </x:row>
    <x:row r="1484">
      <x:c r="A1484" s="14" t="str">
        <x:v>站点</x:v>
      </x:c>
      <x:c r="B1484" s="15" t="str">
        <x:v>巴西</x:v>
      </x:c>
      <x:c r="C1484" s="16" t="n">
        <x:v>46113</x:v>
      </x:c>
      <x:c r="D1484" s="17" t="n">
        <x:v>0</x:v>
      </x:c>
      <x:c r="E1484" s="17" t="n">
        <x:v>0</x:v>
      </x:c>
      <x:c r="F1484" s="18" t="n">
        <x:v>0</x:v>
      </x:c>
    </x:row>
    <x:row r="1485">
      <x:c r="A1485" s="14" t="str">
        <x:v>站点</x:v>
      </x:c>
      <x:c r="B1485" s="15" t="str">
        <x:v>巴西</x:v>
      </x:c>
      <x:c r="C1485" s="16" t="n">
        <x:v>46114</x:v>
      </x:c>
      <x:c r="D1485" s="17" t="n">
        <x:v>3</x:v>
      </x:c>
      <x:c r="E1485" s="17" t="n">
        <x:v>4</x:v>
      </x:c>
      <x:c r="F1485" s="18" t="n">
        <x:v>195.16</x:v>
      </x:c>
    </x:row>
    <x:row r="1486">
      <x:c r="A1486" s="14" t="str">
        <x:v>站点</x:v>
      </x:c>
      <x:c r="B1486" s="15" t="str">
        <x:v>巴西</x:v>
      </x:c>
      <x:c r="C1486" s="16" t="n">
        <x:v>46115</x:v>
      </x:c>
      <x:c r="D1486" s="17" t="n">
        <x:v>0</x:v>
      </x:c>
      <x:c r="E1486" s="17" t="n">
        <x:v>0</x:v>
      </x:c>
      <x:c r="F1486" s="18" t="n">
        <x:v>0</x:v>
      </x:c>
    </x:row>
    <x:row r="1487">
      <x:c r="A1487" s="14" t="str">
        <x:v>站点</x:v>
      </x:c>
      <x:c r="B1487" s="15" t="str">
        <x:v>巴西</x:v>
      </x:c>
      <x:c r="C1487" s="16" t="n">
        <x:v>46116</x:v>
      </x:c>
      <x:c r="D1487" s="17" t="n">
        <x:v>0</x:v>
      </x:c>
      <x:c r="E1487" s="17" t="n">
        <x:v>0</x:v>
      </x:c>
      <x:c r="F1487" s="18" t="n">
        <x:v>0</x:v>
      </x:c>
    </x:row>
    <x:row r="1488">
      <x:c r="A1488" s="14" t="str">
        <x:v>站点</x:v>
      </x:c>
      <x:c r="B1488" s="15" t="str">
        <x:v>巴西</x:v>
      </x:c>
      <x:c r="C1488" s="16" t="n">
        <x:v>46117</x:v>
      </x:c>
      <x:c r="D1488" s="17" t="n">
        <x:v>0</x:v>
      </x:c>
      <x:c r="E1488" s="17" t="n">
        <x:v>0</x:v>
      </x:c>
      <x:c r="F1488" s="18" t="n">
        <x:v>0</x:v>
      </x:c>
    </x:row>
    <x:row r="1489">
      <x:c r="A1489" s="14" t="str">
        <x:v>站点</x:v>
      </x:c>
      <x:c r="B1489" s="15" t="str">
        <x:v>巴西</x:v>
      </x:c>
      <x:c r="C1489" s="16" t="n">
        <x:v>46118</x:v>
      </x:c>
      <x:c r="D1489" s="17" t="n">
        <x:v>2</x:v>
      </x:c>
      <x:c r="E1489" s="17" t="n">
        <x:v>3</x:v>
      </x:c>
      <x:c r="F1489" s="18" t="n">
        <x:v>275.39</x:v>
      </x:c>
    </x:row>
    <x:row r="1490">
      <x:c r="A1490" s="14" t="str">
        <x:v>站点</x:v>
      </x:c>
      <x:c r="B1490" s="15" t="str">
        <x:v>巴西</x:v>
      </x:c>
      <x:c r="C1490" s="16" t="n">
        <x:v>46119</x:v>
      </x:c>
      <x:c r="D1490" s="17" t="n">
        <x:v>13</x:v>
      </x:c>
      <x:c r="E1490" s="17" t="n">
        <x:v>14</x:v>
      </x:c>
      <x:c r="F1490" s="18" t="n">
        <x:v>819.08</x:v>
      </x:c>
    </x:row>
    <x:row r="1491">
      <x:c r="A1491" s="14" t="str">
        <x:v>站点</x:v>
      </x:c>
      <x:c r="B1491" s="15" t="str">
        <x:v>巴西</x:v>
      </x:c>
      <x:c r="C1491" s="16" t="n">
        <x:v>46120</x:v>
      </x:c>
      <x:c r="D1491" s="17" t="n">
        <x:v>1</x:v>
      </x:c>
      <x:c r="E1491" s="17" t="n">
        <x:v>1</x:v>
      </x:c>
      <x:c r="F1491" s="18" t="n">
        <x:v>94.99</x:v>
      </x:c>
    </x:row>
    <x:row r="1492">
      <x:c r="A1492" s="14" t="str">
        <x:v>站点</x:v>
      </x:c>
      <x:c r="B1492" s="15" t="str">
        <x:v>巴西</x:v>
      </x:c>
      <x:c r="C1492" s="16" t="n">
        <x:v>46121</x:v>
      </x:c>
      <x:c r="D1492" s="17" t="n">
        <x:v>7</x:v>
      </x:c>
      <x:c r="E1492" s="17" t="n">
        <x:v>7</x:v>
      </x:c>
      <x:c r="F1492" s="18" t="n">
        <x:v>387.84</x:v>
      </x:c>
    </x:row>
    <x:row r="1493">
      <x:c r="A1493" s="14" t="str">
        <x:v>站点</x:v>
      </x:c>
      <x:c r="B1493" s="15" t="str">
        <x:v>巴西</x:v>
      </x:c>
      <x:c r="C1493" s="16" t="n">
        <x:v>46122</x:v>
      </x:c>
      <x:c r="D1493" s="17" t="n">
        <x:v>1</x:v>
      </x:c>
      <x:c r="E1493" s="17" t="n">
        <x:v>1</x:v>
      </x:c>
      <x:c r="F1493" s="18" t="n">
        <x:v>94.99</x:v>
      </x:c>
    </x:row>
    <x:row r="1494">
      <x:c r="A1494" s="14" t="str">
        <x:v>站点</x:v>
      </x:c>
      <x:c r="B1494" s="15" t="str">
        <x:v>巴西</x:v>
      </x:c>
      <x:c r="C1494" s="16" t="n">
        <x:v>46123</x:v>
      </x:c>
      <x:c r="D1494" s="17" t="n">
        <x:v>0</x:v>
      </x:c>
      <x:c r="E1494" s="17" t="n">
        <x:v>0</x:v>
      </x:c>
      <x:c r="F1494" s="18" t="n">
        <x:v>0</x:v>
      </x:c>
    </x:row>
    <x:row r="1495">
      <x:c r="A1495" s="14" t="str">
        <x:v>站点</x:v>
      </x:c>
      <x:c r="B1495" s="15" t="str">
        <x:v>巴西</x:v>
      </x:c>
      <x:c r="C1495" s="16" t="n">
        <x:v>46124</x:v>
      </x:c>
      <x:c r="D1495" s="17" t="n">
        <x:v>0</x:v>
      </x:c>
      <x:c r="E1495" s="17" t="n">
        <x:v>0</x:v>
      </x:c>
      <x:c r="F1495" s="18" t="n">
        <x:v>0</x:v>
      </x:c>
    </x:row>
    <x:row r="1496">
      <x:c r="A1496" s="14" t="str">
        <x:v>站点</x:v>
      </x:c>
      <x:c r="B1496" s="15" t="str">
        <x:v>巴西</x:v>
      </x:c>
      <x:c r="C1496" s="16" t="n">
        <x:v>46125</x:v>
      </x:c>
      <x:c r="D1496" s="17" t="n">
        <x:v>1</x:v>
      </x:c>
      <x:c r="E1496" s="17" t="n">
        <x:v>1</x:v>
      </x:c>
      <x:c r="F1496" s="18" t="n">
        <x:v>93.74</x:v>
      </x:c>
    </x:row>
    <x:row r="1497">
      <x:c r="A1497" s="14" t="str">
        <x:v>站点</x:v>
      </x:c>
      <x:c r="B1497" s="15" t="str">
        <x:v>巴西</x:v>
      </x:c>
      <x:c r="C1497" s="16" t="n">
        <x:v>46126</x:v>
      </x:c>
      <x:c r="D1497" s="17" t="n">
        <x:v>0</x:v>
      </x:c>
      <x:c r="E1497" s="17" t="n">
        <x:v>0</x:v>
      </x:c>
      <x:c r="F1497" s="18" t="n">
        <x:v>0</x:v>
      </x:c>
    </x:row>
    <x:row r="1498">
      <x:c r="A1498" s="14" t="str">
        <x:v>站点</x:v>
      </x:c>
      <x:c r="B1498" s="15" t="str">
        <x:v>巴西</x:v>
      </x:c>
      <x:c r="C1498" s="16" t="n">
        <x:v>46127</x:v>
      </x:c>
      <x:c r="D1498" s="17" t="n">
        <x:v>0</x:v>
      </x:c>
      <x:c r="E1498" s="17" t="n">
        <x:v>0</x:v>
      </x:c>
      <x:c r="F1498" s="18" t="n">
        <x:v>0</x:v>
      </x:c>
    </x:row>
    <x:row r="1499">
      <x:c r="A1499" s="14" t="str">
        <x:v>站点</x:v>
      </x:c>
      <x:c r="B1499" s="15" t="str">
        <x:v>巴西</x:v>
      </x:c>
      <x:c r="C1499" s="16" t="n">
        <x:v>46128</x:v>
      </x:c>
      <x:c r="D1499" s="17" t="n">
        <x:v>0</x:v>
      </x:c>
      <x:c r="E1499" s="17" t="n">
        <x:v>0</x:v>
      </x:c>
      <x:c r="F1499" s="18" t="n">
        <x:v>0</x:v>
      </x:c>
    </x:row>
    <x:row r="1500">
      <x:c r="A1500" s="14" t="str">
        <x:v>站点</x:v>
      </x:c>
      <x:c r="B1500" s="15" t="str">
        <x:v>巴西</x:v>
      </x:c>
      <x:c r="C1500" s="16" t="n">
        <x:v>46129</x:v>
      </x:c>
      <x:c r="D1500" s="17" t="n">
        <x:v>0</x:v>
      </x:c>
      <x:c r="E1500" s="17" t="n">
        <x:v>0</x:v>
      </x:c>
      <x:c r="F1500" s="18" t="n">
        <x:v>0</x:v>
      </x:c>
    </x:row>
    <x:row r="1501">
      <x:c r="A1501" s="14" t="str">
        <x:v>站点</x:v>
      </x:c>
      <x:c r="B1501" s="15" t="str">
        <x:v>巴西</x:v>
      </x:c>
      <x:c r="C1501" s="16" t="n">
        <x:v>46130</x:v>
      </x:c>
      <x:c r="D1501" s="17" t="n">
        <x:v>0</x:v>
      </x:c>
      <x:c r="E1501" s="17" t="n">
        <x:v>0</x:v>
      </x:c>
      <x:c r="F1501" s="18" t="n">
        <x:v>0</x:v>
      </x:c>
    </x:row>
    <x:row r="1502">
      <x:c r="A1502" s="14" t="str">
        <x:v>站点</x:v>
      </x:c>
      <x:c r="B1502" s="15" t="str">
        <x:v>巴西</x:v>
      </x:c>
      <x:c r="C1502" s="16" t="n">
        <x:v>46131</x:v>
      </x:c>
      <x:c r="D1502" s="17" t="n">
        <x:v>0</x:v>
      </x:c>
      <x:c r="E1502" s="17" t="n">
        <x:v>0</x:v>
      </x:c>
      <x:c r="F1502" s="18" t="n">
        <x:v>0</x:v>
      </x:c>
    </x:row>
    <x:row r="1503">
      <x:c r="A1503" s="14" t="str">
        <x:v>站点</x:v>
      </x:c>
      <x:c r="B1503" s="15" t="str">
        <x:v>巴西</x:v>
      </x:c>
      <x:c r="C1503" s="16" t="n">
        <x:v>46132</x:v>
      </x:c>
      <x:c r="D1503" s="17" t="n">
        <x:v>0</x:v>
      </x:c>
      <x:c r="E1503" s="17" t="n">
        <x:v>0</x:v>
      </x:c>
      <x:c r="F1503" s="18" t="n">
        <x:v>0</x:v>
      </x:c>
    </x:row>
    <x:row r="1504">
      <x:c r="A1504" s="14" t="str">
        <x:v>站点</x:v>
      </x:c>
      <x:c r="B1504" s="15" t="str">
        <x:v>巴西</x:v>
      </x:c>
      <x:c r="C1504" s="16" t="n">
        <x:v>46133</x:v>
      </x:c>
      <x:c r="D1504" s="17" t="n">
        <x:v>0</x:v>
      </x:c>
      <x:c r="E1504" s="17" t="n">
        <x:v>0</x:v>
      </x:c>
      <x:c r="F1504" s="18" t="n">
        <x:v>0</x:v>
      </x:c>
    </x:row>
    <x:row r="1505">
      <x:c r="A1505" s="14" t="str">
        <x:v>站点</x:v>
      </x:c>
      <x:c r="B1505" s="15" t="str">
        <x:v>巴西</x:v>
      </x:c>
      <x:c r="C1505" s="16" t="n">
        <x:v>46134</x:v>
      </x:c>
      <x:c r="D1505" s="17" t="n">
        <x:v>0</x:v>
      </x:c>
      <x:c r="E1505" s="17" t="n">
        <x:v>0</x:v>
      </x:c>
      <x:c r="F1505" s="18" t="n">
        <x:v>0</x:v>
      </x:c>
    </x:row>
    <x:row r="1506">
      <x:c r="A1506" s="14" t="str">
        <x:v>站点</x:v>
      </x:c>
      <x:c r="B1506" s="15" t="str">
        <x:v>巴西</x:v>
      </x:c>
      <x:c r="C1506" s="16" t="n">
        <x:v>46135</x:v>
      </x:c>
      <x:c r="D1506" s="17" t="n">
        <x:v>1</x:v>
      </x:c>
      <x:c r="E1506" s="17" t="n">
        <x:v>1</x:v>
      </x:c>
      <x:c r="F1506" s="18" t="n">
        <x:v>68.74</x:v>
      </x:c>
    </x:row>
    <x:row r="1507">
      <x:c r="A1507" s="14" t="str">
        <x:v>站点</x:v>
      </x:c>
      <x:c r="B1507" s="15" t="str">
        <x:v>巴西</x:v>
      </x:c>
      <x:c r="C1507" s="16" t="n">
        <x:v>46136</x:v>
      </x:c>
      <x:c r="D1507" s="17" t="n">
        <x:v>0</x:v>
      </x:c>
      <x:c r="E1507" s="17" t="n">
        <x:v>0</x:v>
      </x:c>
      <x:c r="F1507" s="18" t="n">
        <x:v>0</x:v>
      </x:c>
    </x:row>
    <x:row r="1508">
      <x:c r="A1508" s="14" t="str">
        <x:v>站点</x:v>
      </x:c>
      <x:c r="B1508" s="15" t="str">
        <x:v>巴西</x:v>
      </x:c>
      <x:c r="C1508" s="16" t="n">
        <x:v>46137</x:v>
      </x:c>
      <x:c r="D1508" s="17" t="n">
        <x:v>0</x:v>
      </x:c>
      <x:c r="E1508" s="17" t="n">
        <x:v>0</x:v>
      </x:c>
      <x:c r="F1508" s="18" t="n">
        <x:v>0</x:v>
      </x:c>
    </x:row>
    <x:row r="1509">
      <x:c r="A1509" s="14" t="str">
        <x:v>站点</x:v>
      </x:c>
      <x:c r="B1509" s="15" t="str">
        <x:v>巴西</x:v>
      </x:c>
      <x:c r="C1509" s="16" t="n">
        <x:v>46138</x:v>
      </x:c>
      <x:c r="D1509" s="17" t="n">
        <x:v>0</x:v>
      </x:c>
      <x:c r="E1509" s="17" t="n">
        <x:v>0</x:v>
      </x:c>
      <x:c r="F1509" s="18" t="n">
        <x:v>0</x:v>
      </x:c>
    </x:row>
    <x:row r="1510">
      <x:c r="A1510" s="14" t="str">
        <x:v>站点</x:v>
      </x:c>
      <x:c r="B1510" s="15" t="str">
        <x:v>巴西</x:v>
      </x:c>
      <x:c r="C1510" s="16" t="n">
        <x:v>46139</x:v>
      </x:c>
      <x:c r="D1510" s="17" t="n">
        <x:v>0</x:v>
      </x:c>
      <x:c r="E1510" s="17" t="n">
        <x:v>0</x:v>
      </x:c>
      <x:c r="F1510" s="18" t="n">
        <x:v>0</x:v>
      </x:c>
    </x:row>
    <x:row r="1511">
      <x:c r="A1511" s="14" t="str">
        <x:v>站点</x:v>
      </x:c>
      <x:c r="B1511" s="15" t="str">
        <x:v>巴西</x:v>
      </x:c>
      <x:c r="C1511" s="16" t="n">
        <x:v>46140</x:v>
      </x:c>
      <x:c r="D1511" s="17" t="n">
        <x:v>0</x:v>
      </x:c>
      <x:c r="E1511" s="17" t="n">
        <x:v>0</x:v>
      </x:c>
      <x:c r="F1511" s="18" t="n">
        <x:v>0</x:v>
      </x:c>
    </x:row>
    <x:row r="1512">
      <x:c r="A1512" s="14" t="str">
        <x:v>站点</x:v>
      </x:c>
      <x:c r="B1512" s="15" t="str">
        <x:v>巴西</x:v>
      </x:c>
      <x:c r="C1512" s="16" t="n">
        <x:v>46141</x:v>
      </x:c>
      <x:c r="D1512" s="17" t="n">
        <x:v>0</x:v>
      </x:c>
      <x:c r="E1512" s="17" t="n">
        <x:v>0</x:v>
      </x:c>
      <x:c r="F1512" s="18" t="n">
        <x:v>0</x:v>
      </x:c>
    </x:row>
    <x:row r="1513">
      <x:c r="A1513" s="14" t="str">
        <x:v>站点</x:v>
      </x:c>
      <x:c r="B1513" s="15" t="str">
        <x:v>巴西</x:v>
      </x:c>
      <x:c r="C1513" s="16" t="n">
        <x:v>46142</x:v>
      </x:c>
      <x:c r="D1513" s="17" t="n">
        <x:v>0</x:v>
      </x:c>
      <x:c r="E1513" s="17" t="n">
        <x:v>0</x:v>
      </x:c>
      <x:c r="F1513" s="18" t="n">
        <x:v>-0.03</x:v>
      </x:c>
    </x:row>
    <x:row r="1514">
      <x:c r="A1514" s="14" t="str">
        <x:v>站点</x:v>
      </x:c>
      <x:c r="B1514" s="15" t="str">
        <x:v>巴西</x:v>
      </x:c>
      <x:c r="C1514" s="16" t="n">
        <x:v>46143</x:v>
      </x:c>
      <x:c r="D1514" s="17" t="n">
        <x:v>0</x:v>
      </x:c>
      <x:c r="E1514" s="17" t="n">
        <x:v>0</x:v>
      </x:c>
      <x:c r="F1514" s="18" t="n">
        <x:v>0</x:v>
      </x:c>
    </x:row>
    <x:row r="1515">
      <x:c r="A1515" s="14" t="str">
        <x:v>站点</x:v>
      </x:c>
      <x:c r="B1515" s="15" t="str">
        <x:v>巴西</x:v>
      </x:c>
      <x:c r="C1515" s="16" t="n">
        <x:v>46144</x:v>
      </x:c>
      <x:c r="D1515" s="17" t="n">
        <x:v>0</x:v>
      </x:c>
      <x:c r="E1515" s="17" t="n">
        <x:v>0</x:v>
      </x:c>
      <x:c r="F1515" s="18" t="n">
        <x:v>0</x:v>
      </x:c>
    </x:row>
    <x:row r="1516">
      <x:c r="A1516" s="14" t="str">
        <x:v>站点</x:v>
      </x:c>
      <x:c r="B1516" s="15" t="str">
        <x:v>巴西</x:v>
      </x:c>
      <x:c r="C1516" s="16" t="n">
        <x:v>46145</x:v>
      </x:c>
      <x:c r="D1516" s="17" t="n">
        <x:v>0</x:v>
      </x:c>
      <x:c r="E1516" s="17" t="n">
        <x:v>0</x:v>
      </x:c>
      <x:c r="F1516" s="18" t="n">
        <x:v>0</x:v>
      </x:c>
    </x:row>
    <x:row r="1517">
      <x:c r="A1517" s="14" t="str">
        <x:v>站点</x:v>
      </x:c>
      <x:c r="B1517" s="15" t="str">
        <x:v>巴西</x:v>
      </x:c>
      <x:c r="C1517" s="16" t="n">
        <x:v>46146</x:v>
      </x:c>
      <x:c r="D1517" s="17" t="n">
        <x:v>0</x:v>
      </x:c>
      <x:c r="E1517" s="17" t="n">
        <x:v>0</x:v>
      </x:c>
      <x:c r="F1517" s="18" t="n">
        <x:v>0</x:v>
      </x:c>
    </x:row>
    <x:row r="1518">
      <x:c r="A1518" s="14" t="str">
        <x:v>站点</x:v>
      </x:c>
      <x:c r="B1518" s="15" t="str">
        <x:v>巴西</x:v>
      </x:c>
      <x:c r="C1518" s="16" t="n">
        <x:v>46147</x:v>
      </x:c>
      <x:c r="D1518" s="17" t="n">
        <x:v>0</x:v>
      </x:c>
      <x:c r="E1518" s="17" t="n">
        <x:v>0</x:v>
      </x:c>
      <x:c r="F1518" s="18" t="n">
        <x:v>0</x:v>
      </x:c>
    </x:row>
    <x:row r="1519">
      <x:c r="A1519" s="14" t="str">
        <x:v>站点</x:v>
      </x:c>
      <x:c r="B1519" s="15" t="str">
        <x:v>巴西</x:v>
      </x:c>
      <x:c r="C1519" s="16" t="n">
        <x:v>46148</x:v>
      </x:c>
      <x:c r="D1519" s="17" t="n">
        <x:v>0</x:v>
      </x:c>
      <x:c r="E1519" s="17" t="n">
        <x:v>0</x:v>
      </x:c>
      <x:c r="F1519" s="18" t="n">
        <x:v>0</x:v>
      </x:c>
    </x:row>
    <x:row r="1520">
      <x:c r="A1520" s="14" t="str">
        <x:v>站点</x:v>
      </x:c>
      <x:c r="B1520" s="15" t="str">
        <x:v>巴西</x:v>
      </x:c>
      <x:c r="C1520" s="16" t="n">
        <x:v>46149</x:v>
      </x:c>
      <x:c r="D1520" s="17" t="n">
        <x:v>0</x:v>
      </x:c>
      <x:c r="E1520" s="17" t="n">
        <x:v>0</x:v>
      </x:c>
      <x:c r="F1520" s="18" t="n">
        <x:v>0</x:v>
      </x:c>
    </x:row>
    <x:row r="1521">
      <x:c r="A1521" s="14" t="str">
        <x:v>站点</x:v>
      </x:c>
      <x:c r="B1521" s="15" t="str">
        <x:v>巴西</x:v>
      </x:c>
      <x:c r="C1521" s="16" t="n">
        <x:v>46150</x:v>
      </x:c>
      <x:c r="D1521" s="17" t="n">
        <x:v>0</x:v>
      </x:c>
      <x:c r="E1521" s="17" t="n">
        <x:v>0</x:v>
      </x:c>
      <x:c r="F1521" s="18" t="n">
        <x:v>0</x:v>
      </x:c>
    </x:row>
    <x:row r="1522">
      <x:c r="A1522" s="14" t="str">
        <x:v>站点</x:v>
      </x:c>
      <x:c r="B1522" s="15" t="str">
        <x:v>巴西</x:v>
      </x:c>
      <x:c r="C1522" s="16" t="n">
        <x:v>46151</x:v>
      </x:c>
      <x:c r="D1522" s="17" t="n">
        <x:v>0</x:v>
      </x:c>
      <x:c r="E1522" s="17" t="n">
        <x:v>0</x:v>
      </x:c>
      <x:c r="F1522" s="18" t="n">
        <x:v>0</x:v>
      </x:c>
    </x:row>
    <x:row r="1523">
      <x:c r="A1523" s="14" t="str">
        <x:v>站点</x:v>
      </x:c>
      <x:c r="B1523" s="15" t="str">
        <x:v>巴西</x:v>
      </x:c>
      <x:c r="C1523" s="16" t="n">
        <x:v>46152</x:v>
      </x:c>
      <x:c r="D1523" s="17" t="n">
        <x:v>0</x:v>
      </x:c>
      <x:c r="E1523" s="17" t="n">
        <x:v>0</x:v>
      </x:c>
      <x:c r="F1523" s="18" t="n">
        <x:v>0</x:v>
      </x:c>
    </x:row>
    <x:row r="1524">
      <x:c r="A1524" s="14" t="str">
        <x:v>站点</x:v>
      </x:c>
      <x:c r="B1524" s="15" t="str">
        <x:v>巴西</x:v>
      </x:c>
      <x:c r="C1524" s="16" t="n">
        <x:v>46153</x:v>
      </x:c>
      <x:c r="D1524" s="17" t="n">
        <x:v>0</x:v>
      </x:c>
      <x:c r="E1524" s="17" t="n">
        <x:v>0</x:v>
      </x:c>
      <x:c r="F1524" s="18" t="n">
        <x:v>0</x:v>
      </x:c>
    </x:row>
    <x:row r="1525">
      <x:c r="A1525" s="14" t="str">
        <x:v>站点</x:v>
      </x:c>
      <x:c r="B1525" s="15" t="str">
        <x:v>巴西</x:v>
      </x:c>
      <x:c r="C1525" s="16" t="n">
        <x:v>46154</x:v>
      </x:c>
      <x:c r="D1525" s="17" t="n">
        <x:v>0</x:v>
      </x:c>
      <x:c r="E1525" s="17" t="n">
        <x:v>0</x:v>
      </x:c>
      <x:c r="F1525" s="18" t="n">
        <x:v>0</x:v>
      </x:c>
    </x:row>
    <x:row r="1526">
      <x:c r="A1526" s="14" t="str">
        <x:v>站点</x:v>
      </x:c>
      <x:c r="B1526" s="15" t="str">
        <x:v>巴西</x:v>
      </x:c>
      <x:c r="C1526" s="16" t="n">
        <x:v>46155</x:v>
      </x:c>
      <x:c r="D1526" s="17" t="n">
        <x:v>0</x:v>
      </x:c>
      <x:c r="E1526" s="17" t="n">
        <x:v>0</x:v>
      </x:c>
      <x:c r="F1526" s="18" t="n">
        <x:v>0</x:v>
      </x:c>
    </x:row>
    <x:row r="1527">
      <x:c r="A1527" s="14" t="str">
        <x:v>站点</x:v>
      </x:c>
      <x:c r="B1527" s="15" t="str">
        <x:v>巴西</x:v>
      </x:c>
      <x:c r="C1527" s="16" t="n">
        <x:v>46156</x:v>
      </x:c>
      <x:c r="D1527" s="17" t="n">
        <x:v>0</x:v>
      </x:c>
      <x:c r="E1527" s="17" t="n">
        <x:v>0</x:v>
      </x:c>
      <x:c r="F1527" s="18" t="n">
        <x:v>0</x:v>
      </x:c>
    </x:row>
    <x:row r="1528">
      <x:c r="A1528" s="14" t="str">
        <x:v>站点</x:v>
      </x:c>
      <x:c r="B1528" s="15" t="str">
        <x:v>巴西</x:v>
      </x:c>
      <x:c r="C1528" s="16" t="n">
        <x:v>46157</x:v>
      </x:c>
      <x:c r="D1528" s="17" t="n">
        <x:v>0</x:v>
      </x:c>
      <x:c r="E1528" s="17" t="n">
        <x:v>0</x:v>
      </x:c>
      <x:c r="F1528" s="18" t="n">
        <x:v>0</x:v>
      </x:c>
    </x:row>
    <x:row r="1529">
      <x:c r="A1529" s="14" t="str">
        <x:v>站点</x:v>
      </x:c>
      <x:c r="B1529" s="15" t="str">
        <x:v>巴西</x:v>
      </x:c>
      <x:c r="C1529" s="16" t="n">
        <x:v>46158</x:v>
      </x:c>
      <x:c r="D1529" s="17" t="n">
        <x:v>0</x:v>
      </x:c>
      <x:c r="E1529" s="17" t="n">
        <x:v>0</x:v>
      </x:c>
      <x:c r="F1529" s="18" t="n">
        <x:v>0</x:v>
      </x:c>
    </x:row>
    <x:row r="1530">
      <x:c r="A1530" s="14" t="str">
        <x:v>站点</x:v>
      </x:c>
      <x:c r="B1530" s="15" t="str">
        <x:v>巴西</x:v>
      </x:c>
      <x:c r="C1530" s="16" t="n">
        <x:v>46159</x:v>
      </x:c>
      <x:c r="D1530" s="17" t="n">
        <x:v>0</x:v>
      </x:c>
      <x:c r="E1530" s="17" t="n">
        <x:v>0</x:v>
      </x:c>
      <x:c r="F1530" s="18" t="n">
        <x:v>0</x:v>
      </x:c>
    </x:row>
    <x:row r="1531">
      <x:c r="A1531" s="14" t="str">
        <x:v>站点</x:v>
      </x:c>
      <x:c r="B1531" s="15" t="str">
        <x:v>巴西</x:v>
      </x:c>
      <x:c r="C1531" s="16" t="n">
        <x:v>46160</x:v>
      </x:c>
      <x:c r="D1531" s="17" t="n">
        <x:v>0</x:v>
      </x:c>
      <x:c r="E1531" s="17" t="n">
        <x:v>0</x:v>
      </x:c>
      <x:c r="F1531" s="18" t="n">
        <x:v>0</x:v>
      </x:c>
    </x:row>
    <x:row r="1532">
      <x:c r="A1532" s="14" t="str">
        <x:v>站点</x:v>
      </x:c>
      <x:c r="B1532" s="15" t="str">
        <x:v>巴西</x:v>
      </x:c>
      <x:c r="C1532" s="16" t="n">
        <x:v>46161</x:v>
      </x:c>
      <x:c r="D1532" s="17" t="n">
        <x:v>0</x:v>
      </x:c>
      <x:c r="E1532" s="17" t="n">
        <x:v>0</x:v>
      </x:c>
      <x:c r="F1532" s="18" t="n">
        <x:v>0</x:v>
      </x:c>
    </x:row>
    <x:row r="1533">
      <x:c r="A1533" s="14" t="str">
        <x:v>站点</x:v>
      </x:c>
      <x:c r="B1533" s="15" t="str">
        <x:v>巴西</x:v>
      </x:c>
      <x:c r="C1533" s="16" t="n">
        <x:v>46162</x:v>
      </x:c>
      <x:c r="D1533" s="17" t="n">
        <x:v>0</x:v>
      </x:c>
      <x:c r="E1533" s="17" t="n">
        <x:v>0</x:v>
      </x:c>
      <x:c r="F1533" s="18" t="n">
        <x:v>0</x:v>
      </x:c>
    </x:row>
    <x:row r="1534">
      <x:c r="A1534" s="14" t="str">
        <x:v>站点</x:v>
      </x:c>
      <x:c r="B1534" s="15" t="str">
        <x:v>巴西</x:v>
      </x:c>
      <x:c r="C1534" s="16" t="n">
        <x:v>46163</x:v>
      </x:c>
      <x:c r="D1534" s="17" t="n">
        <x:v>0</x:v>
      </x:c>
      <x:c r="E1534" s="17" t="n">
        <x:v>0</x:v>
      </x:c>
      <x:c r="F1534" s="18" t="n">
        <x:v>0</x:v>
      </x:c>
    </x:row>
    <x:row r="1535">
      <x:c r="A1535" s="14" t="str">
        <x:v>站点</x:v>
      </x:c>
      <x:c r="B1535" s="15" t="str">
        <x:v>巴西</x:v>
      </x:c>
      <x:c r="C1535" s="16" t="n">
        <x:v>46164</x:v>
      </x:c>
      <x:c r="D1535" s="17" t="n">
        <x:v>0</x:v>
      </x:c>
      <x:c r="E1535" s="17" t="n">
        <x:v>0</x:v>
      </x:c>
      <x:c r="F1535" s="18" t="n">
        <x:v>0</x:v>
      </x:c>
    </x:row>
    <x:row r="1536">
      <x:c r="A1536" s="14" t="str">
        <x:v>站点</x:v>
      </x:c>
      <x:c r="B1536" s="15" t="str">
        <x:v>巴西</x:v>
      </x:c>
      <x:c r="C1536" s="16" t="n">
        <x:v>46165</x:v>
      </x:c>
      <x:c r="D1536" s="17" t="n">
        <x:v>0</x:v>
      </x:c>
      <x:c r="E1536" s="17" t="n">
        <x:v>0</x:v>
      </x:c>
      <x:c r="F1536" s="18" t="n">
        <x:v>0</x:v>
      </x:c>
    </x:row>
    <x:row r="1537">
      <x:c r="A1537" s="14" t="str">
        <x:v>站点</x:v>
      </x:c>
      <x:c r="B1537" s="15" t="str">
        <x:v>巴西</x:v>
      </x:c>
      <x:c r="C1537" s="16" t="n">
        <x:v>46166</x:v>
      </x:c>
      <x:c r="D1537" s="17" t="n">
        <x:v>0</x:v>
      </x:c>
      <x:c r="E1537" s="17" t="n">
        <x:v>0</x:v>
      </x:c>
      <x:c r="F1537" s="18" t="n">
        <x:v>0</x:v>
      </x:c>
    </x:row>
    <x:row r="1538">
      <x:c r="A1538" s="14" t="str">
        <x:v>站点</x:v>
      </x:c>
      <x:c r="B1538" s="15" t="str">
        <x:v>巴西</x:v>
      </x:c>
      <x:c r="C1538" s="16" t="n">
        <x:v>46167</x:v>
      </x:c>
      <x:c r="D1538" s="17" t="n">
        <x:v>0</x:v>
      </x:c>
      <x:c r="E1538" s="17" t="n">
        <x:v>0</x:v>
      </x:c>
      <x:c r="F1538" s="18" t="n">
        <x:v>0</x:v>
      </x:c>
    </x:row>
    <x:row r="1539">
      <x:c r="A1539" s="14" t="str">
        <x:v>站点</x:v>
      </x:c>
      <x:c r="B1539" s="15" t="str">
        <x:v>巴西</x:v>
      </x:c>
      <x:c r="C1539" s="16" t="n">
        <x:v>46168</x:v>
      </x:c>
      <x:c r="D1539" s="17" t="n">
        <x:v>0</x:v>
      </x:c>
      <x:c r="E1539" s="17" t="n">
        <x:v>0</x:v>
      </x:c>
      <x:c r="F1539" s="18" t="n">
        <x:v>0</x:v>
      </x:c>
    </x:row>
    <x:row r="1540">
      <x:c r="A1540" s="14" t="str">
        <x:v>站点</x:v>
      </x:c>
      <x:c r="B1540" s="15" t="str">
        <x:v>巴西</x:v>
      </x:c>
      <x:c r="C1540" s="16" t="n">
        <x:v>46169</x:v>
      </x:c>
      <x:c r="D1540" s="17" t="n">
        <x:v>0</x:v>
      </x:c>
      <x:c r="E1540" s="17" t="n">
        <x:v>0</x:v>
      </x:c>
      <x:c r="F1540" s="18" t="n">
        <x:v>0</x:v>
      </x:c>
    </x:row>
    <x:row r="1541">
      <x:c r="A1541" s="14" t="str">
        <x:v>站点</x:v>
      </x:c>
      <x:c r="B1541" s="15" t="str">
        <x:v>巴西</x:v>
      </x:c>
      <x:c r="C1541" s="16" t="n">
        <x:v>46170</x:v>
      </x:c>
      <x:c r="D1541" s="17" t="n">
        <x:v>0</x:v>
      </x:c>
      <x:c r="E1541" s="17" t="n">
        <x:v>0</x:v>
      </x:c>
      <x:c r="F1541" s="18" t="n">
        <x:v>0</x:v>
      </x:c>
    </x:row>
    <x:row r="1542">
      <x:c r="A1542" s="14" t="str">
        <x:v>站点</x:v>
      </x:c>
      <x:c r="B1542" s="15" t="str">
        <x:v>巴西</x:v>
      </x:c>
      <x:c r="C1542" s="16" t="n">
        <x:v>46171</x:v>
      </x:c>
      <x:c r="D1542" s="17" t="n">
        <x:v>0</x:v>
      </x:c>
      <x:c r="E1542" s="17" t="n">
        <x:v>0</x:v>
      </x:c>
      <x:c r="F1542" s="18" t="n">
        <x:v>0</x:v>
      </x:c>
    </x:row>
    <x:row r="1543">
      <x:c r="A1543" s="14" t="str">
        <x:v>站点</x:v>
      </x:c>
      <x:c r="B1543" s="15" t="str">
        <x:v>巴西</x:v>
      </x:c>
      <x:c r="C1543" s="16" t="n">
        <x:v>46172</x:v>
      </x:c>
      <x:c r="D1543" s="17" t="n">
        <x:v>0</x:v>
      </x:c>
      <x:c r="E1543" s="17" t="n">
        <x:v>0</x:v>
      </x:c>
      <x:c r="F1543" s="18" t="n">
        <x:v>0</x:v>
      </x:c>
    </x:row>
    <x:row r="1544">
      <x:c r="A1544" s="14" t="str">
        <x:v>站点</x:v>
      </x:c>
      <x:c r="B1544" s="15" t="str">
        <x:v>巴西</x:v>
      </x:c>
      <x:c r="C1544" s="16" t="n">
        <x:v>46173</x:v>
      </x:c>
      <x:c r="D1544" s="17" t="n">
        <x:v>0</x:v>
      </x:c>
      <x:c r="E1544" s="17" t="n">
        <x:v>0</x:v>
      </x:c>
      <x:c r="F1544" s="18" t="n">
        <x:v>0</x:v>
      </x:c>
    </x:row>
    <x:row r="1545">
      <x:c r="A1545" s="14" t="str">
        <x:v>站点</x:v>
      </x:c>
      <x:c r="B1545" s="15" t="str">
        <x:v>巴西</x:v>
      </x:c>
      <x:c r="C1545" s="16" t="n">
        <x:v>46174</x:v>
      </x:c>
      <x:c r="D1545" s="17" t="n">
        <x:v>0</x:v>
      </x:c>
      <x:c r="E1545" s="17" t="n">
        <x:v>0</x:v>
      </x:c>
      <x:c r="F1545" s="18" t="n">
        <x:v>0</x:v>
      </x:c>
    </x:row>
    <x:row r="1546">
      <x:c r="A1546" s="14" t="str">
        <x:v>站点</x:v>
      </x:c>
      <x:c r="B1546" s="15" t="str">
        <x:v>巴西</x:v>
      </x:c>
      <x:c r="C1546" s="16" t="n">
        <x:v>46175</x:v>
      </x:c>
      <x:c r="D1546" s="17" t="n">
        <x:v>0</x:v>
      </x:c>
      <x:c r="E1546" s="17" t="n">
        <x:v>0</x:v>
      </x:c>
      <x:c r="F1546" s="18" t="n">
        <x:v>0</x:v>
      </x:c>
    </x:row>
    <x:row r="1547">
      <x:c r="A1547" s="14" t="str">
        <x:v>站点</x:v>
      </x:c>
      <x:c r="B1547" s="15" t="str">
        <x:v>巴西</x:v>
      </x:c>
      <x:c r="C1547" s="16" t="n">
        <x:v>46176</x:v>
      </x:c>
      <x:c r="D1547" s="17" t="n">
        <x:v>0</x:v>
      </x:c>
      <x:c r="E1547" s="17" t="n">
        <x:v>0</x:v>
      </x:c>
      <x:c r="F1547" s="18" t="n">
        <x:v>0</x:v>
      </x:c>
    </x:row>
    <x:row r="1548">
      <x:c r="A1548" s="14" t="str">
        <x:v>站点</x:v>
      </x:c>
      <x:c r="B1548" s="15" t="str">
        <x:v>巴西</x:v>
      </x:c>
      <x:c r="C1548" s="16" t="n">
        <x:v>46177</x:v>
      </x:c>
      <x:c r="D1548" s="17" t="n">
        <x:v>0</x:v>
      </x:c>
      <x:c r="E1548" s="17" t="n">
        <x:v>0</x:v>
      </x:c>
      <x:c r="F1548" s="18" t="n">
        <x:v>0</x:v>
      </x:c>
    </x:row>
    <x:row r="1549">
      <x:c r="A1549" s="14" t="str">
        <x:v>站点</x:v>
      </x:c>
      <x:c r="B1549" s="15" t="str">
        <x:v>巴西</x:v>
      </x:c>
      <x:c r="C1549" s="16" t="n">
        <x:v>46178</x:v>
      </x:c>
      <x:c r="D1549" s="17" t="n">
        <x:v>0</x:v>
      </x:c>
      <x:c r="E1549" s="17" t="n">
        <x:v>0</x:v>
      </x:c>
      <x:c r="F1549" s="18" t="n">
        <x:v>0</x:v>
      </x:c>
    </x:row>
    <x:row r="1550">
      <x:c r="A1550" s="14" t="str">
        <x:v>站点</x:v>
      </x:c>
      <x:c r="B1550" s="15" t="str">
        <x:v>巴西</x:v>
      </x:c>
      <x:c r="C1550" s="16" t="n">
        <x:v>46179</x:v>
      </x:c>
      <x:c r="D1550" s="17" t="n">
        <x:v>0</x:v>
      </x:c>
      <x:c r="E1550" s="17" t="n">
        <x:v>0</x:v>
      </x:c>
      <x:c r="F1550" s="18" t="n">
        <x:v>0</x:v>
      </x:c>
    </x:row>
    <x:row r="1551">
      <x:c r="A1551" s="14" t="str">
        <x:v>站点</x:v>
      </x:c>
      <x:c r="B1551" s="15" t="str">
        <x:v>巴西</x:v>
      </x:c>
      <x:c r="C1551" s="16" t="n">
        <x:v>46180</x:v>
      </x:c>
      <x:c r="D1551" s="17" t="n">
        <x:v>0</x:v>
      </x:c>
      <x:c r="E1551" s="17" t="n">
        <x:v>0</x:v>
      </x:c>
      <x:c r="F1551" s="18" t="n">
        <x:v>0</x:v>
      </x:c>
    </x:row>
    <x:row r="1552">
      <x:c r="A1552" s="14" t="str">
        <x:v>站点</x:v>
      </x:c>
      <x:c r="B1552" s="15" t="str">
        <x:v>巴西</x:v>
      </x:c>
      <x:c r="C1552" s="16" t="n">
        <x:v>46181</x:v>
      </x:c>
      <x:c r="D1552" s="17" t="n">
        <x:v>0</x:v>
      </x:c>
      <x:c r="E1552" s="17" t="n">
        <x:v>0</x:v>
      </x:c>
      <x:c r="F1552" s="18" t="n">
        <x:v>0</x:v>
      </x:c>
    </x:row>
    <x:row r="1553">
      <x:c r="A1553" s="14" t="str">
        <x:v>站点</x:v>
      </x:c>
      <x:c r="B1553" s="15" t="str">
        <x:v>巴西</x:v>
      </x:c>
      <x:c r="C1553" s="16" t="n">
        <x:v>46182</x:v>
      </x:c>
      <x:c r="D1553" s="17" t="n">
        <x:v>0</x:v>
      </x:c>
      <x:c r="E1553" s="17" t="n">
        <x:v>0</x:v>
      </x:c>
      <x:c r="F1553" s="18" t="n">
        <x:v>0</x:v>
      </x:c>
    </x:row>
    <x:row r="1554">
      <x:c r="A1554" s="14" t="str">
        <x:v>站点</x:v>
      </x:c>
      <x:c r="B1554" s="15" t="str">
        <x:v>巴西</x:v>
      </x:c>
      <x:c r="C1554" s="16" t="n">
        <x:v>46183</x:v>
      </x:c>
      <x:c r="D1554" s="17" t="n">
        <x:v>0</x:v>
      </x:c>
      <x:c r="E1554" s="17" t="n">
        <x:v>0</x:v>
      </x:c>
      <x:c r="F1554" s="18" t="n">
        <x:v>0</x:v>
      </x:c>
    </x:row>
    <x:row r="1555">
      <x:c r="A1555" s="14" t="str">
        <x:v>站点</x:v>
      </x:c>
      <x:c r="B1555" s="15" t="str">
        <x:v>巴西</x:v>
      </x:c>
      <x:c r="C1555" s="16" t="n">
        <x:v>46184</x:v>
      </x:c>
      <x:c r="D1555" s="17" t="n">
        <x:v>0</x:v>
      </x:c>
      <x:c r="E1555" s="17" t="n">
        <x:v>0</x:v>
      </x:c>
      <x:c r="F1555" s="18" t="n">
        <x:v>0</x:v>
      </x:c>
    </x:row>
    <x:row r="1556">
      <x:c r="A1556" s="14" t="str">
        <x:v>站点</x:v>
      </x:c>
      <x:c r="B1556" s="15" t="str">
        <x:v>巴西</x:v>
      </x:c>
      <x:c r="C1556" s="16" t="n">
        <x:v>46185</x:v>
      </x:c>
      <x:c r="D1556" s="17" t="n">
        <x:v>0</x:v>
      </x:c>
      <x:c r="E1556" s="17" t="n">
        <x:v>0</x:v>
      </x:c>
      <x:c r="F1556" s="18" t="n">
        <x:v>0</x:v>
      </x:c>
    </x:row>
    <x:row r="1557">
      <x:c r="A1557" s="14" t="str">
        <x:v>站点</x:v>
      </x:c>
      <x:c r="B1557" s="15" t="str">
        <x:v>巴西</x:v>
      </x:c>
      <x:c r="C1557" s="16" t="n">
        <x:v>46186</x:v>
      </x:c>
      <x:c r="D1557" s="17" t="n">
        <x:v>0</x:v>
      </x:c>
      <x:c r="E1557" s="17" t="n">
        <x:v>0</x:v>
      </x:c>
      <x:c r="F1557" s="18" t="n">
        <x:v>0</x:v>
      </x:c>
    </x:row>
    <x:row r="1558">
      <x:c r="A1558" s="14" t="str">
        <x:v>站点</x:v>
      </x:c>
      <x:c r="B1558" s="15" t="str">
        <x:v>巴西</x:v>
      </x:c>
      <x:c r="C1558" s="16" t="n">
        <x:v>46187</x:v>
      </x:c>
      <x:c r="D1558" s="17" t="n">
        <x:v>0</x:v>
      </x:c>
      <x:c r="E1558" s="17" t="n">
        <x:v>0</x:v>
      </x:c>
      <x:c r="F1558" s="18" t="n">
        <x:v>0</x:v>
      </x:c>
    </x:row>
    <x:row r="1559">
      <x:c r="A1559" s="14" t="str">
        <x:v>站点</x:v>
      </x:c>
      <x:c r="B1559" s="15" t="str">
        <x:v>巴西</x:v>
      </x:c>
      <x:c r="C1559" s="16" t="n">
        <x:v>46188</x:v>
      </x:c>
      <x:c r="D1559" s="17" t="n">
        <x:v>0</x:v>
      </x:c>
      <x:c r="E1559" s="17" t="n">
        <x:v>0</x:v>
      </x:c>
      <x:c r="F1559" s="18" t="n">
        <x:v>0</x:v>
      </x:c>
    </x:row>
    <x:row r="1560">
      <x:c r="A1560" s="14" t="str">
        <x:v>站点</x:v>
      </x:c>
      <x:c r="B1560" s="15" t="str">
        <x:v>巴西</x:v>
      </x:c>
      <x:c r="C1560" s="16" t="n">
        <x:v>46189</x:v>
      </x:c>
      <x:c r="D1560" s="17" t="n">
        <x:v>0</x:v>
      </x:c>
      <x:c r="E1560" s="17" t="n">
        <x:v>0</x:v>
      </x:c>
      <x:c r="F1560" s="18" t="n">
        <x:v>0</x:v>
      </x:c>
    </x:row>
    <x:row r="1561">
      <x:c r="A1561" s="14" t="str">
        <x:v>站点</x:v>
      </x:c>
      <x:c r="B1561" s="15" t="str">
        <x:v>巴西</x:v>
      </x:c>
      <x:c r="C1561" s="16" t="n">
        <x:v>46190</x:v>
      </x:c>
      <x:c r="D1561" s="17" t="n">
        <x:v>0</x:v>
      </x:c>
      <x:c r="E1561" s="17" t="n">
        <x:v>0</x:v>
      </x:c>
      <x:c r="F1561" s="18" t="n">
        <x:v>0</x:v>
      </x:c>
    </x:row>
    <x:row r="1562">
      <x:c r="A1562" s="14" t="str">
        <x:v>站点</x:v>
      </x:c>
      <x:c r="B1562" s="15" t="str">
        <x:v>巴西</x:v>
      </x:c>
      <x:c r="C1562" s="16" t="n">
        <x:v>46191</x:v>
      </x:c>
      <x:c r="D1562" s="17" t="n">
        <x:v>0</x:v>
      </x:c>
      <x:c r="E1562" s="17" t="n">
        <x:v>0</x:v>
      </x:c>
      <x:c r="F1562" s="18" t="n">
        <x:v>0</x:v>
      </x:c>
    </x:row>
    <x:row r="1563">
      <x:c r="A1563" s="14" t="str">
        <x:v>站点</x:v>
      </x:c>
      <x:c r="B1563" s="15" t="str">
        <x:v>巴西</x:v>
      </x:c>
      <x:c r="C1563" s="16" t="n">
        <x:v>46192</x:v>
      </x:c>
      <x:c r="D1563" s="17" t="n">
        <x:v>0</x:v>
      </x:c>
      <x:c r="E1563" s="17" t="n">
        <x:v>0</x:v>
      </x:c>
      <x:c r="F1563" s="18" t="n">
        <x:v>0</x:v>
      </x:c>
    </x:row>
    <x:row r="1564">
      <x:c r="A1564" s="14" t="str">
        <x:v>站点</x:v>
      </x:c>
      <x:c r="B1564" s="15" t="str">
        <x:v>巴西</x:v>
      </x:c>
      <x:c r="C1564" s="16" t="n">
        <x:v>46193</x:v>
      </x:c>
      <x:c r="D1564" s="17" t="n">
        <x:v>0</x:v>
      </x:c>
      <x:c r="E1564" s="17" t="n">
        <x:v>0</x:v>
      </x:c>
      <x:c r="F1564" s="18" t="n">
        <x:v>0</x:v>
      </x:c>
    </x:row>
    <x:row r="1565">
      <x:c r="A1565" s="14" t="str">
        <x:v>站点</x:v>
      </x:c>
      <x:c r="B1565" s="15" t="str">
        <x:v>巴西</x:v>
      </x:c>
      <x:c r="C1565" s="16" t="n">
        <x:v>46194</x:v>
      </x:c>
      <x:c r="D1565" s="17" t="n">
        <x:v>0</x:v>
      </x:c>
      <x:c r="E1565" s="17" t="n">
        <x:v>0</x:v>
      </x:c>
      <x:c r="F1565" s="18" t="n">
        <x:v>0</x:v>
      </x:c>
    </x:row>
    <x:row r="1566">
      <x:c r="A1566" s="14" t="str">
        <x:v>站点</x:v>
      </x:c>
      <x:c r="B1566" s="15" t="str">
        <x:v>巴西</x:v>
      </x:c>
      <x:c r="C1566" s="16" t="n">
        <x:v>46195</x:v>
      </x:c>
      <x:c r="D1566" s="17" t="n">
        <x:v>0</x:v>
      </x:c>
      <x:c r="E1566" s="17" t="n">
        <x:v>0</x:v>
      </x:c>
      <x:c r="F1566" s="18" t="n">
        <x:v>0</x:v>
      </x:c>
    </x:row>
    <x:row r="1567">
      <x:c r="A1567" s="14" t="str">
        <x:v>站点</x:v>
      </x:c>
      <x:c r="B1567" s="15" t="str">
        <x:v>巴西</x:v>
      </x:c>
      <x:c r="C1567" s="16" t="n">
        <x:v>46196</x:v>
      </x:c>
      <x:c r="D1567" s="17" t="n">
        <x:v>0</x:v>
      </x:c>
      <x:c r="E1567" s="17" t="n">
        <x:v>0</x:v>
      </x:c>
      <x:c r="F1567" s="18" t="n">
        <x:v>0</x:v>
      </x:c>
    </x:row>
    <x:row r="1568">
      <x:c r="A1568" s="14" t="str">
        <x:v>站点</x:v>
      </x:c>
      <x:c r="B1568" s="15" t="str">
        <x:v>巴西</x:v>
      </x:c>
      <x:c r="C1568" s="16" t="n">
        <x:v>46197</x:v>
      </x:c>
      <x:c r="D1568" s="17" t="n">
        <x:v>0</x:v>
      </x:c>
      <x:c r="E1568" s="17" t="n">
        <x:v>0</x:v>
      </x:c>
      <x:c r="F1568" s="18" t="n">
        <x:v>0</x:v>
      </x:c>
    </x:row>
    <x:row r="1569">
      <x:c r="A1569" s="14" t="str">
        <x:v>站点</x:v>
      </x:c>
      <x:c r="B1569" s="15" t="str">
        <x:v>巴西</x:v>
      </x:c>
      <x:c r="C1569" s="16" t="n">
        <x:v>46198</x:v>
      </x:c>
      <x:c r="D1569" s="17" t="n">
        <x:v>0</x:v>
      </x:c>
      <x:c r="E1569" s="17" t="n">
        <x:v>0</x:v>
      </x:c>
      <x:c r="F1569" s="18" t="n">
        <x:v>0</x:v>
      </x:c>
    </x:row>
    <x:row r="1570">
      <x:c r="A1570" s="14" t="str">
        <x:v>站点</x:v>
      </x:c>
      <x:c r="B1570" s="15" t="str">
        <x:v>巴西</x:v>
      </x:c>
      <x:c r="C1570" s="16" t="n">
        <x:v>46199</x:v>
      </x:c>
      <x:c r="D1570" s="17" t="n">
        <x:v>0</x:v>
      </x:c>
      <x:c r="E1570" s="17" t="n">
        <x:v>0</x:v>
      </x:c>
      <x:c r="F1570" s="18" t="n">
        <x:v>0</x:v>
      </x:c>
    </x:row>
    <x:row r="1571">
      <x:c r="A1571" s="14" t="str">
        <x:v>站点</x:v>
      </x:c>
      <x:c r="B1571" s="15" t="str">
        <x:v>巴西</x:v>
      </x:c>
      <x:c r="C1571" s="16" t="n">
        <x:v>46200</x:v>
      </x:c>
      <x:c r="D1571" s="17" t="n">
        <x:v>0</x:v>
      </x:c>
      <x:c r="E1571" s="17" t="n">
        <x:v>0</x:v>
      </x:c>
      <x:c r="F1571" s="18" t="n">
        <x:v>0</x:v>
      </x:c>
    </x:row>
    <x:row r="1572">
      <x:c r="A1572" s="14" t="str">
        <x:v>站点</x:v>
      </x:c>
      <x:c r="B1572" s="15" t="str">
        <x:v>巴西</x:v>
      </x:c>
      <x:c r="C1572" s="16" t="n">
        <x:v>46201</x:v>
      </x:c>
      <x:c r="D1572" s="17" t="n">
        <x:v>0</x:v>
      </x:c>
      <x:c r="E1572" s="17" t="n">
        <x:v>0</x:v>
      </x:c>
      <x:c r="F1572" s="18" t="n">
        <x:v>0</x:v>
      </x:c>
    </x:row>
    <x:row r="1573">
      <x:c r="A1573" s="14" t="str">
        <x:v>站点</x:v>
      </x:c>
      <x:c r="B1573" s="15" t="str">
        <x:v>巴西</x:v>
      </x:c>
      <x:c r="C1573" s="16" t="n">
        <x:v>46202</x:v>
      </x:c>
      <x:c r="D1573" s="17" t="n">
        <x:v>0</x:v>
      </x:c>
      <x:c r="E1573" s="17" t="n">
        <x:v>0</x:v>
      </x:c>
      <x:c r="F1573" s="18" t="n">
        <x:v>0</x:v>
      </x:c>
    </x:row>
    <x:row r="1574">
      <x:c r="A1574" s="14" t="str">
        <x:v>站点</x:v>
      </x:c>
      <x:c r="B1574" s="15" t="str">
        <x:v>巴西</x:v>
      </x:c>
      <x:c r="C1574" s="16" t="n">
        <x:v>46203</x:v>
      </x:c>
      <x:c r="D1574" s="17" t="n">
        <x:v>0</x:v>
      </x:c>
      <x:c r="E1574" s="17" t="n">
        <x:v>0</x:v>
      </x:c>
      <x:c r="F1574" s="18" t="n">
        <x:v>0</x:v>
      </x:c>
    </x:row>
    <x:row r="1575">
      <x:c r="A1575" s="14" t="str">
        <x:v>站点</x:v>
      </x:c>
      <x:c r="B1575" s="15" t="str">
        <x:v>巴西</x:v>
      </x:c>
      <x:c r="C1575" s="16" t="n">
        <x:v>46204</x:v>
      </x:c>
      <x:c r="D1575" s="17" t="n">
        <x:v>12</x:v>
      </x:c>
      <x:c r="E1575" s="17" t="n">
        <x:v>12</x:v>
      </x:c>
      <x:c r="F1575" s="18" t="n">
        <x:v>316.6</x:v>
      </x:c>
    </x:row>
    <x:row r="1576">
      <x:c r="A1576" s="14" t="str">
        <x:v>站点</x:v>
      </x:c>
      <x:c r="B1576" s="15" t="str">
        <x:v>巴西</x:v>
      </x:c>
      <x:c r="C1576" s="16" t="n">
        <x:v>46205</x:v>
      </x:c>
      <x:c r="D1576" s="17" t="n">
        <x:v>7</x:v>
      </x:c>
      <x:c r="E1576" s="17" t="n">
        <x:v>9</x:v>
      </x:c>
      <x:c r="F1576" s="18" t="n">
        <x:v>53.03</x:v>
      </x:c>
    </x:row>
    <x:row r="1577">
      <x:c r="A1577" s="14" t="str">
        <x:v>站点</x:v>
      </x:c>
      <x:c r="B1577" s="15" t="str">
        <x:v>巴西</x:v>
      </x:c>
      <x:c r="C1577" s="16" t="n">
        <x:v>46206</x:v>
      </x:c>
      <x:c r="D1577" s="17" t="n">
        <x:v>4</x:v>
      </x:c>
      <x:c r="E1577" s="17" t="n">
        <x:v>6</x:v>
      </x:c>
      <x:c r="F1577" s="18" t="n">
        <x:v>423.48</x:v>
      </x:c>
    </x:row>
    <x:row r="1578">
      <x:c r="A1578" s="14" t="str">
        <x:v>站点</x:v>
      </x:c>
      <x:c r="B1578" s="15" t="str">
        <x:v>巴西</x:v>
      </x:c>
      <x:c r="C1578" s="16" t="n">
        <x:v>46207</x:v>
      </x:c>
      <x:c r="D1578" s="17" t="n">
        <x:v>0</x:v>
      </x:c>
      <x:c r="E1578" s="17" t="n">
        <x:v>0</x:v>
      </x:c>
      <x:c r="F1578" s="18" t="n">
        <x:v>0</x:v>
      </x:c>
    </x:row>
    <x:row r="1579">
      <x:c r="A1579" s="14" t="str">
        <x:v>站点</x:v>
      </x:c>
      <x:c r="B1579" s="15" t="str">
        <x:v>巴西</x:v>
      </x:c>
      <x:c r="C1579" s="16" t="n">
        <x:v>46208</x:v>
      </x:c>
      <x:c r="D1579" s="17" t="n">
        <x:v>0</x:v>
      </x:c>
      <x:c r="E1579" s="17" t="n">
        <x:v>0</x:v>
      </x:c>
      <x:c r="F1579" s="18" t="n">
        <x:v>0</x:v>
      </x:c>
    </x:row>
    <x:row r="1580">
      <x:c r="A1580" s="14" t="str">
        <x:v>站点</x:v>
      </x:c>
      <x:c r="B1580" s="15" t="str">
        <x:v>巴西</x:v>
      </x:c>
      <x:c r="C1580" s="16" t="n">
        <x:v>46209</x:v>
      </x:c>
      <x:c r="D1580" s="17" t="n">
        <x:v>7</x:v>
      </x:c>
      <x:c r="E1580" s="17" t="n">
        <x:v>7</x:v>
      </x:c>
      <x:c r="F1580" s="18" t="n">
        <x:v>372.12</x:v>
      </x:c>
    </x:row>
    <x:row r="1581">
      <x:c r="A1581" s="14" t="str">
        <x:v>站点</x:v>
      </x:c>
      <x:c r="B1581" s="15" t="str">
        <x:v>巴西</x:v>
      </x:c>
      <x:c r="C1581" s="16" t="n">
        <x:v>46210</x:v>
      </x:c>
      <x:c r="D1581" s="17" t="n">
        <x:v>9</x:v>
      </x:c>
      <x:c r="E1581" s="17" t="n">
        <x:v>11</x:v>
      </x:c>
      <x:c r="F1581" s="18" t="n">
        <x:v>281.7</x:v>
      </x:c>
    </x:row>
    <x:row r="1582">
      <x:c r="A1582" s="14" t="str">
        <x:v>站点</x:v>
      </x:c>
      <x:c r="B1582" s="15" t="str">
        <x:v>巴西</x:v>
      </x:c>
      <x:c r="C1582" s="16" t="n">
        <x:v>46211</x:v>
      </x:c>
      <x:c r="D1582" s="17" t="n">
        <x:v>3</x:v>
      </x:c>
      <x:c r="E1582" s="17" t="n">
        <x:v>3</x:v>
      </x:c>
      <x:c r="F1582" s="18" t="n">
        <x:v>217.15</x:v>
      </x:c>
    </x:row>
    <x:row r="1583">
      <x:c r="A1583" s="14" t="str">
        <x:v>站点</x:v>
      </x:c>
      <x:c r="B1583" s="15" t="str">
        <x:v>巴西</x:v>
      </x:c>
      <x:c r="C1583" s="16" t="n">
        <x:v>46212</x:v>
      </x:c>
      <x:c r="D1583" s="17" t="n">
        <x:v>0</x:v>
      </x:c>
      <x:c r="E1583" s="17" t="n">
        <x:v>0</x:v>
      </x:c>
      <x:c r="F1583" s="18" t="n">
        <x:v>0</x:v>
      </x:c>
    </x:row>
    <x:row r="1584">
      <x:c r="A1584" s="14" t="str">
        <x:v>站点</x:v>
      </x:c>
      <x:c r="B1584" s="15" t="str">
        <x:v>巴西</x:v>
      </x:c>
      <x:c r="C1584" s="16" t="n">
        <x:v>46213</x:v>
      </x:c>
      <x:c r="D1584" s="17" t="n">
        <x:v>29</x:v>
      </x:c>
      <x:c r="E1584" s="17" t="n">
        <x:v>31</x:v>
      </x:c>
      <x:c r="F1584" s="18" t="n">
        <x:v>1598.99</x:v>
      </x:c>
    </x:row>
    <x:row r="1585">
      <x:c r="A1585" s="14" t="str">
        <x:v>站点</x:v>
      </x:c>
      <x:c r="B1585" s="15" t="str">
        <x:v>巴西</x:v>
      </x:c>
      <x:c r="C1585" s="16" t="n">
        <x:v>46214</x:v>
      </x:c>
      <x:c r="D1585" s="17" t="n">
        <x:v>4</x:v>
      </x:c>
      <x:c r="E1585" s="17" t="n">
        <x:v>5</x:v>
      </x:c>
      <x:c r="F1585" s="18" t="n">
        <x:v>366.08</x:v>
      </x:c>
    </x:row>
    <x:row r="1586">
      <x:c r="A1586" s="14" t="str">
        <x:v>站点</x:v>
      </x:c>
      <x:c r="B1586" s="15" t="str">
        <x:v>巴西</x:v>
      </x:c>
      <x:c r="C1586" s="16" t="n">
        <x:v>46215</x:v>
      </x:c>
      <x:c r="D1586" s="17" t="n">
        <x:v>0</x:v>
      </x:c>
      <x:c r="E1586" s="17" t="n">
        <x:v>0</x:v>
      </x:c>
      <x:c r="F1586" s="18" t="n">
        <x:v>0</x:v>
      </x:c>
    </x:row>
    <x:row r="1587">
      <x:c r="A1587" s="14" t="str">
        <x:v>站点</x:v>
      </x:c>
      <x:c r="B1587" s="15" t="str">
        <x:v>巴西</x:v>
      </x:c>
      <x:c r="C1587" s="16" t="n">
        <x:v>46216</x:v>
      </x:c>
      <x:c r="D1587" s="17" t="n">
        <x:v>14</x:v>
      </x:c>
      <x:c r="E1587" s="17" t="n">
        <x:v>14</x:v>
      </x:c>
      <x:c r="F1587" s="18" t="n">
        <x:v>526.44</x:v>
      </x:c>
    </x:row>
    <x:row r="1588">
      <x:c r="A1588" s="14" t="str">
        <x:v>站点</x:v>
      </x:c>
      <x:c r="B1588" s="15" t="str">
        <x:v>巴西</x:v>
      </x:c>
      <x:c r="C1588" s="16" t="n">
        <x:v>46217</x:v>
      </x:c>
      <x:c r="D1588" s="17" t="n">
        <x:v>3</x:v>
      </x:c>
      <x:c r="E1588" s="17" t="n">
        <x:v>4</x:v>
      </x:c>
      <x:c r="F1588" s="18" t="n">
        <x:v>217.02</x:v>
      </x:c>
    </x:row>
    <x:row r="1589">
      <x:c r="A1589" s="14" t="str">
        <x:v>站点</x:v>
      </x:c>
      <x:c r="B1589" s="15" t="str">
        <x:v>巴西</x:v>
      </x:c>
      <x:c r="C1589" s="16" t="n">
        <x:v>46218</x:v>
      </x:c>
      <x:c r="D1589" s="17" t="n">
        <x:v>4</x:v>
      </x:c>
      <x:c r="E1589" s="17" t="n">
        <x:v>4</x:v>
      </x:c>
      <x:c r="F1589" s="18" t="n">
        <x:v>126.23</x:v>
      </x:c>
    </x:row>
    <x:row r="1590">
      <x:c r="A1590" s="14" t="str">
        <x:v>站点</x:v>
      </x:c>
      <x:c r="B1590" s="15" t="str">
        <x:v>巴西</x:v>
      </x:c>
      <x:c r="C1590" s="16" t="n">
        <x:v>46219</x:v>
      </x:c>
      <x:c r="D1590" s="17" t="n">
        <x:v>8</x:v>
      </x:c>
      <x:c r="E1590" s="17" t="n">
        <x:v>9</x:v>
      </x:c>
      <x:c r="F1590" s="18" t="n">
        <x:v>665.83</x:v>
      </x:c>
    </x:row>
    <x:row r="1591">
      <x:c r="A1591" s="14" t="str">
        <x:v>站点</x:v>
      </x:c>
      <x:c r="B1591" s="15" t="str">
        <x:v>巴西</x:v>
      </x:c>
      <x:c r="C1591" s="16" t="n">
        <x:v>46220</x:v>
      </x:c>
      <x:c r="D1591" s="17" t="n">
        <x:v>3</x:v>
      </x:c>
      <x:c r="E1591" s="17" t="n">
        <x:v>3</x:v>
      </x:c>
      <x:c r="F1591" s="18" t="n">
        <x:v>301.52</x:v>
      </x:c>
    </x:row>
    <x:row r="1592">
      <x:c r="A1592" s="14" t="str">
        <x:v>站点</x:v>
      </x:c>
      <x:c r="B1592" s="15" t="str">
        <x:v>巴西</x:v>
      </x:c>
      <x:c r="C1592" s="16" t="n">
        <x:v>46221</x:v>
      </x:c>
      <x:c r="D1592" s="17" t="n">
        <x:v>1</x:v>
      </x:c>
      <x:c r="E1592" s="17" t="n">
        <x:v>1</x:v>
      </x:c>
      <x:c r="F1592" s="18" t="n">
        <x:v>72.35</x:v>
      </x:c>
    </x:row>
    <x:row r="1593">
      <x:c r="A1593" s="14" t="str">
        <x:v>站点</x:v>
      </x:c>
      <x:c r="B1593" s="15" t="str">
        <x:v>巴西</x:v>
      </x:c>
      <x:c r="C1593" s="16" t="n">
        <x:v>46222</x:v>
      </x:c>
      <x:c r="D1593" s="17" t="n">
        <x:v>0</x:v>
      </x:c>
      <x:c r="E1593" s="17" t="n">
        <x:v>0</x:v>
      </x:c>
      <x:c r="F1593" s="18" t="n">
        <x:v>0</x:v>
      </x:c>
    </x:row>
    <x:row r="1594">
      <x:c r="A1594" s="14" t="str">
        <x:v>站点</x:v>
      </x:c>
      <x:c r="B1594" s="15" t="str">
        <x:v>巴西</x:v>
      </x:c>
      <x:c r="C1594" s="16" t="n">
        <x:v>46223</x:v>
      </x:c>
      <x:c r="D1594" s="17" t="n">
        <x:v>13</x:v>
      </x:c>
      <x:c r="E1594" s="17" t="n">
        <x:v>16</x:v>
      </x:c>
      <x:c r="F1594" s="18" t="n">
        <x:v>1173.49</x:v>
      </x:c>
    </x:row>
    <x:row r="1595">
      <x:c r="A1595" s="14" t="str">
        <x:v>站点</x:v>
      </x:c>
      <x:c r="B1595" s="15" t="str">
        <x:v>巴西</x:v>
      </x:c>
      <x:c r="C1595" s="16" t="n">
        <x:v>46224</x:v>
      </x:c>
      <x:c r="D1595" s="17" t="n">
        <x:v>5</x:v>
      </x:c>
      <x:c r="E1595" s="17" t="n">
        <x:v>5</x:v>
      </x:c>
      <x:c r="F1595" s="18" t="n">
        <x:v>467.3</x:v>
      </x:c>
    </x:row>
    <x:row r="1596">
      <x:c r="A1596" s="14" t="str">
        <x:v>站点</x:v>
      </x:c>
      <x:c r="B1596" s="15" t="str">
        <x:v>巴西</x:v>
      </x:c>
      <x:c r="C1596" s="16" t="n">
        <x:v>46225</x:v>
      </x:c>
      <x:c r="D1596" s="17" t="n">
        <x:v>7</x:v>
      </x:c>
      <x:c r="E1596" s="17" t="n">
        <x:v>7</x:v>
      </x:c>
      <x:c r="F1596" s="18" t="n">
        <x:v>486.09</x:v>
      </x:c>
    </x:row>
    <x:row r="1597">
      <x:c r="A1597" s="14" t="str">
        <x:v>站点</x:v>
      </x:c>
      <x:c r="B1597" s="15" t="str">
        <x:v>巴西</x:v>
      </x:c>
      <x:c r="C1597" s="16" t="n">
        <x:v>46226</x:v>
      </x:c>
      <x:c r="D1597" s="17" t="n">
        <x:v>6</x:v>
      </x:c>
      <x:c r="E1597" s="17" t="n">
        <x:v>6</x:v>
      </x:c>
      <x:c r="F1597" s="18" t="n">
        <x:v>625.97</x:v>
      </x:c>
    </x:row>
    <x:row r="1598">
      <x:c r="A1598" s="14" t="str">
        <x:v>站点</x:v>
      </x:c>
      <x:c r="B1598" s="15" t="str">
        <x:v>巴西</x:v>
      </x:c>
      <x:c r="C1598" s="16" t="n">
        <x:v>46227</x:v>
      </x:c>
      <x:c r="D1598" s="17" t="n">
        <x:v>9</x:v>
      </x:c>
      <x:c r="E1598" s="17" t="n">
        <x:v>9</x:v>
      </x:c>
      <x:c r="F1598" s="18" t="n">
        <x:v>232.08</x:v>
      </x:c>
    </x:row>
    <x:row r="1599">
      <x:c r="A1599" s="14" t="str">
        <x:v>站点</x:v>
      </x:c>
      <x:c r="B1599" s="15" t="str">
        <x:v>巴西</x:v>
      </x:c>
      <x:c r="C1599" s="16" t="n">
        <x:v>46228</x:v>
      </x:c>
      <x:c r="D1599" s="17" t="n">
        <x:v>2</x:v>
      </x:c>
      <x:c r="E1599" s="17" t="n">
        <x:v>2</x:v>
      </x:c>
      <x:c r="F1599" s="18" t="n">
        <x:v>146.58</x:v>
      </x:c>
    </x:row>
    <x:row r="1600">
      <x:c r="A1600" s="14" t="str">
        <x:v>站点</x:v>
      </x:c>
      <x:c r="B1600" s="15" t="str">
        <x:v>巴西</x:v>
      </x:c>
      <x:c r="C1600" s="16" t="n">
        <x:v>46229</x:v>
      </x:c>
      <x:c r="D1600" s="17" t="n">
        <x:v>0</x:v>
      </x:c>
      <x:c r="E1600" s="17" t="n">
        <x:v>0</x:v>
      </x:c>
      <x:c r="F1600" s="18" t="n">
        <x:v>0</x:v>
      </x:c>
    </x:row>
    <x:row r="1601">
      <x:c r="A1601" s="14" t="str">
        <x:v>站点</x:v>
      </x:c>
      <x:c r="B1601" s="15" t="str">
        <x:v>巴西</x:v>
      </x:c>
      <x:c r="C1601" s="16" t="n">
        <x:v>46230</x:v>
      </x:c>
      <x:c r="D1601" s="17" t="n">
        <x:v>10</x:v>
      </x:c>
      <x:c r="E1601" s="17" t="n">
        <x:v>11</x:v>
      </x:c>
      <x:c r="F1601" s="18" t="n">
        <x:v>931.27</x:v>
      </x:c>
    </x:row>
    <x:row r="1602">
      <x:c r="A1602" s="14" t="str">
        <x:v>站点</x:v>
      </x:c>
      <x:c r="B1602" s="15" t="str">
        <x:v>巴西</x:v>
      </x:c>
      <x:c r="C1602" s="16" t="n">
        <x:v>46231</x:v>
      </x:c>
      <x:c r="D1602" s="17" t="n">
        <x:v>7</x:v>
      </x:c>
      <x:c r="E1602" s="17" t="n">
        <x:v>8</x:v>
      </x:c>
      <x:c r="F1602" s="18" t="n">
        <x:v>655.3</x:v>
      </x:c>
    </x:row>
    <x:row r="1603">
      <x:c r="A1603" s="14" t="str">
        <x:v>站点</x:v>
      </x:c>
      <x:c r="B1603" s="15" t="str">
        <x:v>巴西</x:v>
      </x:c>
      <x:c r="C1603" s="16" t="n">
        <x:v>46232</x:v>
      </x:c>
      <x:c r="D1603" s="17" t="n">
        <x:v>2</x:v>
      </x:c>
      <x:c r="E1603" s="17" t="n">
        <x:v>2</x:v>
      </x:c>
      <x:c r="F1603" s="18" t="n">
        <x:v>109.75</x:v>
      </x:c>
    </x:row>
    <x:row r="1604">
      <x:c r="A1604" s="14" t="str">
        <x:v>站点</x:v>
      </x:c>
      <x:c r="B1604" s="15" t="str">
        <x:v>巴西</x:v>
      </x:c>
      <x:c r="C1604" s="16" t="n">
        <x:v>46233</x:v>
      </x:c>
      <x:c r="D1604" s="17" t="n">
        <x:v>10</x:v>
      </x:c>
      <x:c r="E1604" s="17" t="n">
        <x:v>12</x:v>
      </x:c>
      <x:c r="F1604" s="18" t="n">
        <x:v>828.1</x:v>
      </x:c>
    </x:row>
    <x:row r="1605">
      <x:c r="A1605" s="14" t="str">
        <x:v>站点</x:v>
      </x:c>
      <x:c r="B1605" s="15" t="str">
        <x:v>巴西</x:v>
      </x:c>
      <x:c r="C1605" s="16" t="n">
        <x:v>46234</x:v>
      </x:c>
      <x:c r="D1605" s="17" t="n">
        <x:v>3</x:v>
      </x:c>
      <x:c r="E1605" s="17" t="n">
        <x:v>3</x:v>
      </x:c>
      <x:c r="F1605" s="18" t="n">
        <x:v>339.43</x:v>
      </x:c>
    </x:row>
    <x:row r="1606">
      <x:c r="A1606" s="14" t="str">
        <x:v>站点</x:v>
      </x:c>
      <x:c r="B1606" s="15" t="str">
        <x:v>巴西</x:v>
      </x:c>
      <x:c r="C1606" s="16" t="n">
        <x:v>46235</x:v>
      </x:c>
      <x:c r="D1606" s="17" t="n">
        <x:v>6</x:v>
      </x:c>
      <x:c r="E1606" s="17" t="n">
        <x:v>7</x:v>
      </x:c>
      <x:c r="F1606" s="18" t="n">
        <x:v>558.75</x:v>
      </x:c>
    </x:row>
    <x:row r="1607">
      <x:c r="A1607" s="14" t="str">
        <x:v>站点</x:v>
      </x:c>
      <x:c r="B1607" s="15" t="str">
        <x:v>巴西</x:v>
      </x:c>
      <x:c r="C1607" s="16" t="n">
        <x:v>46236</x:v>
      </x:c>
      <x:c r="D1607" s="17" t="n">
        <x:v>0</x:v>
      </x:c>
      <x:c r="E1607" s="17" t="n">
        <x:v>0</x:v>
      </x:c>
      <x:c r="F1607" s="18" t="n">
        <x:v>0</x:v>
      </x:c>
    </x:row>
    <x:row r="1608">
      <x:c r="A1608" s="14" t="str">
        <x:v>站点</x:v>
      </x:c>
      <x:c r="B1608" s="15" t="str">
        <x:v>巴西</x:v>
      </x:c>
      <x:c r="C1608" s="16" t="n">
        <x:v>46237</x:v>
      </x:c>
      <x:c r="D1608" s="17" t="n">
        <x:v>13</x:v>
      </x:c>
      <x:c r="E1608" s="17" t="n">
        <x:v>14</x:v>
      </x:c>
      <x:c r="F1608" s="18" t="n">
        <x:v>1041.22</x:v>
      </x:c>
    </x:row>
    <x:row r="1609">
      <x:c r="A1609" s="14" t="str">
        <x:v>站点</x:v>
      </x:c>
      <x:c r="B1609" s="15" t="str">
        <x:v>巴西</x:v>
      </x:c>
      <x:c r="C1609" s="16" t="n">
        <x:v>46238</x:v>
      </x:c>
      <x:c r="D1609" s="17" t="n">
        <x:v>8</x:v>
      </x:c>
      <x:c r="E1609" s="17" t="n">
        <x:v>8</x:v>
      </x:c>
      <x:c r="F1609" s="18" t="n">
        <x:v>721.82</x:v>
      </x:c>
    </x:row>
    <x:row r="1610">
      <x:c r="A1610" s="14" t="str">
        <x:v>站点</x:v>
      </x:c>
      <x:c r="B1610" s="15" t="str">
        <x:v>巴西</x:v>
      </x:c>
      <x:c r="C1610" s="16" t="n">
        <x:v>46239</x:v>
      </x:c>
      <x:c r="D1610" s="17" t="n">
        <x:v>4</x:v>
      </x:c>
      <x:c r="E1610" s="17" t="n">
        <x:v>4</x:v>
      </x:c>
      <x:c r="F1610" s="18" t="n">
        <x:v>363.13</x:v>
      </x:c>
    </x:row>
    <x:row r="1611">
      <x:c r="A1611" s="14" t="str">
        <x:v>站点</x:v>
      </x:c>
      <x:c r="B1611" s="15" t="str">
        <x:v>巴西</x:v>
      </x:c>
      <x:c r="C1611" s="16" t="n">
        <x:v>46240</x:v>
      </x:c>
      <x:c r="D1611" s="17" t="n">
        <x:v>11</x:v>
      </x:c>
      <x:c r="E1611" s="17" t="n">
        <x:v>12</x:v>
      </x:c>
      <x:c r="F1611" s="18" t="n">
        <x:v>951.06</x:v>
      </x:c>
    </x:row>
    <x:row r="1612">
      <x:c r="A1612" s="14" t="str">
        <x:v>站点</x:v>
      </x:c>
      <x:c r="B1612" s="15" t="str">
        <x:v>巴西</x:v>
      </x:c>
      <x:c r="C1612" s="16" t="n">
        <x:v>46241</x:v>
      </x:c>
      <x:c r="D1612" s="17" t="n">
        <x:v>2</x:v>
      </x:c>
      <x:c r="E1612" s="17" t="n">
        <x:v>2</x:v>
      </x:c>
      <x:c r="F1612" s="18" t="n">
        <x:v>109.2</x:v>
      </x:c>
    </x:row>
    <x:row r="1613">
      <x:c r="A1613" s="14" t="str">
        <x:v>站点</x:v>
      </x:c>
      <x:c r="B1613" s="15" t="str">
        <x:v>巴西</x:v>
      </x:c>
      <x:c r="C1613" s="16" t="n">
        <x:v>46242</x:v>
      </x:c>
      <x:c r="D1613" s="17" t="n">
        <x:v>1</x:v>
      </x:c>
      <x:c r="E1613" s="17" t="n">
        <x:v>1</x:v>
      </x:c>
      <x:c r="F1613" s="18" t="n">
        <x:v>45.95</x:v>
      </x:c>
    </x:row>
    <x:row r="1614">
      <x:c r="A1614" s="14" t="str">
        <x:v>站点</x:v>
      </x:c>
      <x:c r="B1614" s="15" t="str">
        <x:v>巴西</x:v>
      </x:c>
      <x:c r="C1614" s="16" t="n">
        <x:v>46243</x:v>
      </x:c>
      <x:c r="D1614" s="17" t="n">
        <x:v>0</x:v>
      </x:c>
      <x:c r="E1614" s="17" t="n">
        <x:v>0</x:v>
      </x:c>
      <x:c r="F1614" s="18" t="n">
        <x:v>0</x:v>
      </x:c>
    </x:row>
    <x:row r="1615">
      <x:c r="A1615" s="14" t="str">
        <x:v>站点</x:v>
      </x:c>
      <x:c r="B1615" s="15" t="str">
        <x:v>巴西</x:v>
      </x:c>
      <x:c r="C1615" s="16" t="n">
        <x:v>46244</x:v>
      </x:c>
      <x:c r="D1615" s="17" t="n">
        <x:v>4</x:v>
      </x:c>
      <x:c r="E1615" s="17" t="n">
        <x:v>5</x:v>
      </x:c>
      <x:c r="F1615" s="18" t="n">
        <x:v>404.14</x:v>
      </x:c>
    </x:row>
    <x:row r="1616">
      <x:c r="A1616" s="14" t="str">
        <x:v>站点</x:v>
      </x:c>
      <x:c r="B1616" s="15" t="str">
        <x:v>巴西</x:v>
      </x:c>
      <x:c r="C1616" s="16" t="n">
        <x:v>46245</x:v>
      </x:c>
      <x:c r="D1616" s="17" t="n">
        <x:v>1</x:v>
      </x:c>
      <x:c r="E1616" s="17" t="n">
        <x:v>1</x:v>
      </x:c>
      <x:c r="F1616" s="18" t="n">
        <x:v>63.25</x:v>
      </x:c>
    </x:row>
    <x:row r="1617">
      <x:c r="A1617" s="14" t="str">
        <x:v>站点</x:v>
      </x:c>
      <x:c r="B1617" s="15" t="str">
        <x:v>巴西</x:v>
      </x:c>
      <x:c r="C1617" s="16" t="n">
        <x:v>46246</x:v>
      </x:c>
      <x:c r="D1617" s="17" t="n">
        <x:v>0</x:v>
      </x:c>
      <x:c r="E1617" s="17" t="n">
        <x:v>0</x:v>
      </x:c>
      <x:c r="F1617" s="18" t="n">
        <x:v>0</x:v>
      </x:c>
    </x:row>
    <x:row r="1618">
      <x:c r="A1618" s="14" t="str">
        <x:v>站点</x:v>
      </x:c>
      <x:c r="B1618" s="15" t="str">
        <x:v>巴西</x:v>
      </x:c>
      <x:c r="C1618" s="16" t="n">
        <x:v>46247</x:v>
      </x:c>
      <x:c r="D1618" s="17" t="n">
        <x:v>4</x:v>
      </x:c>
      <x:c r="E1618" s="17" t="n">
        <x:v>4</x:v>
      </x:c>
      <x:c r="F1618" s="18" t="n">
        <x:v>327.28</x:v>
      </x:c>
    </x:row>
    <x:row r="1619">
      <x:c r="A1619" s="14" t="str">
        <x:v>站点</x:v>
      </x:c>
      <x:c r="B1619" s="15" t="str">
        <x:v>巴西</x:v>
      </x:c>
      <x:c r="C1619" s="16" t="n">
        <x:v>46248</x:v>
      </x:c>
      <x:c r="D1619" s="17" t="n">
        <x:v>1</x:v>
      </x:c>
      <x:c r="E1619" s="17" t="n">
        <x:v>2</x:v>
      </x:c>
      <x:c r="F1619" s="18" t="n">
        <x:v>256.13</x:v>
      </x:c>
    </x:row>
    <x:row r="1620">
      <x:c r="A1620" s="14" t="str">
        <x:v>站点</x:v>
      </x:c>
      <x:c r="B1620" s="15" t="str">
        <x:v>巴西</x:v>
      </x:c>
      <x:c r="C1620" s="16" t="n">
        <x:v>46249</x:v>
      </x:c>
      <x:c r="D1620" s="17" t="n">
        <x:v>0</x:v>
      </x:c>
      <x:c r="E1620" s="17" t="n">
        <x:v>0</x:v>
      </x:c>
      <x:c r="F1620" s="18" t="n">
        <x:v>0</x:v>
      </x:c>
    </x:row>
    <x:row r="1621">
      <x:c r="A1621" s="14" t="str">
        <x:v>站点</x:v>
      </x:c>
      <x:c r="B1621" s="15" t="str">
        <x:v>巴西</x:v>
      </x:c>
      <x:c r="C1621" s="16" t="n">
        <x:v>46250</x:v>
      </x:c>
      <x:c r="D1621" s="17" t="n">
        <x:v>0</x:v>
      </x:c>
      <x:c r="E1621" s="17" t="n">
        <x:v>0</x:v>
      </x:c>
      <x:c r="F1621" s="18" t="n">
        <x:v>0</x:v>
      </x:c>
    </x:row>
    <x:row r="1622">
      <x:c r="A1622" s="14" t="str">
        <x:v>站点</x:v>
      </x:c>
      <x:c r="B1622" s="15" t="str">
        <x:v>巴西</x:v>
      </x:c>
      <x:c r="C1622" s="16" t="n">
        <x:v>46251</x:v>
      </x:c>
      <x:c r="D1622" s="17" t="n">
        <x:v>6</x:v>
      </x:c>
      <x:c r="E1622" s="17" t="n">
        <x:v>7</x:v>
      </x:c>
      <x:c r="F1622" s="18" t="n">
        <x:v>599.76</x:v>
      </x:c>
    </x:row>
    <x:row r="1623">
      <x:c r="A1623" s="14" t="str">
        <x:v>站点</x:v>
      </x:c>
      <x:c r="B1623" s="15" t="str">
        <x:v>巴西</x:v>
      </x:c>
      <x:c r="C1623" s="16" t="n">
        <x:v>46252</x:v>
      </x:c>
      <x:c r="D1623" s="17" t="n">
        <x:v>0</x:v>
      </x:c>
      <x:c r="E1623" s="17" t="n">
        <x:v>0</x:v>
      </x:c>
      <x:c r="F1623" s="18" t="n">
        <x:v>0</x:v>
      </x:c>
    </x:row>
    <x:row r="1624">
      <x:c r="A1624" s="14" t="str">
        <x:v>站点</x:v>
      </x:c>
      <x:c r="B1624" s="15" t="str">
        <x:v>巴西</x:v>
      </x:c>
      <x:c r="C1624" s="16" t="n">
        <x:v>46253</x:v>
      </x:c>
      <x:c r="D1624" s="17" t="n">
        <x:v>6</x:v>
      </x:c>
      <x:c r="E1624" s="17" t="n">
        <x:v>8</x:v>
      </x:c>
      <x:c r="F1624" s="18" t="n">
        <x:v>387.56</x:v>
      </x:c>
    </x:row>
    <x:row r="1625">
      <x:c r="A1625" s="19" t="str">
        <x:v>站点</x:v>
      </x:c>
      <x:c r="B1625" s="20" t="str">
        <x:v>巴西</x:v>
      </x:c>
      <x:c r="C1625" s="21" t="n">
        <x:v>46254</x:v>
      </x:c>
      <x:c r="D1625" s="22" t="n">
        <x:v>1</x:v>
      </x:c>
      <x:c r="E1625" s="22" t="n">
        <x:v>1</x:v>
      </x:c>
      <x:c r="F1625" s="23" t="n">
        <x:v>45.95</x:v>
      </x:c>
    </x:row>
  </x:sheetData>
  <x:pageMargins left="0.7" right="0.7" top="0.75" bottom="0.75" header="0.3" footer="0.3"/>
  <x:tableParts count="1">
    <x:tablePart xmlns:r="http://schemas.openxmlformats.org/officeDocument/2006/relationships" r:id="R1863de50f55d4c9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9" hidden="0" customWidth="1"/>
    <x:col min="4" max="4" width="9" hidden="0" customWidth="1"/>
    <x:col min="5" max="5" width="9" hidden="0" customWidth="1"/>
    <x:col min="6" max="6" width="9" hidden="0" customWidth="1"/>
    <x:col min="7" max="7" width="9" hidden="0" customWidth="1"/>
    <x:col min="8" max="8" width="9" hidden="0" customWidth="1"/>
    <x:col min="9" max="9" width="9" hidden="0" customWidth="1"/>
    <x:col min="10" max="10" width="9" hidden="0" customWidth="1"/>
    <x:col min="11" max="11" width="9" hidden="0" customWidth="1"/>
    <x:col min="12" max="12" width="9" hidden="0" customWidth="1"/>
    <x:col min="13" max="13" width="9" hidden="0" customWidth="1"/>
    <x:col min="14" max="14" width="9" hidden="0" customWidth="1"/>
    <x:col min="15" max="15" width="9" hidden="0" customWidth="1"/>
    <x:col min="16" max="16" width="9" hidden="0" customWidth="1"/>
    <x:col min="17" max="17" width="9" hidden="0" customWidth="1"/>
    <x:col min="18" max="18" width="9" hidden="0" customWidth="1"/>
    <x:col min="19" max="19" width="9" hidden="0" customWidth="1"/>
    <x:col min="20" max="20" width="9" hidden="0" customWidth="1"/>
    <x:col min="21" max="21" width="9" hidden="0" customWidth="1"/>
    <x:col min="22" max="22" width="9" hidden="0" customWidth="1"/>
    <x:col min="23" max="23" width="9" hidden="0" customWidth="1"/>
    <x:col min="24" max="24" width="9" hidden="0" customWidth="1"/>
    <x:col min="25" max="25" width="9" hidden="0" customWidth="1"/>
    <x:col min="26" max="26" width="9" hidden="0" customWidth="1"/>
    <x:col min="27" max="27" width="9" hidden="0" customWidth="1"/>
    <x:col min="28" max="28" width="9" hidden="0" customWidth="1"/>
    <x:col min="29" max="29" width="9" hidden="0" customWidth="1"/>
    <x:col min="30" max="30" width="9" hidden="0" customWidth="1"/>
    <x:col min="31" max="31" width="9" hidden="0" customWidth="1"/>
    <x:col min="32" max="32" width="9" hidden="0" customWidth="1"/>
    <x:col min="33" max="33" width="9" hidden="0" customWidth="1"/>
  </x:cols>
  <x:sheetData>
    <x:row r="1" ht="32" customHeight="1">
      <x:c r="A1" s="96" t="str">
        <x:v>2026 年销售趋势｜店长与站点</x:v>
      </x:c>
      <x:c r="B1" s="96"/>
      <x:c r="C1" s="96"/>
      <x:c r="D1" s="96"/>
      <x:c r="E1" s="96"/>
      <x:c r="F1" s="96"/>
      <x:c r="G1" s="96"/>
      <x:c r="H1" s="96"/>
      <x:c r="I1" s="96"/>
      <x:c r="J1" s="96"/>
      <x:c r="K1" s="96"/>
      <x:c r="L1" s="96"/>
      <x:c r="M1" s="96"/>
      <x:c r="N1" s="96"/>
      <x:c r="O1" s="96"/>
      <x:c r="P1" s="96"/>
      <x:c r="Q1" s="96"/>
      <x:c r="R1" s="96"/>
      <x:c r="S1" s="96"/>
      <x:c r="T1" s="96"/>
      <x:c r="U1" s="96"/>
      <x:c r="V1" s="96"/>
      <x:c r="W1" s="96"/>
      <x:c r="X1" s="96"/>
      <x:c r="Y1" s="96"/>
      <x:c r="Z1" s="96"/>
      <x:c r="AA1" s="96"/>
      <x:c r="AB1" s="96"/>
      <x:c r="AC1" s="96"/>
      <x:c r="AD1" s="96"/>
      <x:c r="AE1" s="96"/>
      <x:c r="AF1" s="96"/>
      <x:c r="AG1" s="96"/>
    </x:row>
    <x:row r="2">
      <x:c r="A2" s="100" t="str">
        <x:v>口径：发货时间业绩。每个面板左侧为多条销量/订单折线，右侧为同色系发货金额柱状；站点仅统计总监王云、许炎范围。</x:v>
      </x:c>
      <x:c r="B2" s="100"/>
      <x:c r="C2" s="100"/>
      <x:c r="D2" s="100"/>
      <x:c r="E2" s="100"/>
      <x:c r="F2" s="100"/>
      <x:c r="G2" s="100"/>
      <x:c r="H2" s="100"/>
      <x:c r="I2" s="100"/>
      <x:c r="J2" s="100"/>
      <x:c r="K2" s="100"/>
      <x:c r="L2" s="100"/>
      <x:c r="M2" s="100"/>
      <x:c r="N2" s="100"/>
      <x:c r="O2" s="100"/>
      <x:c r="P2" s="100"/>
      <x:c r="Q2" s="100"/>
      <x:c r="R2" s="100"/>
      <x:c r="S2" s="100"/>
      <x:c r="T2" s="100"/>
      <x:c r="U2" s="100"/>
      <x:c r="V2" s="100"/>
      <x:c r="W2" s="100"/>
      <x:c r="X2" s="100"/>
      <x:c r="Y2" s="100"/>
      <x:c r="Z2" s="100"/>
      <x:c r="AA2" s="100"/>
      <x:c r="AB2" s="100"/>
      <x:c r="AC2" s="100"/>
      <x:c r="AD2" s="100"/>
      <x:c r="AE2" s="100"/>
      <x:c r="AF2" s="100"/>
      <x:c r="AG2" s="100"/>
    </x:row>
    <x:row r="4" ht="23" customHeight="1">
      <x:c r="A4" s="102" t="str">
        <x:v>店长维度｜按天（密集）</x:v>
      </x:c>
      <x:c r="B4" s="102"/>
      <x:c r="C4" s="102"/>
      <x:c r="D4" s="102"/>
      <x:c r="E4" s="102"/>
      <x:c r="F4" s="102"/>
      <x:c r="G4" s="102"/>
      <x:c r="H4" s="102"/>
      <x:c r="I4" s="102"/>
      <x:c r="J4" s="102"/>
      <x:c r="K4" s="102"/>
      <x:c r="L4" s="102"/>
      <x:c r="M4" s="102"/>
      <x:c r="N4" s="102"/>
      <x:c r="O4" s="102"/>
      <x:c r="P4" s="102"/>
      <x:c r="Q4" s="102"/>
      <x:c r="R4" s="102"/>
      <x:c r="S4" s="102"/>
      <x:c r="T4" s="102"/>
      <x:c r="U4" s="102"/>
      <x:c r="V4" s="102"/>
      <x:c r="W4" s="102"/>
      <x:c r="X4" s="102"/>
      <x:c r="Y4" s="102"/>
      <x:c r="Z4" s="102"/>
      <x:c r="AA4" s="102"/>
      <x:c r="AB4" s="102"/>
      <x:c r="AC4" s="102"/>
      <x:c r="AD4" s="102"/>
      <x:c r="AE4" s="102"/>
      <x:c r="AF4" s="102"/>
      <x:c r="AG4" s="102"/>
    </x:row>
    <x:row r="5" ht="20" customHeight="1">
      <x:c r="A5" s="103" t="str">
        <x:v> </x:v>
      </x:c>
      <x:c r="B5" s="105" t="str">
        <x:v>王云</x:v>
      </x:c>
      <x:c r="C5" s="105" t="str">
        <x:v>王云</x:v>
      </x:c>
      <x:c r="D5" s="107" t="str">
        <x:v> </x:v>
      </x:c>
      <x:c r="E5" s="105" t="str">
        <x:v>樊永鹏</x:v>
      </x:c>
      <x:c r="F5" s="105" t="str">
        <x:v>樊永鹏</x:v>
      </x:c>
      <x:c r="G5" s="109" t="str">
        <x:v> </x:v>
      </x:c>
      <x:c r="H5" s="105" t="str">
        <x:v>侯兴华</x:v>
      </x:c>
      <x:c r="I5" s="105" t="str">
        <x:v>侯兴华</x:v>
      </x:c>
      <x:c r="J5" s="111" t="str">
        <x:v> </x:v>
      </x:c>
      <x:c r="K5" s="105" t="str">
        <x:v>张垒</x:v>
      </x:c>
      <x:c r="L5" s="105" t="str">
        <x:v>张垒</x:v>
      </x:c>
      <x:c r="M5" s="113" t="str">
        <x:v> </x:v>
      </x:c>
      <x:c r="N5" s="105" t="str">
        <x:v>李雪雪</x:v>
      </x:c>
      <x:c r="O5" s="105" t="str">
        <x:v>李雪雪</x:v>
      </x:c>
      <x:c r="P5" s="115" t="str">
        <x:v> </x:v>
      </x:c>
      <x:c r="Q5" s="105" t="str">
        <x:v>朱春雨</x:v>
      </x:c>
      <x:c r="R5" s="105" t="str">
        <x:v>朱春雨</x:v>
      </x:c>
      <x:c r="S5" s="117" t="str">
        <x:v> </x:v>
      </x:c>
      <x:c r="T5" s="105" t="str">
        <x:v>吴承龙</x:v>
      </x:c>
      <x:c r="U5" s="105" t="str">
        <x:v>吴承龙</x:v>
      </x:c>
      <x:c r="V5" s="119" t="str">
        <x:v> </x:v>
      </x:c>
      <x:c r="W5" s="105" t="str">
        <x:v>叶娜</x:v>
      </x:c>
      <x:c r="X5" s="105" t="str">
        <x:v>叶娜</x:v>
      </x:c>
      <x:c r="Y5" s="121" t="str">
        <x:v> </x:v>
      </x:c>
      <x:c r="Z5" s="105" t="str">
        <x:v>徐跃男</x:v>
      </x:c>
      <x:c r="AA5" s="105" t="str">
        <x:v>徐跃男</x:v>
      </x:c>
      <x:c r="AB5" s="123" t="str">
        <x:v> </x:v>
      </x:c>
      <x:c r="AC5" s="105" t="str">
        <x:v>许炎</x:v>
      </x:c>
      <x:c r="AD5" s="105" t="str">
        <x:v>许炎</x:v>
      </x:c>
    </x:row>
    <x:row r="25" ht="23" customHeight="1">
      <x:c r="A25" s="102" t="str">
        <x:v>店长维度｜按月综合</x:v>
      </x:c>
      <x:c r="B25" s="102"/>
      <x:c r="C25" s="102"/>
      <x:c r="D25" s="102"/>
      <x:c r="E25" s="102"/>
      <x:c r="F25" s="102"/>
      <x:c r="G25" s="102"/>
      <x:c r="H25" s="102"/>
      <x:c r="I25" s="102"/>
      <x:c r="J25" s="102"/>
      <x:c r="K25" s="102"/>
      <x:c r="L25" s="102"/>
      <x:c r="M25" s="102"/>
      <x:c r="N25" s="102"/>
      <x:c r="O25" s="102"/>
      <x:c r="P25" s="102"/>
      <x:c r="Q25" s="102"/>
      <x:c r="R25" s="102"/>
      <x:c r="S25" s="102"/>
      <x:c r="T25" s="102"/>
      <x:c r="U25" s="102"/>
      <x:c r="V25" s="102"/>
      <x:c r="W25" s="102"/>
      <x:c r="X25" s="102"/>
      <x:c r="Y25" s="102"/>
      <x:c r="Z25" s="102"/>
      <x:c r="AA25" s="102"/>
      <x:c r="AB25" s="102"/>
      <x:c r="AC25" s="102"/>
      <x:c r="AD25" s="102"/>
      <x:c r="AE25" s="102"/>
      <x:c r="AF25" s="102"/>
      <x:c r="AG25" s="102"/>
    </x:row>
    <x:row r="26" ht="20" customHeight="1">
      <x:c r="A26" s="103" t="str">
        <x:v> </x:v>
      </x:c>
      <x:c r="B26" s="105" t="str">
        <x:v>王云</x:v>
      </x:c>
      <x:c r="C26" s="105" t="str">
        <x:v>王云</x:v>
      </x:c>
      <x:c r="D26" s="107" t="str">
        <x:v> </x:v>
      </x:c>
      <x:c r="E26" s="105" t="str">
        <x:v>樊永鹏</x:v>
      </x:c>
      <x:c r="F26" s="105" t="str">
        <x:v>樊永鹏</x:v>
      </x:c>
      <x:c r="G26" s="109" t="str">
        <x:v> </x:v>
      </x:c>
      <x:c r="H26" s="105" t="str">
        <x:v>侯兴华</x:v>
      </x:c>
      <x:c r="I26" s="105" t="str">
        <x:v>侯兴华</x:v>
      </x:c>
      <x:c r="J26" s="111" t="str">
        <x:v> </x:v>
      </x:c>
      <x:c r="K26" s="105" t="str">
        <x:v>张垒</x:v>
      </x:c>
      <x:c r="L26" s="105" t="str">
        <x:v>张垒</x:v>
      </x:c>
      <x:c r="M26" s="113" t="str">
        <x:v> </x:v>
      </x:c>
      <x:c r="N26" s="105" t="str">
        <x:v>李雪雪</x:v>
      </x:c>
      <x:c r="O26" s="105" t="str">
        <x:v>李雪雪</x:v>
      </x:c>
      <x:c r="P26" s="115" t="str">
        <x:v> </x:v>
      </x:c>
      <x:c r="Q26" s="105" t="str">
        <x:v>朱春雨</x:v>
      </x:c>
      <x:c r="R26" s="105" t="str">
        <x:v>朱春雨</x:v>
      </x:c>
      <x:c r="S26" s="117" t="str">
        <x:v> </x:v>
      </x:c>
      <x:c r="T26" s="105" t="str">
        <x:v>吴承龙</x:v>
      </x:c>
      <x:c r="U26" s="105" t="str">
        <x:v>吴承龙</x:v>
      </x:c>
      <x:c r="V26" s="119" t="str">
        <x:v> </x:v>
      </x:c>
      <x:c r="W26" s="105" t="str">
        <x:v>叶娜</x:v>
      </x:c>
      <x:c r="X26" s="105" t="str">
        <x:v>叶娜</x:v>
      </x:c>
      <x:c r="Y26" s="121" t="str">
        <x:v> </x:v>
      </x:c>
      <x:c r="Z26" s="105" t="str">
        <x:v>徐跃男</x:v>
      </x:c>
      <x:c r="AA26" s="105" t="str">
        <x:v>徐跃男</x:v>
      </x:c>
      <x:c r="AB26" s="123" t="str">
        <x:v> </x:v>
      </x:c>
      <x:c r="AC26" s="105" t="str">
        <x:v>许炎</x:v>
      </x:c>
      <x:c r="AD26" s="105" t="str">
        <x:v>许炎</x:v>
      </x:c>
    </x:row>
    <x:row r="46" ht="23" customHeight="1">
      <x:c r="A46" s="102" t="str">
        <x:v>站点维度｜按天（密集）</x:v>
      </x:c>
      <x:c r="B46" s="102"/>
      <x:c r="C46" s="102"/>
      <x:c r="D46" s="102"/>
      <x:c r="E46" s="102"/>
      <x:c r="F46" s="102"/>
      <x:c r="G46" s="102"/>
      <x:c r="H46" s="102"/>
      <x:c r="I46" s="102"/>
      <x:c r="J46" s="102"/>
      <x:c r="K46" s="102"/>
      <x:c r="L46" s="102"/>
      <x:c r="M46" s="102"/>
      <x:c r="N46" s="102"/>
      <x:c r="O46" s="102"/>
      <x:c r="P46" s="102"/>
      <x:c r="Q46" s="102"/>
      <x:c r="R46" s="102"/>
      <x:c r="S46" s="102"/>
      <x:c r="T46" s="102"/>
      <x:c r="U46" s="102"/>
      <x:c r="V46" s="102"/>
      <x:c r="W46" s="102"/>
      <x:c r="X46" s="102"/>
      <x:c r="Y46" s="102"/>
      <x:c r="Z46" s="102"/>
      <x:c r="AA46" s="102"/>
      <x:c r="AB46" s="102"/>
      <x:c r="AC46" s="102"/>
      <x:c r="AD46" s="102"/>
      <x:c r="AE46" s="102"/>
      <x:c r="AF46" s="102"/>
      <x:c r="AG46" s="102"/>
    </x:row>
    <x:row r="47" ht="20" customHeight="1">
      <x:c r="A47" s="103" t="str">
        <x:v> </x:v>
      </x:c>
      <x:c r="B47" s="105" t="str">
        <x:v>印度尼西亚</x:v>
      </x:c>
      <x:c r="C47" s="105" t="str">
        <x:v>印度尼西亚</x:v>
      </x:c>
      <x:c r="D47" s="107" t="str">
        <x:v> </x:v>
      </x:c>
      <x:c r="E47" s="105" t="str">
        <x:v>菲律宾</x:v>
      </x:c>
      <x:c r="F47" s="105" t="str">
        <x:v>菲律宾</x:v>
      </x:c>
      <x:c r="G47" s="109" t="str">
        <x:v> </x:v>
      </x:c>
      <x:c r="H47" s="105" t="str">
        <x:v>越南</x:v>
      </x:c>
      <x:c r="I47" s="105" t="str">
        <x:v>越南</x:v>
      </x:c>
      <x:c r="J47" s="111" t="str">
        <x:v> </x:v>
      </x:c>
      <x:c r="K47" s="105" t="str">
        <x:v>马来西亚</x:v>
      </x:c>
      <x:c r="L47" s="105" t="str">
        <x:v>马来西亚</x:v>
      </x:c>
      <x:c r="M47" s="113" t="str">
        <x:v> </x:v>
      </x:c>
      <x:c r="N47" s="105" t="str">
        <x:v>泰国</x:v>
      </x:c>
      <x:c r="O47" s="105" t="str">
        <x:v>泰国</x:v>
      </x:c>
      <x:c r="P47" s="115" t="str">
        <x:v> </x:v>
      </x:c>
      <x:c r="Q47" s="105" t="str">
        <x:v>墨西哥</x:v>
      </x:c>
      <x:c r="R47" s="105" t="str">
        <x:v>墨西哥</x:v>
      </x:c>
      <x:c r="S47" s="117" t="str">
        <x:v> </x:v>
      </x:c>
      <x:c r="T47" s="105" t="str">
        <x:v>巴西</x:v>
      </x:c>
      <x:c r="U47" s="105" t="str">
        <x:v>巴西</x:v>
      </x:c>
    </x:row>
    <x:row r="67" ht="23" customHeight="1">
      <x:c r="A67" s="102" t="str">
        <x:v>站点维度｜按月综合</x:v>
      </x:c>
      <x:c r="B67" s="102"/>
      <x:c r="C67" s="102"/>
      <x:c r="D67" s="102"/>
      <x:c r="E67" s="102"/>
      <x:c r="F67" s="102"/>
      <x:c r="G67" s="102"/>
      <x:c r="H67" s="102"/>
      <x:c r="I67" s="102"/>
      <x:c r="J67" s="102"/>
      <x:c r="K67" s="102"/>
      <x:c r="L67" s="102"/>
      <x:c r="M67" s="102"/>
      <x:c r="N67" s="102"/>
      <x:c r="O67" s="102"/>
      <x:c r="P67" s="102"/>
      <x:c r="Q67" s="102"/>
      <x:c r="R67" s="102"/>
      <x:c r="S67" s="102"/>
      <x:c r="T67" s="102"/>
      <x:c r="U67" s="102"/>
      <x:c r="V67" s="102"/>
      <x:c r="W67" s="102"/>
      <x:c r="X67" s="102"/>
      <x:c r="Y67" s="102"/>
      <x:c r="Z67" s="102"/>
      <x:c r="AA67" s="102"/>
      <x:c r="AB67" s="102"/>
      <x:c r="AC67" s="102"/>
      <x:c r="AD67" s="102"/>
      <x:c r="AE67" s="102"/>
      <x:c r="AF67" s="102"/>
      <x:c r="AG67" s="102"/>
    </x:row>
    <x:row r="68" ht="20" customHeight="1">
      <x:c r="A68" s="103" t="str">
        <x:v> </x:v>
      </x:c>
      <x:c r="B68" s="105" t="str">
        <x:v>印度尼西亚</x:v>
      </x:c>
      <x:c r="C68" s="105" t="str">
        <x:v>印度尼西亚</x:v>
      </x:c>
      <x:c r="D68" s="107" t="str">
        <x:v> </x:v>
      </x:c>
      <x:c r="E68" s="105" t="str">
        <x:v>菲律宾</x:v>
      </x:c>
      <x:c r="F68" s="105" t="str">
        <x:v>菲律宾</x:v>
      </x:c>
      <x:c r="G68" s="109" t="str">
        <x:v> </x:v>
      </x:c>
      <x:c r="H68" s="105" t="str">
        <x:v>越南</x:v>
      </x:c>
      <x:c r="I68" s="105" t="str">
        <x:v>越南</x:v>
      </x:c>
      <x:c r="J68" s="111" t="str">
        <x:v> </x:v>
      </x:c>
      <x:c r="K68" s="105" t="str">
        <x:v>马来西亚</x:v>
      </x:c>
      <x:c r="L68" s="105" t="str">
        <x:v>马来西亚</x:v>
      </x:c>
      <x:c r="M68" s="113" t="str">
        <x:v> </x:v>
      </x:c>
      <x:c r="N68" s="105" t="str">
        <x:v>泰国</x:v>
      </x:c>
      <x:c r="O68" s="105" t="str">
        <x:v>泰国</x:v>
      </x:c>
      <x:c r="P68" s="115" t="str">
        <x:v> </x:v>
      </x:c>
      <x:c r="Q68" s="105" t="str">
        <x:v>墨西哥</x:v>
      </x:c>
      <x:c r="R68" s="105" t="str">
        <x:v>墨西哥</x:v>
      </x:c>
      <x:c r="S68" s="117" t="str">
        <x:v> </x:v>
      </x:c>
      <x:c r="T68" s="105" t="str">
        <x:v>巴西</x:v>
      </x:c>
      <x:c r="U68" s="105" t="str">
        <x:v>巴西</x:v>
      </x:c>
    </x:row>
  </x:sheetData>
  <x:mergeCells>
    <x:mergeCell ref="A1:AG1"/>
    <x:mergeCell ref="A2:AG2"/>
    <x:mergeCell ref="A4:AG4"/>
    <x:mergeCell ref="B5:C5"/>
    <x:mergeCell ref="E5:F5"/>
    <x:mergeCell ref="H5:I5"/>
    <x:mergeCell ref="K5:L5"/>
    <x:mergeCell ref="N5:O5"/>
    <x:mergeCell ref="Q5:R5"/>
    <x:mergeCell ref="T5:U5"/>
    <x:mergeCell ref="W5:X5"/>
    <x:mergeCell ref="Z5:AA5"/>
    <x:mergeCell ref="AC5:AD5"/>
    <x:mergeCell ref="A25:AG25"/>
    <x:mergeCell ref="B26:C26"/>
    <x:mergeCell ref="E26:F26"/>
    <x:mergeCell ref="H26:I26"/>
    <x:mergeCell ref="K26:L26"/>
    <x:mergeCell ref="N26:O26"/>
    <x:mergeCell ref="Q26:R26"/>
    <x:mergeCell ref="T26:U26"/>
    <x:mergeCell ref="W26:X26"/>
    <x:mergeCell ref="Z26:AA26"/>
    <x:mergeCell ref="AC26:AD26"/>
    <x:mergeCell ref="A46:AG46"/>
    <x:mergeCell ref="B47:C47"/>
    <x:mergeCell ref="E47:F47"/>
    <x:mergeCell ref="H47:I47"/>
    <x:mergeCell ref="K47:L47"/>
    <x:mergeCell ref="N47:O47"/>
    <x:mergeCell ref="Q47:R47"/>
    <x:mergeCell ref="T47:U47"/>
    <x:mergeCell ref="A67:AG67"/>
    <x:mergeCell ref="B68:C68"/>
    <x:mergeCell ref="E68:F68"/>
    <x:mergeCell ref="H68:I68"/>
    <x:mergeCell ref="K68:L68"/>
    <x:mergeCell ref="N68:O68"/>
    <x:mergeCell ref="Q68:R68"/>
    <x:mergeCell ref="T68:U68"/>
  </x:mergeCells>
  <x:pageMargins left="0.7" right="0.7" top="0.75" bottom="0.75" header="0.3" footer="0.3"/>
  <x:drawing xmlns:r="http://schemas.openxmlformats.org/officeDocument/2006/relationships" r:id="R8a7f64291aa54bbd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  <x:col min="24" max="24" width="12" hidden="0" customWidth="1"/>
    <x:col min="25" max="25" width="12" hidden="0" customWidth="1"/>
    <x:col min="26" max="26" width="12" hidden="0" customWidth="1"/>
    <x:col min="27" max="27" width="12" hidden="0" customWidth="1"/>
    <x:col min="28" max="28" width="12" hidden="0" customWidth="1"/>
    <x:col min="29" max="29" width="12" hidden="0" customWidth="1"/>
    <x:col min="30" max="30" width="12" hidden="0" customWidth="1"/>
    <x:col min="31" max="31" width="12" hidden="0" customWidth="1"/>
    <x:col min="32" max="32" width="12" hidden="0" customWidth="1"/>
  </x:cols>
  <x:sheetData>
    <x:row r="1" ht="28" customHeight="1">
      <x:c r="A1" s="73" t="str">
        <x:v>图表数据｜明细页公式聚合，可随数据更新</x:v>
      </x:c>
      <x:c r="B1" s="73"/>
      <x:c r="C1" s="73"/>
      <x:c r="D1" s="73"/>
      <x:c r="E1" s="73"/>
      <x:c r="F1" s="73"/>
      <x:c r="G1" s="73"/>
      <x:c r="H1" s="73"/>
      <x:c r="I1" s="73"/>
      <x:c r="J1" s="73"/>
      <x:c r="K1" s="73"/>
      <x:c r="L1" s="73"/>
      <x:c r="M1" s="73"/>
      <x:c r="N1" s="73"/>
      <x:c r="O1" s="73"/>
      <x:c r="P1" s="73"/>
      <x:c r="Q1" s="73"/>
      <x:c r="R1" s="73"/>
      <x:c r="S1" s="73"/>
      <x:c r="T1" s="73"/>
      <x:c r="U1" s="73"/>
      <x:c r="V1" s="73"/>
      <x:c r="W1" s="73"/>
      <x:c r="X1" s="73"/>
      <x:c r="Y1" s="73"/>
      <x:c r="Z1" s="73"/>
      <x:c r="AA1" s="73"/>
      <x:c r="AB1" s="73"/>
      <x:c r="AC1" s="73"/>
      <x:c r="AD1" s="73"/>
      <x:c r="AE1" s="73"/>
      <x:c r="AF1" s="73"/>
    </x:row>
    <x:row r="3" ht="24" customHeight="1">
      <x:c r="A3" s="75" t="str">
        <x:v>店长维度｜按天（密集）｜公式图表数据</x:v>
      </x:c>
      <x:c r="B3" s="75"/>
      <x:c r="C3" s="75"/>
      <x:c r="D3" s="75"/>
      <x:c r="E3" s="75"/>
      <x:c r="F3" s="75"/>
      <x:c r="G3" s="75"/>
      <x:c r="H3" s="75"/>
      <x:c r="I3" s="75"/>
      <x:c r="J3" s="75"/>
      <x:c r="K3" s="75"/>
      <x:c r="L3" s="75"/>
      <x:c r="M3" s="75"/>
      <x:c r="N3" s="75"/>
      <x:c r="O3" s="75"/>
      <x:c r="P3" s="75"/>
      <x:c r="Q3" s="75"/>
      <x:c r="R3" s="75"/>
      <x:c r="S3" s="75"/>
      <x:c r="T3" s="75"/>
      <x:c r="U3" s="75"/>
      <x:c r="V3" s="75"/>
      <x:c r="W3" s="75"/>
      <x:c r="X3" s="75"/>
      <x:c r="Y3" s="75"/>
      <x:c r="Z3" s="75"/>
      <x:c r="AA3" s="75"/>
      <x:c r="AB3" s="75"/>
      <x:c r="AC3" s="75"/>
      <x:c r="AD3" s="75"/>
      <x:c r="AE3" s="75"/>
      <x:c r="AF3" s="75"/>
    </x:row>
    <x:row r="4" ht="34" customHeight="1">
      <x:c r="A4" s="81" t="str">
        <x:v>时间标签</x:v>
      </x:c>
      <x:c r="B4" s="82" t="str">
        <x:v>时间值</x:v>
      </x:c>
      <x:c r="C4" s="82" t="str">
        <x:v>王云_销量</x:v>
      </x:c>
      <x:c r="D4" s="82" t="str">
        <x:v>王云_订单</x:v>
      </x:c>
      <x:c r="E4" s="82" t="str">
        <x:v>樊永鹏_销量</x:v>
      </x:c>
      <x:c r="F4" s="82" t="str">
        <x:v>樊永鹏_订单</x:v>
      </x:c>
      <x:c r="G4" s="82" t="str">
        <x:v>侯兴华_销量</x:v>
      </x:c>
      <x:c r="H4" s="82" t="str">
        <x:v>侯兴华_订单</x:v>
      </x:c>
      <x:c r="I4" s="82" t="str">
        <x:v>张垒_销量</x:v>
      </x:c>
      <x:c r="J4" s="82" t="str">
        <x:v>张垒_订单</x:v>
      </x:c>
      <x:c r="K4" s="82" t="str">
        <x:v>李雪雪_销量</x:v>
      </x:c>
      <x:c r="L4" s="82" t="str">
        <x:v>李雪雪_订单</x:v>
      </x:c>
      <x:c r="M4" s="82" t="str">
        <x:v>朱春雨_销量</x:v>
      </x:c>
      <x:c r="N4" s="82" t="str">
        <x:v>朱春雨_订单</x:v>
      </x:c>
      <x:c r="O4" s="82" t="str">
        <x:v>吴承龙_销量</x:v>
      </x:c>
      <x:c r="P4" s="82" t="str">
        <x:v>吴承龙_订单</x:v>
      </x:c>
      <x:c r="Q4" s="82" t="str">
        <x:v>叶娜_销量</x:v>
      </x:c>
      <x:c r="R4" s="82" t="str">
        <x:v>叶娜_订单</x:v>
      </x:c>
      <x:c r="S4" s="82" t="str">
        <x:v>徐跃男_销量</x:v>
      </x:c>
      <x:c r="T4" s="82" t="str">
        <x:v>徐跃男_订单</x:v>
      </x:c>
      <x:c r="U4" s="82" t="str">
        <x:v>许炎_销量</x:v>
      </x:c>
      <x:c r="V4" s="82" t="str">
        <x:v>许炎_订单</x:v>
      </x:c>
      <x:c r="W4" s="82" t="str">
        <x:v>王云_发货金额</x:v>
      </x:c>
      <x:c r="X4" s="82" t="str">
        <x:v>樊永鹏_发货金额</x:v>
      </x:c>
      <x:c r="Y4" s="82" t="str">
        <x:v>侯兴华_发货金额</x:v>
      </x:c>
      <x:c r="Z4" s="82" t="str">
        <x:v>张垒_发货金额</x:v>
      </x:c>
      <x:c r="AA4" s="82" t="str">
        <x:v>李雪雪_发货金额</x:v>
      </x:c>
      <x:c r="AB4" s="82" t="str">
        <x:v>朱春雨_发货金额</x:v>
      </x:c>
      <x:c r="AC4" s="82" t="str">
        <x:v>吴承龙_发货金额</x:v>
      </x:c>
      <x:c r="AD4" s="82" t="str">
        <x:v>叶娜_发货金额</x:v>
      </x:c>
      <x:c r="AE4" s="82" t="str">
        <x:v>徐跃男_发货金额</x:v>
      </x:c>
      <x:c r="AF4" s="83" t="str">
        <x:v>许炎_发货金额</x:v>
      </x:c>
    </x:row>
    <x:row r="5">
      <x:c r="A5" t="str">
        <x:f>TEXT($B5,"mm-dd")</x:f>
        <x:v>01-01</x:v>
      </x:c>
      <x:c r="B5" s="9" t="n">
        <x:f>'店长明细'!$C2</x:f>
        <x:v>46023</x:v>
      </x:c>
      <x:c r="C5" s="10" t="n">
        <x:f>'店长明细'!$E2</x:f>
        <x:v>275</x:v>
      </x:c>
      <x:c r="D5" s="10" t="n">
        <x:f>'店长明细'!$D2</x:f>
        <x:v>174</x:v>
      </x:c>
      <x:c r="E5" s="10" t="n">
        <x:f>'店长明细'!$E234</x:f>
        <x:v>2254</x:v>
      </x:c>
      <x:c r="F5" s="10" t="n">
        <x:f>'店长明细'!$D234</x:f>
        <x:v>1462</x:v>
      </x:c>
      <x:c r="G5" s="10" t="n">
        <x:f>'店长明细'!$E466</x:f>
        <x:v>1938</x:v>
      </x:c>
      <x:c r="H5" s="10" t="n">
        <x:f>'店长明细'!$D466</x:f>
        <x:v>905</x:v>
      </x:c>
      <x:c r="I5" s="10" t="n">
        <x:f>'店长明细'!$E698</x:f>
        <x:v>29</x:v>
      </x:c>
      <x:c r="J5" s="10" t="n">
        <x:f>'店长明细'!$D698</x:f>
        <x:v>19</x:v>
      </x:c>
      <x:c r="K5" s="10" t="n">
        <x:f>'店长明细'!$E930</x:f>
        <x:v>10</x:v>
      </x:c>
      <x:c r="L5" s="10" t="n">
        <x:f>'店长明细'!$D930</x:f>
        <x:v>9</x:v>
      </x:c>
      <x:c r="M5" s="10" t="n">
        <x:f>'店长明细'!$E1162</x:f>
        <x:v>258</x:v>
      </x:c>
      <x:c r="N5" s="10" t="n">
        <x:f>'店长明细'!$D1162</x:f>
        <x:v>99</x:v>
      </x:c>
      <x:c r="O5" s="10" t="n">
        <x:f>'店长明细'!$E1394</x:f>
        <x:v>795</x:v>
      </x:c>
      <x:c r="P5" s="10" t="n">
        <x:f>'店长明细'!$D1394</x:f>
        <x:v>586</x:v>
      </x:c>
      <x:c r="Q5" s="10" t="n">
        <x:f>'店长明细'!$E1626</x:f>
        <x:v>57</x:v>
      </x:c>
      <x:c r="R5" s="10" t="n">
        <x:f>'店长明细'!$D1626</x:f>
        <x:v>51</x:v>
      </x:c>
      <x:c r="S5" s="10" t="n">
        <x:f>'店长明细'!$E1858</x:f>
        <x:v>8</x:v>
      </x:c>
      <x:c r="T5" s="10" t="n">
        <x:f>'店长明细'!$D1858</x:f>
        <x:v>4</x:v>
      </x:c>
      <x:c r="U5" s="10" t="n">
        <x:f>'店长明细'!$E2090</x:f>
        <x:v>267</x:v>
      </x:c>
      <x:c r="V5" s="10" t="n">
        <x:f>'店长明细'!$D2090</x:f>
        <x:v>201</x:v>
      </x:c>
      <x:c r="W5" s="11" t="n">
        <x:f>'店长明细'!$F2</x:f>
        <x:v>2393.44</x:v>
      </x:c>
      <x:c r="X5" s="11" t="n">
        <x:f>'店长明细'!$F234</x:f>
        <x:v>21147.1</x:v>
      </x:c>
      <x:c r="Y5" s="11" t="n">
        <x:f>'店长明细'!$F466</x:f>
        <x:v>11864.65</x:v>
      </x:c>
      <x:c r="Z5" s="11" t="n">
        <x:f>'店长明细'!$F698</x:f>
        <x:v>243.21</x:v>
      </x:c>
      <x:c r="AA5" s="11" t="n">
        <x:f>'店长明细'!$F930</x:f>
        <x:v>122.4</x:v>
      </x:c>
      <x:c r="AB5" s="11" t="n">
        <x:f>'店长明细'!$F1162</x:f>
        <x:v>2922.08</x:v>
      </x:c>
      <x:c r="AC5" s="11" t="n">
        <x:f>'店长明细'!$F1394</x:f>
        <x:v>7793.21</x:v>
      </x:c>
      <x:c r="AD5" s="11" t="n">
        <x:f>'店长明细'!$F1626</x:f>
        <x:v>3416.7</x:v>
      </x:c>
      <x:c r="AE5" s="11" t="n">
        <x:f>'店长明细'!$F1858</x:f>
        <x:v>572.33</x:v>
      </x:c>
      <x:c r="AF5" s="11" t="n">
        <x:f>'店长明细'!$F2090</x:f>
        <x:v>3367.26</x:v>
      </x:c>
    </x:row>
    <x:row r="6">
      <x:c r="A6" t="str">
        <x:f>TEXT($B6,"mm-dd")</x:f>
        <x:v>01-02</x:v>
      </x:c>
      <x:c r="B6" s="9" t="n">
        <x:f>'店长明细'!$C3</x:f>
        <x:v>46024</x:v>
      </x:c>
      <x:c r="C6" s="10" t="n">
        <x:f>'店长明细'!$E3</x:f>
        <x:v>490</x:v>
      </x:c>
      <x:c r="D6" s="10" t="n">
        <x:f>'店长明细'!$D3</x:f>
        <x:v>273</x:v>
      </x:c>
      <x:c r="E6" s="10" t="n">
        <x:f>'店长明细'!$E235</x:f>
        <x:v>2521</x:v>
      </x:c>
      <x:c r="F6" s="10" t="n">
        <x:f>'店长明细'!$D235</x:f>
        <x:v>1599</x:v>
      </x:c>
      <x:c r="G6" s="10" t="n">
        <x:f>'店长明细'!$E467</x:f>
        <x:v>3253</x:v>
      </x:c>
      <x:c r="H6" s="10" t="n">
        <x:f>'店长明细'!$D467</x:f>
        <x:v>1529</x:v>
      </x:c>
      <x:c r="I6" s="10" t="n">
        <x:f>'店长明细'!$E699</x:f>
        <x:v>561</x:v>
      </x:c>
      <x:c r="J6" s="10" t="n">
        <x:f>'店长明细'!$D699</x:f>
        <x:v>312</x:v>
      </x:c>
      <x:c r="K6" s="10" t="n">
        <x:f>'店长明细'!$E931</x:f>
        <x:v>12</x:v>
      </x:c>
      <x:c r="L6" s="10" t="n">
        <x:f>'店长明细'!$D931</x:f>
        <x:v>11</x:v>
      </x:c>
      <x:c r="M6" s="10" t="n">
        <x:f>'店长明细'!$E1163</x:f>
        <x:v>298</x:v>
      </x:c>
      <x:c r="N6" s="10" t="n">
        <x:f>'店长明细'!$D1163</x:f>
        <x:v>200</x:v>
      </x:c>
      <x:c r="O6" s="10" t="n">
        <x:f>'店长明细'!$E1395</x:f>
        <x:v>1030</x:v>
      </x:c>
      <x:c r="P6" s="10" t="n">
        <x:f>'店长明细'!$D1395</x:f>
        <x:v>703</x:v>
      </x:c>
      <x:c r="Q6" s="10" t="n">
        <x:f>'店长明细'!$E1627</x:f>
        <x:v>32</x:v>
      </x:c>
      <x:c r="R6" s="10" t="n">
        <x:f>'店长明细'!$D1627</x:f>
        <x:v>20</x:v>
      </x:c>
      <x:c r="S6" s="10" t="n">
        <x:f>'店长明细'!$E1859</x:f>
        <x:v>7</x:v>
      </x:c>
      <x:c r="T6" s="10" t="n">
        <x:f>'店长明细'!$D1859</x:f>
        <x:v>3</x:v>
      </x:c>
      <x:c r="U6" s="10" t="n">
        <x:f>'店长明细'!$E2091</x:f>
        <x:v>1395</x:v>
      </x:c>
      <x:c r="V6" s="10" t="n">
        <x:f>'店长明细'!$D2091</x:f>
        <x:v>618</x:v>
      </x:c>
      <x:c r="W6" s="11" t="n">
        <x:f>'店长明细'!$F3</x:f>
        <x:v>3927.35</x:v>
      </x:c>
      <x:c r="X6" s="11" t="n">
        <x:f>'店长明细'!$F235</x:f>
        <x:v>22991.21</x:v>
      </x:c>
      <x:c r="Y6" s="11" t="n">
        <x:f>'店长明细'!$F467</x:f>
        <x:v>22543.75</x:v>
      </x:c>
      <x:c r="Z6" s="11" t="n">
        <x:f>'店长明细'!$F699</x:f>
        <x:v>5141.75</x:v>
      </x:c>
      <x:c r="AA6" s="11" t="n">
        <x:f>'店长明细'!$F931</x:f>
        <x:v>144.24</x:v>
      </x:c>
      <x:c r="AB6" s="11" t="n">
        <x:f>'店长明细'!$F1163</x:f>
        <x:v>3616.9</x:v>
      </x:c>
      <x:c r="AC6" s="11" t="n">
        <x:f>'店长明细'!$F1395</x:f>
        <x:v>11455.36</x:v>
      </x:c>
      <x:c r="AD6" s="11" t="n">
        <x:f>'店长明细'!$F1627</x:f>
        <x:v>1400.6</x:v>
      </x:c>
      <x:c r="AE6" s="11" t="n">
        <x:f>'店长明细'!$F1859</x:f>
        <x:v>548.78</x:v>
      </x:c>
      <x:c r="AF6" s="11" t="n">
        <x:f>'店长明细'!$F2091</x:f>
        <x:v>13960.89</x:v>
      </x:c>
    </x:row>
    <x:row r="7">
      <x:c r="A7" t="str">
        <x:f>TEXT($B7,"mm-dd")</x:f>
        <x:v>01-03</x:v>
      </x:c>
      <x:c r="B7" s="9" t="n">
        <x:f>'店长明细'!$C4</x:f>
        <x:v>46025</x:v>
      </x:c>
      <x:c r="C7" s="10" t="n">
        <x:f>'店长明细'!$E4</x:f>
        <x:v>358</x:v>
      </x:c>
      <x:c r="D7" s="10" t="n">
        <x:f>'店长明细'!$D4</x:f>
        <x:v>235</x:v>
      </x:c>
      <x:c r="E7" s="10" t="n">
        <x:f>'店长明细'!$E236</x:f>
        <x:v>2466</x:v>
      </x:c>
      <x:c r="F7" s="10" t="n">
        <x:f>'店长明细'!$D236</x:f>
        <x:v>1580</x:v>
      </x:c>
      <x:c r="G7" s="10" t="n">
        <x:f>'店长明细'!$E468</x:f>
        <x:v>2027</x:v>
      </x:c>
      <x:c r="H7" s="10" t="n">
        <x:f>'店长明细'!$D468</x:f>
        <x:v>929</x:v>
      </x:c>
      <x:c r="I7" s="10" t="n">
        <x:f>'店长明细'!$E700</x:f>
        <x:v>222</x:v>
      </x:c>
      <x:c r="J7" s="10" t="n">
        <x:f>'店长明细'!$D700</x:f>
        <x:v>117</x:v>
      </x:c>
      <x:c r="K7" s="10" t="n">
        <x:f>'店长明细'!$E932</x:f>
        <x:v>11</x:v>
      </x:c>
      <x:c r="L7" s="10" t="n">
        <x:f>'店长明细'!$D932</x:f>
        <x:v>9</x:v>
      </x:c>
      <x:c r="M7" s="10" t="n">
        <x:f>'店长明细'!$E1164</x:f>
        <x:v>194</x:v>
      </x:c>
      <x:c r="N7" s="10" t="n">
        <x:f>'店长明细'!$D1164</x:f>
        <x:v>167</x:v>
      </x:c>
      <x:c r="O7" s="10" t="n">
        <x:f>'店长明细'!$E1396</x:f>
        <x:v>915</x:v>
      </x:c>
      <x:c r="P7" s="10" t="n">
        <x:f>'店长明细'!$D1396</x:f>
        <x:v>632</x:v>
      </x:c>
      <x:c r="Q7" s="10" t="n">
        <x:f>'店长明细'!$E1628</x:f>
        <x:v>137</x:v>
      </x:c>
      <x:c r="R7" s="10" t="n">
        <x:f>'店长明细'!$D1628</x:f>
        <x:v>123</x:v>
      </x:c>
      <x:c r="S7" s="10" t="n">
        <x:f>'店长明细'!$E1860</x:f>
        <x:v>51</x:v>
      </x:c>
      <x:c r="T7" s="10" t="n">
        <x:f>'店长明细'!$D1860</x:f>
        <x:v>36</x:v>
      </x:c>
      <x:c r="U7" s="10" t="n">
        <x:f>'店长明细'!$E2092</x:f>
        <x:v>840</x:v>
      </x:c>
      <x:c r="V7" s="10" t="n">
        <x:f>'店长明细'!$D2092</x:f>
        <x:v>434</x:v>
      </x:c>
      <x:c r="W7" s="11" t="n">
        <x:f>'店长明细'!$F4</x:f>
        <x:v>3178.56</x:v>
      </x:c>
      <x:c r="X7" s="11" t="n">
        <x:f>'店长明细'!$F236</x:f>
        <x:v>23183.18</x:v>
      </x:c>
      <x:c r="Y7" s="11" t="n">
        <x:f>'店长明细'!$F468</x:f>
        <x:v>12145.47</x:v>
      </x:c>
      <x:c r="Z7" s="11" t="n">
        <x:f>'店长明细'!$F700</x:f>
        <x:v>2016.29</x:v>
      </x:c>
      <x:c r="AA7" s="11" t="n">
        <x:f>'店长明细'!$F932</x:f>
        <x:v>108.47</x:v>
      </x:c>
      <x:c r="AB7" s="11" t="n">
        <x:f>'店长明细'!$F1164</x:f>
        <x:v>2210.02</x:v>
      </x:c>
      <x:c r="AC7" s="11" t="n">
        <x:f>'店长明细'!$F1396</x:f>
        <x:v>9314.46</x:v>
      </x:c>
      <x:c r="AD7" s="11" t="n">
        <x:f>'店长明细'!$F1628</x:f>
        <x:v>12243.56</x:v>
      </x:c>
      <x:c r="AE7" s="11" t="n">
        <x:f>'店长明细'!$F1860</x:f>
        <x:v>3669.69</x:v>
      </x:c>
      <x:c r="AF7" s="11" t="n">
        <x:f>'店长明细'!$F2092</x:f>
        <x:v>9359.15</x:v>
      </x:c>
    </x:row>
    <x:row r="8">
      <x:c r="A8" t="str">
        <x:f>TEXT($B8,"mm-dd")</x:f>
        <x:v>01-04</x:v>
      </x:c>
      <x:c r="B8" s="9" t="n">
        <x:f>'店长明细'!$C5</x:f>
        <x:v>46026</x:v>
      </x:c>
      <x:c r="C8" s="10" t="n">
        <x:f>'店长明细'!$E5</x:f>
        <x:v>353</x:v>
      </x:c>
      <x:c r="D8" s="10" t="n">
        <x:f>'店长明细'!$D5</x:f>
        <x:v>239</x:v>
      </x:c>
      <x:c r="E8" s="10" t="n">
        <x:f>'店长明细'!$E237</x:f>
        <x:v>2264</x:v>
      </x:c>
      <x:c r="F8" s="10" t="n">
        <x:f>'店长明细'!$D237</x:f>
        <x:v>1477</x:v>
      </x:c>
      <x:c r="G8" s="10" t="n">
        <x:f>'店长明细'!$E469</x:f>
        <x:v>2313</x:v>
      </x:c>
      <x:c r="H8" s="10" t="n">
        <x:f>'店长明细'!$D469</x:f>
        <x:v>1076</x:v>
      </x:c>
      <x:c r="I8" s="10" t="n">
        <x:f>'店长明细'!$E701</x:f>
        <x:v>213</x:v>
      </x:c>
      <x:c r="J8" s="10" t="n">
        <x:f>'店长明细'!$D701</x:f>
        <x:v>121</x:v>
      </x:c>
      <x:c r="K8" s="10" t="n">
        <x:f>'店长明细'!$E933</x:f>
        <x:v>6</x:v>
      </x:c>
      <x:c r="L8" s="10" t="n">
        <x:f>'店长明细'!$D933</x:f>
        <x:v>6</x:v>
      </x:c>
      <x:c r="M8" s="10" t="n">
        <x:f>'店长明细'!$E1165</x:f>
        <x:v>374</x:v>
      </x:c>
      <x:c r="N8" s="10" t="n">
        <x:f>'店长明细'!$D1165</x:f>
        <x:v>289</x:v>
      </x:c>
      <x:c r="O8" s="10" t="n">
        <x:f>'店长明细'!$E1397</x:f>
        <x:v>927</x:v>
      </x:c>
      <x:c r="P8" s="10" t="n">
        <x:f>'店长明细'!$D1397</x:f>
        <x:v>676</x:v>
      </x:c>
      <x:c r="Q8" s="10" t="n">
        <x:f>'店长明细'!$E1629</x:f>
        <x:v>91</x:v>
      </x:c>
      <x:c r="R8" s="10" t="n">
        <x:f>'店长明细'!$D1629</x:f>
        <x:v>76</x:v>
      </x:c>
      <x:c r="S8" s="10" t="n">
        <x:f>'店长明细'!$E1861</x:f>
        <x:v>26</x:v>
      </x:c>
      <x:c r="T8" s="10" t="n">
        <x:f>'店长明细'!$D1861</x:f>
        <x:v>21</x:v>
      </x:c>
      <x:c r="U8" s="10" t="n">
        <x:f>'店长明细'!$E2093</x:f>
        <x:v>939</x:v>
      </x:c>
      <x:c r="V8" s="10" t="n">
        <x:f>'店长明细'!$D2093</x:f>
        <x:v>507</x:v>
      </x:c>
      <x:c r="W8" s="11" t="n">
        <x:f>'店长明细'!$F5</x:f>
        <x:v>3093.27</x:v>
      </x:c>
      <x:c r="X8" s="11" t="n">
        <x:f>'店长明细'!$F237</x:f>
        <x:v>21544.75</x:v>
      </x:c>
      <x:c r="Y8" s="11" t="n">
        <x:f>'店长明细'!$F469</x:f>
        <x:v>16193.54</x:v>
      </x:c>
      <x:c r="Z8" s="11" t="n">
        <x:f>'店长明细'!$F701</x:f>
        <x:v>1944.42</x:v>
      </x:c>
      <x:c r="AA8" s="11" t="n">
        <x:f>'店长明细'!$F933</x:f>
        <x:v>73.44</x:v>
      </x:c>
      <x:c r="AB8" s="11" t="n">
        <x:f>'店长明细'!$F1165</x:f>
        <x:v>3695.9</x:v>
      </x:c>
      <x:c r="AC8" s="11" t="n">
        <x:f>'店长明细'!$F1397</x:f>
        <x:v>9734.6</x:v>
      </x:c>
      <x:c r="AD8" s="11" t="n">
        <x:f>'店长明细'!$F1629</x:f>
        <x:v>7703.92</x:v>
      </x:c>
      <x:c r="AE8" s="11" t="n">
        <x:f>'店长明细'!$F1861</x:f>
        <x:v>1837.68</x:v>
      </x:c>
      <x:c r="AF8" s="11" t="n">
        <x:f>'店长明细'!$F2093</x:f>
        <x:v>10195.24</x:v>
      </x:c>
    </x:row>
    <x:row r="9">
      <x:c r="A9" t="str">
        <x:f>TEXT($B9,"mm-dd")</x:f>
        <x:v>01-05</x:v>
      </x:c>
      <x:c r="B9" s="9" t="n">
        <x:f>'店长明细'!$C6</x:f>
        <x:v>46027</x:v>
      </x:c>
      <x:c r="C9" s="10" t="n">
        <x:f>'店长明细'!$E6</x:f>
        <x:v>354</x:v>
      </x:c>
      <x:c r="D9" s="10" t="n">
        <x:f>'店长明细'!$D6</x:f>
        <x:v>241</x:v>
      </x:c>
      <x:c r="E9" s="10" t="n">
        <x:f>'店长明细'!$E238</x:f>
        <x:v>2334</x:v>
      </x:c>
      <x:c r="F9" s="10" t="n">
        <x:f>'店长明细'!$D238</x:f>
        <x:v>1594</x:v>
      </x:c>
      <x:c r="G9" s="10" t="n">
        <x:f>'店长明细'!$E470</x:f>
        <x:v>2184</x:v>
      </x:c>
      <x:c r="H9" s="10" t="n">
        <x:f>'店长明细'!$D470</x:f>
        <x:v>1007</x:v>
      </x:c>
      <x:c r="I9" s="10" t="n">
        <x:f>'店长明细'!$E702</x:f>
        <x:v>262</x:v>
      </x:c>
      <x:c r="J9" s="10" t="n">
        <x:f>'店长明细'!$D702</x:f>
        <x:v>147</x:v>
      </x:c>
      <x:c r="K9" s="10" t="n">
        <x:f>'店长明细'!$E934</x:f>
        <x:v>10</x:v>
      </x:c>
      <x:c r="L9" s="10" t="n">
        <x:f>'店长明细'!$D934</x:f>
        <x:v>9</x:v>
      </x:c>
      <x:c r="M9" s="10" t="n">
        <x:f>'店长明细'!$E1166</x:f>
        <x:v>314</x:v>
      </x:c>
      <x:c r="N9" s="10" t="n">
        <x:f>'店长明细'!$D1166</x:f>
        <x:v>216</x:v>
      </x:c>
      <x:c r="O9" s="10" t="n">
        <x:f>'店长明细'!$E1398</x:f>
        <x:v>1045</x:v>
      </x:c>
      <x:c r="P9" s="10" t="n">
        <x:f>'店长明细'!$D1398</x:f>
        <x:v>649</x:v>
      </x:c>
      <x:c r="Q9" s="10" t="n">
        <x:f>'店长明细'!$E1630</x:f>
        <x:v>70</x:v>
      </x:c>
      <x:c r="R9" s="10" t="n">
        <x:f>'店长明细'!$D1630</x:f>
        <x:v>59</x:v>
      </x:c>
      <x:c r="S9" s="10" t="n">
        <x:f>'店长明细'!$E1862</x:f>
        <x:v>32</x:v>
      </x:c>
      <x:c r="T9" s="10" t="n">
        <x:f>'店长明细'!$D1862</x:f>
        <x:v>22</x:v>
      </x:c>
      <x:c r="U9" s="10" t="n">
        <x:f>'店长明细'!$E2094</x:f>
        <x:v>1092</x:v>
      </x:c>
      <x:c r="V9" s="10" t="n">
        <x:f>'店长明细'!$D2094</x:f>
        <x:v>617</x:v>
      </x:c>
      <x:c r="W9" s="11" t="n">
        <x:f>'店长明细'!$F6</x:f>
        <x:v>2979.06</x:v>
      </x:c>
      <x:c r="X9" s="11" t="n">
        <x:f>'店长明细'!$F238</x:f>
        <x:v>22528.74</x:v>
      </x:c>
      <x:c r="Y9" s="11" t="n">
        <x:f>'店长明细'!$F470</x:f>
        <x:v>13644.41</x:v>
      </x:c>
      <x:c r="Z9" s="11" t="n">
        <x:f>'店长明细'!$F702</x:f>
        <x:v>2512.55</x:v>
      </x:c>
      <x:c r="AA9" s="11" t="n">
        <x:f>'店长明细'!$F934</x:f>
        <x:v>117.94</x:v>
      </x:c>
      <x:c r="AB9" s="11" t="n">
        <x:f>'店长明细'!$F1166</x:f>
        <x:v>3413.13</x:v>
      </x:c>
      <x:c r="AC9" s="11" t="n">
        <x:f>'店长明细'!$F1398</x:f>
        <x:v>10760.48</x:v>
      </x:c>
      <x:c r="AD9" s="11" t="n">
        <x:f>'店长明细'!$F1630</x:f>
        <x:v>5007.66</x:v>
      </x:c>
      <x:c r="AE9" s="11" t="n">
        <x:f>'店长明细'!$F1862</x:f>
        <x:v>2311</x:v>
      </x:c>
      <x:c r="AF9" s="11" t="n">
        <x:f>'店长明细'!$F2094</x:f>
        <x:v>10457.93</x:v>
      </x:c>
    </x:row>
    <x:row r="10">
      <x:c r="A10" t="str">
        <x:f>TEXT($B10,"mm-dd")</x:f>
        <x:v>01-06</x:v>
      </x:c>
      <x:c r="B10" s="9" t="n">
        <x:f>'店长明细'!$C7</x:f>
        <x:v>46028</x:v>
      </x:c>
      <x:c r="C10" s="10" t="n">
        <x:f>'店长明细'!$E7</x:f>
        <x:v>369</x:v>
      </x:c>
      <x:c r="D10" s="10" t="n">
        <x:f>'店长明细'!$D7</x:f>
        <x:v>221</x:v>
      </x:c>
      <x:c r="E10" s="10" t="n">
        <x:f>'店长明细'!$E239</x:f>
        <x:v>3048</x:v>
      </x:c>
      <x:c r="F10" s="10" t="n">
        <x:f>'店长明细'!$D239</x:f>
        <x:v>1778</x:v>
      </x:c>
      <x:c r="G10" s="10" t="n">
        <x:f>'店长明细'!$E471</x:f>
        <x:v>2488</x:v>
      </x:c>
      <x:c r="H10" s="10" t="n">
        <x:f>'店长明细'!$D471</x:f>
        <x:v>1110</x:v>
      </x:c>
      <x:c r="I10" s="10" t="n">
        <x:f>'店长明细'!$E703</x:f>
        <x:v>357</x:v>
      </x:c>
      <x:c r="J10" s="10" t="n">
        <x:f>'店长明细'!$D703</x:f>
        <x:v>197</x:v>
      </x:c>
      <x:c r="K10" s="10" t="n">
        <x:f>'店长明细'!$E935</x:f>
        <x:v>4</x:v>
      </x:c>
      <x:c r="L10" s="10" t="n">
        <x:f>'店长明细'!$D935</x:f>
        <x:v>4</x:v>
      </x:c>
      <x:c r="M10" s="10" t="n">
        <x:f>'店长明细'!$E1167</x:f>
        <x:v>280</x:v>
      </x:c>
      <x:c r="N10" s="10" t="n">
        <x:f>'店长明细'!$D1167</x:f>
        <x:v>204</x:v>
      </x:c>
      <x:c r="O10" s="10" t="n">
        <x:f>'店长明细'!$E1399</x:f>
        <x:v>1018</x:v>
      </x:c>
      <x:c r="P10" s="10" t="n">
        <x:f>'店长明细'!$D1399</x:f>
        <x:v>710</x:v>
      </x:c>
      <x:c r="Q10" s="10" t="n">
        <x:f>'店长明细'!$E1631</x:f>
        <x:v>186</x:v>
      </x:c>
      <x:c r="R10" s="10" t="n">
        <x:f>'店长明细'!$D1631</x:f>
        <x:v>146</x:v>
      </x:c>
      <x:c r="S10" s="10" t="n">
        <x:f>'店长明细'!$E1863</x:f>
        <x:v>53</x:v>
      </x:c>
      <x:c r="T10" s="10" t="n">
        <x:f>'店长明细'!$D1863</x:f>
        <x:v>32</x:v>
      </x:c>
      <x:c r="U10" s="10" t="n">
        <x:f>'店长明细'!$E2095</x:f>
        <x:v>856</x:v>
      </x:c>
      <x:c r="V10" s="10" t="n">
        <x:f>'店长明细'!$D2095</x:f>
        <x:v>352</x:v>
      </x:c>
      <x:c r="W10" s="11" t="n">
        <x:f>'店长明细'!$F7</x:f>
        <x:v>2988.88</x:v>
      </x:c>
      <x:c r="X10" s="11" t="n">
        <x:f>'店长明细'!$F239</x:f>
        <x:v>26099.17</x:v>
      </x:c>
      <x:c r="Y10" s="11" t="n">
        <x:f>'店长明细'!$F471</x:f>
        <x:v>15645.57</x:v>
      </x:c>
      <x:c r="Z10" s="11" t="n">
        <x:f>'店长明细'!$F703</x:f>
        <x:v>3100.77</x:v>
      </x:c>
      <x:c r="AA10" s="11" t="n">
        <x:f>'店长明细'!$F935</x:f>
        <x:v>48.96</x:v>
      </x:c>
      <x:c r="AB10" s="11" t="n">
        <x:f>'店长明细'!$F1167</x:f>
        <x:v>2775.35</x:v>
      </x:c>
      <x:c r="AC10" s="11" t="n">
        <x:f>'店长明细'!$F1399</x:f>
        <x:v>10074.98</x:v>
      </x:c>
      <x:c r="AD10" s="11" t="n">
        <x:f>'店长明细'!$F1631</x:f>
        <x:v>13039.59</x:v>
      </x:c>
      <x:c r="AE10" s="11" t="n">
        <x:f>'店长明细'!$F1863</x:f>
        <x:v>3670.42</x:v>
      </x:c>
      <x:c r="AF10" s="11" t="n">
        <x:f>'店长明细'!$F2095</x:f>
        <x:v>8671.87</x:v>
      </x:c>
    </x:row>
    <x:row r="11">
      <x:c r="A11" t="str">
        <x:f>TEXT($B11,"mm-dd")</x:f>
        <x:v>01-07</x:v>
      </x:c>
      <x:c r="B11" s="9" t="n">
        <x:f>'店长明细'!$C8</x:f>
        <x:v>46029</x:v>
      </x:c>
      <x:c r="C11" s="10" t="n">
        <x:f>'店长明细'!$E8</x:f>
        <x:v>284</x:v>
      </x:c>
      <x:c r="D11" s="10" t="n">
        <x:f>'店长明细'!$D8</x:f>
        <x:v>174</x:v>
      </x:c>
      <x:c r="E11" s="10" t="n">
        <x:f>'店长明细'!$E240</x:f>
        <x:v>3449</x:v>
      </x:c>
      <x:c r="F11" s="10" t="n">
        <x:f>'店长明细'!$D240</x:f>
        <x:v>1952</x:v>
      </x:c>
      <x:c r="G11" s="10" t="n">
        <x:f>'店长明细'!$E472</x:f>
        <x:v>2556</x:v>
      </x:c>
      <x:c r="H11" s="10" t="n">
        <x:f>'店长明细'!$D472</x:f>
        <x:v>1121</x:v>
      </x:c>
      <x:c r="I11" s="10" t="n">
        <x:f>'店长明细'!$E704</x:f>
        <x:v>415</x:v>
      </x:c>
      <x:c r="J11" s="10" t="n">
        <x:f>'店长明细'!$D704</x:f>
        <x:v>226</x:v>
      </x:c>
      <x:c r="K11" s="10" t="n">
        <x:f>'店长明细'!$E936</x:f>
        <x:v>4</x:v>
      </x:c>
      <x:c r="L11" s="10" t="n">
        <x:f>'店长明细'!$D936</x:f>
        <x:v>2</x:v>
      </x:c>
      <x:c r="M11" s="10" t="n">
        <x:f>'店长明细'!$E1168</x:f>
        <x:v>207</x:v>
      </x:c>
      <x:c r="N11" s="10" t="n">
        <x:f>'店长明细'!$D1168</x:f>
        <x:v>160</x:v>
      </x:c>
      <x:c r="O11" s="10" t="n">
        <x:f>'店长明细'!$E1400</x:f>
        <x:v>927</x:v>
      </x:c>
      <x:c r="P11" s="10" t="n">
        <x:f>'店长明细'!$D1400</x:f>
        <x:v>618</x:v>
      </x:c>
      <x:c r="Q11" s="10" t="n">
        <x:f>'店长明细'!$E1632</x:f>
        <x:v>137</x:v>
      </x:c>
      <x:c r="R11" s="10" t="n">
        <x:f>'店长明细'!$D1632</x:f>
        <x:v>124</x:v>
      </x:c>
      <x:c r="S11" s="10" t="n">
        <x:f>'店长明细'!$E1864</x:f>
        <x:v>25</x:v>
      </x:c>
      <x:c r="T11" s="10" t="n">
        <x:f>'店长明细'!$D1864</x:f>
        <x:v>18</x:v>
      </x:c>
      <x:c r="U11" s="10" t="n">
        <x:f>'店长明细'!$E2096</x:f>
        <x:v>684</x:v>
      </x:c>
      <x:c r="V11" s="10" t="n">
        <x:f>'店长明细'!$D2096</x:f>
        <x:v>272</x:v>
      </x:c>
      <x:c r="W11" s="11" t="n">
        <x:f>'店长明细'!$F8</x:f>
        <x:v>2579.36</x:v>
      </x:c>
      <x:c r="X11" s="11" t="n">
        <x:f>'店长明细'!$F240</x:f>
        <x:v>28672.88</x:v>
      </x:c>
      <x:c r="Y11" s="11" t="n">
        <x:f>'店长明细'!$F472</x:f>
        <x:v>15571.99</x:v>
      </x:c>
      <x:c r="Z11" s="11" t="n">
        <x:f>'店长明细'!$F704</x:f>
        <x:v>3490.82</x:v>
      </x:c>
      <x:c r="AA11" s="11" t="n">
        <x:f>'店长明细'!$F936</x:f>
        <x:v>25.45</x:v>
      </x:c>
      <x:c r="AB11" s="11" t="n">
        <x:f>'店长明细'!$F1168</x:f>
        <x:v>2481.19</x:v>
      </x:c>
      <x:c r="AC11" s="11" t="n">
        <x:f>'店长明细'!$F1400</x:f>
        <x:v>10050.79</x:v>
      </x:c>
      <x:c r="AD11" s="11" t="n">
        <x:f>'店长明细'!$F1632</x:f>
        <x:v>12091.34</x:v>
      </x:c>
      <x:c r="AE11" s="11" t="n">
        <x:f>'店长明细'!$F1864</x:f>
        <x:v>1786.83</x:v>
      </x:c>
      <x:c r="AF11" s="11" t="n">
        <x:f>'店长明细'!$F2096</x:f>
        <x:v>6248.55</x:v>
      </x:c>
    </x:row>
    <x:row r="12">
      <x:c r="A12" t="str">
        <x:f>TEXT($B12,"mm-dd")</x:f>
        <x:v>01-08</x:v>
      </x:c>
      <x:c r="B12" s="9" t="n">
        <x:f>'店长明细'!$C9</x:f>
        <x:v>46030</x:v>
      </x:c>
      <x:c r="C12" s="10" t="n">
        <x:f>'店长明细'!$E9</x:f>
        <x:v>240</x:v>
      </x:c>
      <x:c r="D12" s="10" t="n">
        <x:f>'店长明细'!$D9</x:f>
        <x:v>148</x:v>
      </x:c>
      <x:c r="E12" s="10" t="n">
        <x:f>'店长明细'!$E241</x:f>
        <x:v>3256</x:v>
      </x:c>
      <x:c r="F12" s="10" t="n">
        <x:f>'店长明细'!$D241</x:f>
        <x:v>1976</x:v>
      </x:c>
      <x:c r="G12" s="10" t="n">
        <x:f>'店长明细'!$E473</x:f>
        <x:v>2929</x:v>
      </x:c>
      <x:c r="H12" s="10" t="n">
        <x:f>'店长明细'!$D473</x:f>
        <x:v>1293</x:v>
      </x:c>
      <x:c r="I12" s="10" t="n">
        <x:f>'店长明细'!$E705</x:f>
        <x:v>418</x:v>
      </x:c>
      <x:c r="J12" s="10" t="n">
        <x:f>'店长明细'!$D705</x:f>
        <x:v>216</x:v>
      </x:c>
      <x:c r="K12" s="10" t="n">
        <x:f>'店长明细'!$E937</x:f>
        <x:v>0</x:v>
      </x:c>
      <x:c r="L12" s="10" t="n">
        <x:f>'店长明细'!$D937</x:f>
        <x:v>0</x:v>
      </x:c>
      <x:c r="M12" s="10" t="n">
        <x:f>'店长明细'!$E1169</x:f>
        <x:v>186</x:v>
      </x:c>
      <x:c r="N12" s="10" t="n">
        <x:f>'店长明细'!$D1169</x:f>
        <x:v>136</x:v>
      </x:c>
      <x:c r="O12" s="10" t="n">
        <x:f>'店长明细'!$E1401</x:f>
        <x:v>904</x:v>
      </x:c>
      <x:c r="P12" s="10" t="n">
        <x:f>'店长明细'!$D1401</x:f>
        <x:v>582</x:v>
      </x:c>
      <x:c r="Q12" s="10" t="n">
        <x:f>'店长明细'!$E1633</x:f>
        <x:v>70</x:v>
      </x:c>
      <x:c r="R12" s="10" t="n">
        <x:f>'店长明细'!$D1633</x:f>
        <x:v>61</x:v>
      </x:c>
      <x:c r="S12" s="10" t="n">
        <x:f>'店长明细'!$E1865</x:f>
        <x:v>40</x:v>
      </x:c>
      <x:c r="T12" s="10" t="n">
        <x:f>'店长明细'!$D1865</x:f>
        <x:v>37</x:v>
      </x:c>
      <x:c r="U12" s="10" t="n">
        <x:f>'店长明细'!$E2097</x:f>
        <x:v>607</x:v>
      </x:c>
      <x:c r="V12" s="10" t="n">
        <x:f>'店长明细'!$D2097</x:f>
        <x:v>234</x:v>
      </x:c>
      <x:c r="W12" s="11" t="n">
        <x:f>'店长明细'!$F9</x:f>
        <x:v>2032.26</x:v>
      </x:c>
      <x:c r="X12" s="11" t="n">
        <x:f>'店长明细'!$F241</x:f>
        <x:v>28342.69</x:v>
      </x:c>
      <x:c r="Y12" s="11" t="n">
        <x:f>'店长明细'!$F473</x:f>
        <x:v>18778.87</x:v>
      </x:c>
      <x:c r="Z12" s="11" t="n">
        <x:f>'店长明细'!$F705</x:f>
        <x:v>3435.09</x:v>
      </x:c>
      <x:c r="AA12" s="11" t="n">
        <x:f>'店长明细'!$F937</x:f>
        <x:v>0</x:v>
      </x:c>
      <x:c r="AB12" s="11" t="n">
        <x:f>'店长明细'!$F1169</x:f>
        <x:v>2362.77</x:v>
      </x:c>
      <x:c r="AC12" s="11" t="n">
        <x:f>'店长明细'!$F1401</x:f>
        <x:v>9219.2</x:v>
      </x:c>
      <x:c r="AD12" s="11" t="n">
        <x:f>'店长明细'!$F1633</x:f>
        <x:v>4969.09</x:v>
      </x:c>
      <x:c r="AE12" s="11" t="n">
        <x:f>'店长明细'!$F1865</x:f>
        <x:v>1700.52</x:v>
      </x:c>
      <x:c r="AF12" s="11" t="n">
        <x:f>'店长明细'!$F2097</x:f>
        <x:v>5075.27</x:v>
      </x:c>
    </x:row>
    <x:row r="13">
      <x:c r="A13" t="str">
        <x:f>TEXT($B13,"mm-dd")</x:f>
        <x:v>01-09</x:v>
      </x:c>
      <x:c r="B13" s="9" t="n">
        <x:f>'店长明细'!$C10</x:f>
        <x:v>46031</x:v>
      </x:c>
      <x:c r="C13" s="10" t="n">
        <x:f>'店长明细'!$E10</x:f>
        <x:v>267</x:v>
      </x:c>
      <x:c r="D13" s="10" t="n">
        <x:f>'店长明细'!$D10</x:f>
        <x:v>143</x:v>
      </x:c>
      <x:c r="E13" s="10" t="n">
        <x:f>'店长明细'!$E242</x:f>
        <x:v>3102</x:v>
      </x:c>
      <x:c r="F13" s="10" t="n">
        <x:f>'店长明细'!$D242</x:f>
        <x:v>1913</x:v>
      </x:c>
      <x:c r="G13" s="10" t="n">
        <x:f>'店长明细'!$E474</x:f>
        <x:v>3703</x:v>
      </x:c>
      <x:c r="H13" s="10" t="n">
        <x:f>'店长明细'!$D474</x:f>
        <x:v>1588</x:v>
      </x:c>
      <x:c r="I13" s="10" t="n">
        <x:f>'店长明细'!$E706</x:f>
        <x:v>462</x:v>
      </x:c>
      <x:c r="J13" s="10" t="n">
        <x:f>'店长明细'!$D706</x:f>
        <x:v>242</x:v>
      </x:c>
      <x:c r="K13" s="10" t="n">
        <x:f>'店长明细'!$E938</x:f>
        <x:v>0</x:v>
      </x:c>
      <x:c r="L13" s="10" t="n">
        <x:f>'店长明细'!$D938</x:f>
        <x:v>0</x:v>
      </x:c>
      <x:c r="M13" s="10" t="n">
        <x:f>'店长明细'!$E1170</x:f>
        <x:v>218</x:v>
      </x:c>
      <x:c r="N13" s="10" t="n">
        <x:f>'店长明细'!$D1170</x:f>
        <x:v>160</x:v>
      </x:c>
      <x:c r="O13" s="10" t="n">
        <x:f>'店长明细'!$E1402</x:f>
        <x:v>1111</x:v>
      </x:c>
      <x:c r="P13" s="10" t="n">
        <x:f>'店长明细'!$D1402</x:f>
        <x:v>716</x:v>
      </x:c>
      <x:c r="Q13" s="10" t="n">
        <x:f>'店长明细'!$E1634</x:f>
        <x:v>88</x:v>
      </x:c>
      <x:c r="R13" s="10" t="n">
        <x:f>'店长明细'!$D1634</x:f>
        <x:v>79</x:v>
      </x:c>
      <x:c r="S13" s="10" t="n">
        <x:f>'店长明细'!$E1866</x:f>
        <x:v>31</x:v>
      </x:c>
      <x:c r="T13" s="10" t="n">
        <x:f>'店长明细'!$D1866</x:f>
        <x:v>23</x:v>
      </x:c>
      <x:c r="U13" s="10" t="n">
        <x:f>'店长明细'!$E2098</x:f>
        <x:v>602</x:v>
      </x:c>
      <x:c r="V13" s="10" t="n">
        <x:f>'店长明细'!$D2098</x:f>
        <x:v>228</x:v>
      </x:c>
      <x:c r="W13" s="11" t="n">
        <x:f>'店长明细'!$F10</x:f>
        <x:v>2220.11</x:v>
      </x:c>
      <x:c r="X13" s="11" t="n">
        <x:f>'店长明细'!$F242</x:f>
        <x:v>27654.79</x:v>
      </x:c>
      <x:c r="Y13" s="11" t="n">
        <x:f>'店长明细'!$F474</x:f>
        <x:v>18488.38</x:v>
      </x:c>
      <x:c r="Z13" s="11" t="n">
        <x:f>'店长明细'!$F706</x:f>
        <x:v>3855.33</x:v>
      </x:c>
      <x:c r="AA13" s="11" t="n">
        <x:f>'店长明细'!$F938</x:f>
        <x:v>0</x:v>
      </x:c>
      <x:c r="AB13" s="11" t="n">
        <x:f>'店长明细'!$F1170</x:f>
        <x:v>2578.33</x:v>
      </x:c>
      <x:c r="AC13" s="11" t="n">
        <x:f>'店长明细'!$F1402</x:f>
        <x:v>11687.22</x:v>
      </x:c>
      <x:c r="AD13" s="11" t="n">
        <x:f>'店长明细'!$F1634</x:f>
        <x:v>7101.22</x:v>
      </x:c>
      <x:c r="AE13" s="11" t="n">
        <x:f>'店长明细'!$F1866</x:f>
        <x:v>1974.35</x:v>
      </x:c>
      <x:c r="AF13" s="11" t="n">
        <x:f>'店长明细'!$F2098</x:f>
        <x:v>5328.72</x:v>
      </x:c>
    </x:row>
    <x:row r="14">
      <x:c r="A14" t="str">
        <x:f>TEXT($B14,"mm-dd")</x:f>
        <x:v>01-10</x:v>
      </x:c>
      <x:c r="B14" s="9" t="n">
        <x:f>'店长明细'!$C11</x:f>
        <x:v>46032</x:v>
      </x:c>
      <x:c r="C14" s="10" t="n">
        <x:f>'店长明细'!$E11</x:f>
        <x:v>245</x:v>
      </x:c>
      <x:c r="D14" s="10" t="n">
        <x:f>'店长明细'!$D11</x:f>
        <x:v>142</x:v>
      </x:c>
      <x:c r="E14" s="10" t="n">
        <x:f>'店长明细'!$E243</x:f>
        <x:v>2694</x:v>
      </x:c>
      <x:c r="F14" s="10" t="n">
        <x:f>'店长明细'!$D243</x:f>
        <x:v>1646</x:v>
      </x:c>
      <x:c r="G14" s="10" t="n">
        <x:f>'店长明细'!$E475</x:f>
        <x:v>3390</x:v>
      </x:c>
      <x:c r="H14" s="10" t="n">
        <x:f>'店长明细'!$D475</x:f>
        <x:v>1478</x:v>
      </x:c>
      <x:c r="I14" s="10" t="n">
        <x:f>'店长明细'!$E707</x:f>
        <x:v>453</x:v>
      </x:c>
      <x:c r="J14" s="10" t="n">
        <x:f>'店长明细'!$D707</x:f>
        <x:v>233</x:v>
      </x:c>
      <x:c r="K14" s="10" t="n">
        <x:f>'店长明细'!$E939</x:f>
        <x:v>2</x:v>
      </x:c>
      <x:c r="L14" s="10" t="n">
        <x:f>'店长明细'!$D939</x:f>
        <x:v>1</x:v>
      </x:c>
      <x:c r="M14" s="10" t="n">
        <x:f>'店长明细'!$E1171</x:f>
        <x:v>124</x:v>
      </x:c>
      <x:c r="N14" s="10" t="n">
        <x:f>'店长明细'!$D1171</x:f>
        <x:v>92</x:v>
      </x:c>
      <x:c r="O14" s="10" t="n">
        <x:f>'店长明细'!$E1403</x:f>
        <x:v>991</x:v>
      </x:c>
      <x:c r="P14" s="10" t="n">
        <x:f>'店长明细'!$D1403</x:f>
        <x:v>703</x:v>
      </x:c>
      <x:c r="Q14" s="10" t="n">
        <x:f>'店长明细'!$E1635</x:f>
        <x:v>100</x:v>
      </x:c>
      <x:c r="R14" s="10" t="n">
        <x:f>'店长明细'!$D1635</x:f>
        <x:v>78</x:v>
      </x:c>
      <x:c r="S14" s="10" t="n">
        <x:f>'店长明细'!$E1867</x:f>
        <x:v>40</x:v>
      </x:c>
      <x:c r="T14" s="10" t="n">
        <x:f>'店长明细'!$D1867</x:f>
        <x:v>29</x:v>
      </x:c>
      <x:c r="U14" s="10" t="n">
        <x:f>'店长明细'!$E2099</x:f>
        <x:v>610</x:v>
      </x:c>
      <x:c r="V14" s="10" t="n">
        <x:f>'店长明细'!$D2099</x:f>
        <x:v>226</x:v>
      </x:c>
      <x:c r="W14" s="11" t="n">
        <x:f>'店长明细'!$F11</x:f>
        <x:v>1882.3</x:v>
      </x:c>
      <x:c r="X14" s="11" t="n">
        <x:f>'店长明细'!$F243</x:f>
        <x:v>24085.29</x:v>
      </x:c>
      <x:c r="Y14" s="11" t="n">
        <x:f>'店长明细'!$F475</x:f>
        <x:v>17116.22</x:v>
      </x:c>
      <x:c r="Z14" s="11" t="n">
        <x:f>'店长明细'!$F707</x:f>
        <x:v>3581.36</x:v>
      </x:c>
      <x:c r="AA14" s="11" t="n">
        <x:f>'店长明细'!$F939</x:f>
        <x:v>18.38</x:v>
      </x:c>
      <x:c r="AB14" s="11" t="n">
        <x:f>'店长明细'!$F1171</x:f>
        <x:v>1517.39</x:v>
      </x:c>
      <x:c r="AC14" s="11" t="n">
        <x:f>'店长明细'!$F1403</x:f>
        <x:v>10084.66</x:v>
      </x:c>
      <x:c r="AD14" s="11" t="n">
        <x:f>'店长明细'!$F1635</x:f>
        <x:v>7761.97</x:v>
      </x:c>
      <x:c r="AE14" s="11" t="n">
        <x:f>'店长明细'!$F1867</x:f>
        <x:v>2836.55</x:v>
      </x:c>
      <x:c r="AF14" s="11" t="n">
        <x:f>'店长明细'!$F2099</x:f>
        <x:v>5670.63</x:v>
      </x:c>
    </x:row>
    <x:row r="15">
      <x:c r="A15" t="str">
        <x:f>TEXT($B15,"mm-dd")</x:f>
        <x:v>01-11</x:v>
      </x:c>
      <x:c r="B15" s="9" t="n">
        <x:f>'店长明细'!$C12</x:f>
        <x:v>46033</x:v>
      </x:c>
      <x:c r="C15" s="10" t="n">
        <x:f>'店长明细'!$E12</x:f>
        <x:v>205</x:v>
      </x:c>
      <x:c r="D15" s="10" t="n">
        <x:f>'店长明细'!$D12</x:f>
        <x:v>127</x:v>
      </x:c>
      <x:c r="E15" s="10" t="n">
        <x:f>'店长明细'!$E244</x:f>
        <x:v>2542</x:v>
      </x:c>
      <x:c r="F15" s="10" t="n">
        <x:f>'店长明细'!$D244</x:f>
        <x:v>1515</x:v>
      </x:c>
      <x:c r="G15" s="10" t="n">
        <x:f>'店长明细'!$E476</x:f>
        <x:v>2714</x:v>
      </x:c>
      <x:c r="H15" s="10" t="n">
        <x:f>'店长明细'!$D476</x:f>
        <x:v>1178</x:v>
      </x:c>
      <x:c r="I15" s="10" t="n">
        <x:f>'店长明细'!$E708</x:f>
        <x:v>436</x:v>
      </x:c>
      <x:c r="J15" s="10" t="n">
        <x:f>'店长明细'!$D708</x:f>
        <x:v>235</x:v>
      </x:c>
      <x:c r="K15" s="10" t="n">
        <x:f>'店长明细'!$E940</x:f>
        <x:v>0</x:v>
      </x:c>
      <x:c r="L15" s="10" t="n">
        <x:f>'店长明细'!$D940</x:f>
        <x:v>0</x:v>
      </x:c>
      <x:c r="M15" s="10" t="n">
        <x:f>'店长明细'!$E1172</x:f>
        <x:v>170</x:v>
      </x:c>
      <x:c r="N15" s="10" t="n">
        <x:f>'店长明细'!$D1172</x:f>
        <x:v>110</x:v>
      </x:c>
      <x:c r="O15" s="10" t="n">
        <x:f>'店长明细'!$E1404</x:f>
        <x:v>942</x:v>
      </x:c>
      <x:c r="P15" s="10" t="n">
        <x:f>'店长明细'!$D1404</x:f>
        <x:v>664</x:v>
      </x:c>
      <x:c r="Q15" s="10" t="n">
        <x:f>'店长明细'!$E1636</x:f>
        <x:v>57</x:v>
      </x:c>
      <x:c r="R15" s="10" t="n">
        <x:f>'店长明细'!$D1636</x:f>
        <x:v>47</x:v>
      </x:c>
      <x:c r="S15" s="10" t="n">
        <x:f>'店长明细'!$E1868</x:f>
        <x:v>29</x:v>
      </x:c>
      <x:c r="T15" s="10" t="n">
        <x:f>'店长明细'!$D1868</x:f>
        <x:v>26</x:v>
      </x:c>
      <x:c r="U15" s="10" t="n">
        <x:f>'店长明细'!$E2100</x:f>
        <x:v>564</x:v>
      </x:c>
      <x:c r="V15" s="10" t="n">
        <x:f>'店长明细'!$D2100</x:f>
        <x:v>204</x:v>
      </x:c>
      <x:c r="W15" s="11" t="n">
        <x:f>'店长明细'!$F12</x:f>
        <x:v>1722.01</x:v>
      </x:c>
      <x:c r="X15" s="11" t="n">
        <x:f>'店长明细'!$F244</x:f>
        <x:v>21666.24</x:v>
      </x:c>
      <x:c r="Y15" s="11" t="n">
        <x:f>'店长明细'!$F476</x:f>
        <x:v>14155.35</x:v>
      </x:c>
      <x:c r="Z15" s="11" t="n">
        <x:f>'店长明细'!$F708</x:f>
        <x:v>3600.42</x:v>
      </x:c>
      <x:c r="AA15" s="11" t="n">
        <x:f>'店长明细'!$F940</x:f>
        <x:v>0</x:v>
      </x:c>
      <x:c r="AB15" s="11" t="n">
        <x:f>'店长明细'!$F1172</x:f>
        <x:v>2171.66</x:v>
      </x:c>
      <x:c r="AC15" s="11" t="n">
        <x:f>'店长明细'!$F1404</x:f>
        <x:v>9962.99</x:v>
      </x:c>
      <x:c r="AD15" s="11" t="n">
        <x:f>'店长明细'!$F1636</x:f>
        <x:v>4926.64</x:v>
      </x:c>
      <x:c r="AE15" s="11" t="n">
        <x:f>'店长明细'!$F1868</x:f>
        <x:v>2542.73</x:v>
      </x:c>
      <x:c r="AF15" s="11" t="n">
        <x:f>'店长明细'!$F2100</x:f>
        <x:v>5094.87</x:v>
      </x:c>
    </x:row>
    <x:row r="16">
      <x:c r="A16" t="str">
        <x:f>TEXT($B16,"mm-dd")</x:f>
        <x:v>01-12</x:v>
      </x:c>
      <x:c r="B16" s="9" t="n">
        <x:f>'店长明细'!$C13</x:f>
        <x:v>46034</x:v>
      </x:c>
      <x:c r="C16" s="10" t="n">
        <x:f>'店长明细'!$E13</x:f>
        <x:v>259</x:v>
      </x:c>
      <x:c r="D16" s="10" t="n">
        <x:f>'店长明细'!$D13</x:f>
        <x:v>179</x:v>
      </x:c>
      <x:c r="E16" s="10" t="n">
        <x:f>'店长明细'!$E245</x:f>
        <x:v>2229</x:v>
      </x:c>
      <x:c r="F16" s="10" t="n">
        <x:f>'店长明细'!$D245</x:f>
        <x:v>1316</x:v>
      </x:c>
      <x:c r="G16" s="10" t="n">
        <x:f>'店长明细'!$E477</x:f>
        <x:v>2767</x:v>
      </x:c>
      <x:c r="H16" s="10" t="n">
        <x:f>'店长明细'!$D477</x:f>
        <x:v>1211</x:v>
      </x:c>
      <x:c r="I16" s="10" t="n">
        <x:f>'店长明细'!$E709</x:f>
        <x:v>362</x:v>
      </x:c>
      <x:c r="J16" s="10" t="n">
        <x:f>'店长明细'!$D709</x:f>
        <x:v>191</x:v>
      </x:c>
      <x:c r="K16" s="10" t="n">
        <x:f>'店长明细'!$E941</x:f>
        <x:v>0</x:v>
      </x:c>
      <x:c r="L16" s="10" t="n">
        <x:f>'店长明细'!$D941</x:f>
        <x:v>0</x:v>
      </x:c>
      <x:c r="M16" s="10" t="n">
        <x:f>'店长明细'!$E1173</x:f>
        <x:v>176</x:v>
      </x:c>
      <x:c r="N16" s="10" t="n">
        <x:f>'店长明细'!$D1173</x:f>
        <x:v>141</x:v>
      </x:c>
      <x:c r="O16" s="10" t="n">
        <x:f>'店长明细'!$E1405</x:f>
        <x:v>1216</x:v>
      </x:c>
      <x:c r="P16" s="10" t="n">
        <x:f>'店长明细'!$D1405</x:f>
        <x:v>817</x:v>
      </x:c>
      <x:c r="Q16" s="10" t="n">
        <x:f>'店长明细'!$E1637</x:f>
        <x:v>52</x:v>
      </x:c>
      <x:c r="R16" s="10" t="n">
        <x:f>'店长明细'!$D1637</x:f>
        <x:v>41</x:v>
      </x:c>
      <x:c r="S16" s="10" t="n">
        <x:f>'店长明细'!$E1869</x:f>
        <x:v>21</x:v>
      </x:c>
      <x:c r="T16" s="10" t="n">
        <x:f>'店长明细'!$D1869</x:f>
        <x:v>19</x:v>
      </x:c>
      <x:c r="U16" s="10" t="n">
        <x:f>'店长明细'!$E2101</x:f>
        <x:v>498</x:v>
      </x:c>
      <x:c r="V16" s="10" t="n">
        <x:f>'店长明细'!$D2101</x:f>
        <x:v>198</x:v>
      </x:c>
      <x:c r="W16" s="11" t="n">
        <x:f>'店长明细'!$F13</x:f>
        <x:v>2446.74</x:v>
      </x:c>
      <x:c r="X16" s="11" t="n">
        <x:f>'店长明细'!$F245</x:f>
        <x:v>19967.41</x:v>
      </x:c>
      <x:c r="Y16" s="11" t="n">
        <x:f>'店长明细'!$F477</x:f>
        <x:v>14915.43</x:v>
      </x:c>
      <x:c r="Z16" s="11" t="n">
        <x:f>'店长明细'!$F709</x:f>
        <x:v>3021.46</x:v>
      </x:c>
      <x:c r="AA16" s="11" t="n">
        <x:f>'店长明细'!$F941</x:f>
        <x:v>0</x:v>
      </x:c>
      <x:c r="AB16" s="11" t="n">
        <x:f>'店长明细'!$F1173</x:f>
        <x:v>2455.48</x:v>
      </x:c>
      <x:c r="AC16" s="11" t="n">
        <x:f>'店长明细'!$F1405</x:f>
        <x:v>11734.58</x:v>
      </x:c>
      <x:c r="AD16" s="11" t="n">
        <x:f>'店长明细'!$F1637</x:f>
        <x:v>3656.91</x:v>
      </x:c>
      <x:c r="AE16" s="11" t="n">
        <x:f>'店长明细'!$F1869</x:f>
        <x:v>1609.43</x:v>
      </x:c>
      <x:c r="AF16" s="11" t="n">
        <x:f>'店长明细'!$F2101</x:f>
        <x:v>4650</x:v>
      </x:c>
    </x:row>
    <x:row r="17">
      <x:c r="A17" t="str">
        <x:f>TEXT($B17,"mm-dd")</x:f>
        <x:v>01-13</x:v>
      </x:c>
      <x:c r="B17" s="9" t="n">
        <x:f>'店长明细'!$C14</x:f>
        <x:v>46035</x:v>
      </x:c>
      <x:c r="C17" s="10" t="n">
        <x:f>'店长明细'!$E14</x:f>
        <x:v>243</x:v>
      </x:c>
      <x:c r="D17" s="10" t="n">
        <x:f>'店长明细'!$D14</x:f>
        <x:v>134</x:v>
      </x:c>
      <x:c r="E17" s="10" t="n">
        <x:f>'店长明细'!$E246</x:f>
        <x:v>2295</x:v>
      </x:c>
      <x:c r="F17" s="10" t="n">
        <x:f>'店长明细'!$D246</x:f>
        <x:v>1394</x:v>
      </x:c>
      <x:c r="G17" s="10" t="n">
        <x:f>'店长明细'!$E478</x:f>
        <x:v>2926</x:v>
      </x:c>
      <x:c r="H17" s="10" t="n">
        <x:f>'店长明细'!$D478</x:f>
        <x:v>1289</x:v>
      </x:c>
      <x:c r="I17" s="10" t="n">
        <x:f>'店长明细'!$E710</x:f>
        <x:v>396</x:v>
      </x:c>
      <x:c r="J17" s="10" t="n">
        <x:f>'店长明细'!$D710</x:f>
        <x:v>212</x:v>
      </x:c>
      <x:c r="K17" s="10" t="n">
        <x:f>'店长明细'!$E942</x:f>
        <x:v>0</x:v>
      </x:c>
      <x:c r="L17" s="10" t="n">
        <x:f>'店长明细'!$D942</x:f>
        <x:v>1</x:v>
      </x:c>
      <x:c r="M17" s="10" t="n">
        <x:f>'店长明细'!$E1174</x:f>
        <x:v>192</x:v>
      </x:c>
      <x:c r="N17" s="10" t="n">
        <x:f>'店长明细'!$D1174</x:f>
        <x:v>135</x:v>
      </x:c>
      <x:c r="O17" s="10" t="n">
        <x:f>'店长明细'!$E1406</x:f>
        <x:v>1224</x:v>
      </x:c>
      <x:c r="P17" s="10" t="n">
        <x:f>'店长明细'!$D1406</x:f>
        <x:v>831</x:v>
      </x:c>
      <x:c r="Q17" s="10" t="n">
        <x:f>'店长明细'!$E1638</x:f>
        <x:v>115</x:v>
      </x:c>
      <x:c r="R17" s="10" t="n">
        <x:f>'店长明细'!$D1638</x:f>
        <x:v>99</x:v>
      </x:c>
      <x:c r="S17" s="10" t="n">
        <x:f>'店长明细'!$E1870</x:f>
        <x:v>38</x:v>
      </x:c>
      <x:c r="T17" s="10" t="n">
        <x:f>'店长明细'!$D1870</x:f>
        <x:v>27</x:v>
      </x:c>
      <x:c r="U17" s="10" t="n">
        <x:f>'店长明细'!$E2102</x:f>
        <x:v>475</x:v>
      </x:c>
      <x:c r="V17" s="10" t="n">
        <x:f>'店长明细'!$D2102</x:f>
        <x:v>207</x:v>
      </x:c>
      <x:c r="W17" s="11" t="n">
        <x:f>'店长明细'!$F14</x:f>
        <x:v>2007.62</x:v>
      </x:c>
      <x:c r="X17" s="11" t="n">
        <x:f>'店长明细'!$F246</x:f>
        <x:v>21022.2</x:v>
      </x:c>
      <x:c r="Y17" s="11" t="n">
        <x:f>'店长明细'!$F478</x:f>
        <x:v>15848.58</x:v>
      </x:c>
      <x:c r="Z17" s="11" t="n">
        <x:f>'店长明细'!$F710</x:f>
        <x:v>3349.85</x:v>
      </x:c>
      <x:c r="AA17" s="11" t="n">
        <x:f>'店长明细'!$F942</x:f>
        <x:v>0</x:v>
      </x:c>
      <x:c r="AB17" s="11" t="n">
        <x:f>'店长明细'!$F1174</x:f>
        <x:v>2398.61</x:v>
      </x:c>
      <x:c r="AC17" s="11" t="n">
        <x:f>'店长明细'!$F1406</x:f>
        <x:v>12404.21</x:v>
      </x:c>
      <x:c r="AD17" s="11" t="n">
        <x:f>'店长明细'!$F1638</x:f>
        <x:v>9987.34</x:v>
      </x:c>
      <x:c r="AE17" s="11" t="n">
        <x:f>'店长明细'!$F1870</x:f>
        <x:v>2569.37</x:v>
      </x:c>
      <x:c r="AF17" s="11" t="n">
        <x:f>'店长明细'!$F2102</x:f>
        <x:v>4081.51</x:v>
      </x:c>
    </x:row>
    <x:row r="18">
      <x:c r="A18" t="str">
        <x:f>TEXT($B18,"mm-dd")</x:f>
        <x:v>01-14</x:v>
      </x:c>
      <x:c r="B18" s="9" t="n">
        <x:f>'店长明细'!$C15</x:f>
        <x:v>46036</x:v>
      </x:c>
      <x:c r="C18" s="10" t="n">
        <x:f>'店长明细'!$E15</x:f>
        <x:v>189</x:v>
      </x:c>
      <x:c r="D18" s="10" t="n">
        <x:f>'店长明细'!$D15</x:f>
        <x:v>119</x:v>
      </x:c>
      <x:c r="E18" s="10" t="n">
        <x:f>'店长明细'!$E247</x:f>
        <x:v>1771</x:v>
      </x:c>
      <x:c r="F18" s="10" t="n">
        <x:f>'店长明细'!$D247</x:f>
        <x:v>1158</x:v>
      </x:c>
      <x:c r="G18" s="10" t="n">
        <x:f>'店长明细'!$E479</x:f>
        <x:v>2819</x:v>
      </x:c>
      <x:c r="H18" s="10" t="n">
        <x:f>'店长明细'!$D479</x:f>
        <x:v>1226</x:v>
      </x:c>
      <x:c r="I18" s="10" t="n">
        <x:f>'店长明细'!$E711</x:f>
        <x:v>436</x:v>
      </x:c>
      <x:c r="J18" s="10" t="n">
        <x:f>'店长明细'!$D711</x:f>
        <x:v>258</x:v>
      </x:c>
      <x:c r="K18" s="10" t="n">
        <x:f>'店长明细'!$E943</x:f>
        <x:v>0</x:v>
      </x:c>
      <x:c r="L18" s="10" t="n">
        <x:f>'店长明细'!$D943</x:f>
        <x:v>1</x:v>
      </x:c>
      <x:c r="M18" s="10" t="n">
        <x:f>'店长明细'!$E1175</x:f>
        <x:v>172</x:v>
      </x:c>
      <x:c r="N18" s="10" t="n">
        <x:f>'店长明细'!$D1175</x:f>
        <x:v>142</x:v>
      </x:c>
      <x:c r="O18" s="10" t="n">
        <x:f>'店长明细'!$E1407</x:f>
        <x:v>980</x:v>
      </x:c>
      <x:c r="P18" s="10" t="n">
        <x:f>'店长明细'!$D1407</x:f>
        <x:v>705</x:v>
      </x:c>
      <x:c r="Q18" s="10" t="n">
        <x:f>'店长明细'!$E1639</x:f>
        <x:v>90</x:v>
      </x:c>
      <x:c r="R18" s="10" t="n">
        <x:f>'店长明细'!$D1639</x:f>
        <x:v>75</x:v>
      </x:c>
      <x:c r="S18" s="10" t="n">
        <x:f>'店长明细'!$E1871</x:f>
        <x:v>30</x:v>
      </x:c>
      <x:c r="T18" s="10" t="n">
        <x:f>'店长明细'!$D1871</x:f>
        <x:v>23</x:v>
      </x:c>
      <x:c r="U18" s="10" t="n">
        <x:f>'店长明细'!$E2103</x:f>
        <x:v>459</x:v>
      </x:c>
      <x:c r="V18" s="10" t="n">
        <x:f>'店长明细'!$D2103</x:f>
        <x:v>168</x:v>
      </x:c>
      <x:c r="W18" s="11" t="n">
        <x:f>'店长明细'!$F15</x:f>
        <x:v>1667.04</x:v>
      </x:c>
      <x:c r="X18" s="11" t="n">
        <x:f>'店长明细'!$F247</x:f>
        <x:v>17051</x:v>
      </x:c>
      <x:c r="Y18" s="11" t="n">
        <x:f>'店长明细'!$F479</x:f>
        <x:v>15613.41</x:v>
      </x:c>
      <x:c r="Z18" s="11" t="n">
        <x:f>'店长明细'!$F711</x:f>
        <x:v>3758.64</x:v>
      </x:c>
      <x:c r="AA18" s="11" t="n">
        <x:f>'店长明细'!$F943</x:f>
        <x:v>0</x:v>
      </x:c>
      <x:c r="AB18" s="11" t="n">
        <x:f>'店长明细'!$F1175</x:f>
        <x:v>2119.46</x:v>
      </x:c>
      <x:c r="AC18" s="11" t="n">
        <x:f>'店长明细'!$F1407</x:f>
        <x:v>10298.19</x:v>
      </x:c>
      <x:c r="AD18" s="11" t="n">
        <x:f>'店长明细'!$F1639</x:f>
        <x:v>7089.28</x:v>
      </x:c>
      <x:c r="AE18" s="11" t="n">
        <x:f>'店长明细'!$F1871</x:f>
        <x:v>1974.37</x:v>
      </x:c>
      <x:c r="AF18" s="11" t="n">
        <x:f>'店长明细'!$F2103</x:f>
        <x:v>4042.2</x:v>
      </x:c>
    </x:row>
    <x:row r="19">
      <x:c r="A19" t="str">
        <x:f>TEXT($B19,"mm-dd")</x:f>
        <x:v>01-15</x:v>
      </x:c>
      <x:c r="B19" s="9" t="n">
        <x:f>'店长明细'!$C16</x:f>
        <x:v>46037</x:v>
      </x:c>
      <x:c r="C19" s="10" t="n">
        <x:f>'店长明细'!$E16</x:f>
        <x:v>207</x:v>
      </x:c>
      <x:c r="D19" s="10" t="n">
        <x:f>'店长明细'!$D16</x:f>
        <x:v>118</x:v>
      </x:c>
      <x:c r="E19" s="10" t="n">
        <x:f>'店长明细'!$E248</x:f>
        <x:v>2055</x:v>
      </x:c>
      <x:c r="F19" s="10" t="n">
        <x:f>'店长明细'!$D248</x:f>
        <x:v>1291</x:v>
      </x:c>
      <x:c r="G19" s="10" t="n">
        <x:f>'店长明细'!$E480</x:f>
        <x:v>2781</x:v>
      </x:c>
      <x:c r="H19" s="10" t="n">
        <x:f>'店长明细'!$D480</x:f>
        <x:v>1226</x:v>
      </x:c>
      <x:c r="I19" s="10" t="n">
        <x:f>'店长明细'!$E712</x:f>
        <x:v>559</x:v>
      </x:c>
      <x:c r="J19" s="10" t="n">
        <x:f>'店长明细'!$D712</x:f>
        <x:v>298</x:v>
      </x:c>
      <x:c r="K19" s="10" t="n">
        <x:f>'店长明细'!$E944</x:f>
        <x:v>0</x:v>
      </x:c>
      <x:c r="L19" s="10" t="n">
        <x:f>'店长明细'!$D944</x:f>
        <x:v>0</x:v>
      </x:c>
      <x:c r="M19" s="10" t="n">
        <x:f>'店长明细'!$E1176</x:f>
        <x:v>173</x:v>
      </x:c>
      <x:c r="N19" s="10" t="n">
        <x:f>'店长明细'!$D1176</x:f>
        <x:v>139</x:v>
      </x:c>
      <x:c r="O19" s="10" t="n">
        <x:f>'店长明细'!$E1408</x:f>
        <x:v>1184</x:v>
      </x:c>
      <x:c r="P19" s="10" t="n">
        <x:f>'店长明细'!$D1408</x:f>
        <x:v>780</x:v>
      </x:c>
      <x:c r="Q19" s="10" t="n">
        <x:f>'店长明细'!$E1640</x:f>
        <x:v>86</x:v>
      </x:c>
      <x:c r="R19" s="10" t="n">
        <x:f>'店长明细'!$D1640</x:f>
        <x:v>74</x:v>
      </x:c>
      <x:c r="S19" s="10" t="n">
        <x:f>'店长明细'!$E1872</x:f>
        <x:v>20</x:v>
      </x:c>
      <x:c r="T19" s="10" t="n">
        <x:f>'店长明细'!$D1872</x:f>
        <x:v>17</x:v>
      </x:c>
      <x:c r="U19" s="10" t="n">
        <x:f>'店长明细'!$E2104</x:f>
        <x:v>539</x:v>
      </x:c>
      <x:c r="V19" s="10" t="n">
        <x:f>'店长明细'!$D2104</x:f>
        <x:v>171</x:v>
      </x:c>
      <x:c r="W19" s="11" t="n">
        <x:f>'店长明细'!$F16</x:f>
        <x:v>1685.69</x:v>
      </x:c>
      <x:c r="X19" s="11" t="n">
        <x:f>'店长明细'!$F248</x:f>
        <x:v>19418.56</x:v>
      </x:c>
      <x:c r="Y19" s="11" t="n">
        <x:f>'店长明细'!$F480</x:f>
        <x:v>16589.24</x:v>
      </x:c>
      <x:c r="Z19" s="11" t="n">
        <x:f>'店长明细'!$F712</x:f>
        <x:v>4358.81</x:v>
      </x:c>
      <x:c r="AA19" s="11" t="n">
        <x:f>'店长明细'!$F944</x:f>
        <x:v>0</x:v>
      </x:c>
      <x:c r="AB19" s="11" t="n">
        <x:f>'店长明细'!$F1176</x:f>
        <x:v>2122.29</x:v>
      </x:c>
      <x:c r="AC19" s="11" t="n">
        <x:f>'店长明细'!$F1408</x:f>
        <x:v>11363.99</x:v>
      </x:c>
      <x:c r="AD19" s="11" t="n">
        <x:f>'店长明细'!$F1640</x:f>
        <x:v>7064.3</x:v>
      </x:c>
      <x:c r="AE19" s="11" t="n">
        <x:f>'店长明细'!$F1872</x:f>
        <x:v>1648.88</x:v>
      </x:c>
      <x:c r="AF19" s="11" t="n">
        <x:f>'店长明细'!$F2104</x:f>
        <x:v>4404.4</x:v>
      </x:c>
    </x:row>
    <x:row r="20">
      <x:c r="A20" t="str">
        <x:f>TEXT($B20,"mm-dd")</x:f>
        <x:v>01-16</x:v>
      </x:c>
      <x:c r="B20" s="9" t="n">
        <x:f>'店长明细'!$C17</x:f>
        <x:v>46038</x:v>
      </x:c>
      <x:c r="C20" s="10" t="n">
        <x:f>'店长明细'!$E17</x:f>
        <x:v>164</x:v>
      </x:c>
      <x:c r="D20" s="10" t="n">
        <x:f>'店长明细'!$D17</x:f>
        <x:v>101</x:v>
      </x:c>
      <x:c r="E20" s="10" t="n">
        <x:f>'店长明细'!$E249</x:f>
        <x:v>1952</x:v>
      </x:c>
      <x:c r="F20" s="10" t="n">
        <x:f>'店长明细'!$D249</x:f>
        <x:v>1266</x:v>
      </x:c>
      <x:c r="G20" s="10" t="n">
        <x:f>'店长明细'!$E481</x:f>
        <x:v>2440</x:v>
      </x:c>
      <x:c r="H20" s="10" t="n">
        <x:f>'店长明细'!$D481</x:f>
        <x:v>1040</x:v>
      </x:c>
      <x:c r="I20" s="10" t="n">
        <x:f>'店长明细'!$E713</x:f>
        <x:v>585</x:v>
      </x:c>
      <x:c r="J20" s="10" t="n">
        <x:f>'店长明细'!$D713</x:f>
        <x:v>327</x:v>
      </x:c>
      <x:c r="K20" s="10" t="n">
        <x:f>'店长明细'!$E945</x:f>
        <x:v>7</x:v>
      </x:c>
      <x:c r="L20" s="10" t="n">
        <x:f>'店长明细'!$D945</x:f>
        <x:v>3</x:v>
      </x:c>
      <x:c r="M20" s="10" t="n">
        <x:f>'店长明细'!$E1177</x:f>
        <x:v>166</x:v>
      </x:c>
      <x:c r="N20" s="10" t="n">
        <x:f>'店长明细'!$D1177</x:f>
        <x:v>118</x:v>
      </x:c>
      <x:c r="O20" s="10" t="n">
        <x:f>'店长明细'!$E1409</x:f>
        <x:v>889</x:v>
      </x:c>
      <x:c r="P20" s="10" t="n">
        <x:f>'店长明细'!$D1409</x:f>
        <x:v>631</x:v>
      </x:c>
      <x:c r="Q20" s="10" t="n">
        <x:f>'店长明细'!$E1641</x:f>
        <x:v>14</x:v>
      </x:c>
      <x:c r="R20" s="10" t="n">
        <x:f>'店长明细'!$D1641</x:f>
        <x:v>7</x:v>
      </x:c>
      <x:c r="S20" s="10" t="n">
        <x:f>'店长明细'!$E1873</x:f>
        <x:v>2</x:v>
      </x:c>
      <x:c r="T20" s="10" t="n">
        <x:f>'店长明细'!$D1873</x:f>
        <x:v>2</x:v>
      </x:c>
      <x:c r="U20" s="10" t="n">
        <x:f>'店长明细'!$E2105</x:f>
        <x:v>482</x:v>
      </x:c>
      <x:c r="V20" s="10" t="n">
        <x:f>'店长明细'!$D2105</x:f>
        <x:v>192</x:v>
      </x:c>
      <x:c r="W20" s="11" t="n">
        <x:f>'店长明细'!$F17</x:f>
        <x:v>1368.84</x:v>
      </x:c>
      <x:c r="X20" s="11" t="n">
        <x:f>'店长明细'!$F249</x:f>
        <x:v>18723.1</x:v>
      </x:c>
      <x:c r="Y20" s="11" t="n">
        <x:f>'店长明细'!$F481</x:f>
        <x:v>12208.08</x:v>
      </x:c>
      <x:c r="Z20" s="11" t="n">
        <x:f>'店长明细'!$F713</x:f>
        <x:v>5084.26</x:v>
      </x:c>
      <x:c r="AA20" s="11" t="n">
        <x:f>'店长明细'!$F945</x:f>
        <x:v>43.45</x:v>
      </x:c>
      <x:c r="AB20" s="11" t="n">
        <x:f>'店长明细'!$F1177</x:f>
        <x:v>1951.21</x:v>
      </x:c>
      <x:c r="AC20" s="11" t="n">
        <x:f>'店长明细'!$F1409</x:f>
        <x:v>8755.99</x:v>
      </x:c>
      <x:c r="AD20" s="11" t="n">
        <x:f>'店长明细'!$F1641</x:f>
        <x:v>140.19</x:v>
      </x:c>
      <x:c r="AE20" s="11" t="n">
        <x:f>'店长明细'!$F1873</x:f>
        <x:v>49.98</x:v>
      </x:c>
      <x:c r="AF20" s="11" t="n">
        <x:f>'店长明细'!$F2105</x:f>
        <x:v>4033.65</x:v>
      </x:c>
    </x:row>
    <x:row r="21">
      <x:c r="A21" t="str">
        <x:f>TEXT($B21,"mm-dd")</x:f>
        <x:v>01-17</x:v>
      </x:c>
      <x:c r="B21" s="9" t="n">
        <x:f>'店长明细'!$C18</x:f>
        <x:v>46039</x:v>
      </x:c>
      <x:c r="C21" s="10" t="n">
        <x:f>'店长明细'!$E18</x:f>
        <x:v>136</x:v>
      </x:c>
      <x:c r="D21" s="10" t="n">
        <x:f>'店长明细'!$D18</x:f>
        <x:v>85</x:v>
      </x:c>
      <x:c r="E21" s="10" t="n">
        <x:f>'店长明细'!$E250</x:f>
        <x:v>1826</x:v>
      </x:c>
      <x:c r="F21" s="10" t="n">
        <x:f>'店长明细'!$D250</x:f>
        <x:v>1159</x:v>
      </x:c>
      <x:c r="G21" s="10" t="n">
        <x:f>'店长明细'!$E482</x:f>
        <x:v>2531</x:v>
      </x:c>
      <x:c r="H21" s="10" t="n">
        <x:f>'店长明细'!$D482</x:f>
        <x:v>1097</x:v>
      </x:c>
      <x:c r="I21" s="10" t="n">
        <x:f>'店长明细'!$E714</x:f>
        <x:v>584</x:v>
      </x:c>
      <x:c r="J21" s="10" t="n">
        <x:f>'店长明细'!$D714</x:f>
        <x:v>297</x:v>
      </x:c>
      <x:c r="K21" s="10" t="n">
        <x:f>'店长明细'!$E946</x:f>
        <x:v>2</x:v>
      </x:c>
      <x:c r="L21" s="10" t="n">
        <x:f>'店长明细'!$D946</x:f>
        <x:v>1</x:v>
      </x:c>
      <x:c r="M21" s="10" t="n">
        <x:f>'店长明细'!$E1178</x:f>
        <x:v>133</x:v>
      </x:c>
      <x:c r="N21" s="10" t="n">
        <x:f>'店长明细'!$D1178</x:f>
        <x:v>100</x:v>
      </x:c>
      <x:c r="O21" s="10" t="n">
        <x:f>'店长明细'!$E1410</x:f>
        <x:v>944</x:v>
      </x:c>
      <x:c r="P21" s="10" t="n">
        <x:f>'店长明细'!$D1410</x:f>
        <x:v>662</x:v>
      </x:c>
      <x:c r="Q21" s="10" t="n">
        <x:f>'店长明细'!$E1642</x:f>
        <x:v>8</x:v>
      </x:c>
      <x:c r="R21" s="10" t="n">
        <x:f>'店长明细'!$D1642</x:f>
        <x:v>4</x:v>
      </x:c>
      <x:c r="S21" s="10" t="n">
        <x:f>'店长明细'!$E1874</x:f>
        <x:v>2</x:v>
      </x:c>
      <x:c r="T21" s="10" t="n">
        <x:f>'店长明细'!$D1874</x:f>
        <x:v>2</x:v>
      </x:c>
      <x:c r="U21" s="10" t="n">
        <x:f>'店长明细'!$E2106</x:f>
        <x:v>517</x:v>
      </x:c>
      <x:c r="V21" s="10" t="n">
        <x:f>'店长明细'!$D2106</x:f>
        <x:v>203</x:v>
      </x:c>
      <x:c r="W21" s="11" t="n">
        <x:f>'店长明细'!$F18</x:f>
        <x:v>1249.45</x:v>
      </x:c>
      <x:c r="X21" s="11" t="n">
        <x:f>'店长明细'!$F250</x:f>
        <x:v>17062.96</x:v>
      </x:c>
      <x:c r="Y21" s="11" t="n">
        <x:f>'店长明细'!$F482</x:f>
        <x:v>12602.8</x:v>
      </x:c>
      <x:c r="Z21" s="11" t="n">
        <x:f>'店长明细'!$F714</x:f>
        <x:v>4368.52</x:v>
      </x:c>
      <x:c r="AA21" s="11" t="n">
        <x:f>'店长明细'!$F946</x:f>
        <x:v>12.41</x:v>
      </x:c>
      <x:c r="AB21" s="11" t="n">
        <x:f>'店长明细'!$F1178</x:f>
        <x:v>1627.86</x:v>
      </x:c>
      <x:c r="AC21" s="11" t="n">
        <x:f>'店长明细'!$F1410</x:f>
        <x:v>9338.96</x:v>
      </x:c>
      <x:c r="AD21" s="11" t="n">
        <x:f>'店长明细'!$F1642</x:f>
        <x:v>80.11</x:v>
      </x:c>
      <x:c r="AE21" s="11" t="n">
        <x:f>'店长明细'!$F1874</x:f>
        <x:v>186.09</x:v>
      </x:c>
      <x:c r="AF21" s="11" t="n">
        <x:f>'店长明细'!$F2106</x:f>
        <x:v>4368.17</x:v>
      </x:c>
    </x:row>
    <x:row r="22">
      <x:c r="A22" t="str">
        <x:f>TEXT($B22,"mm-dd")</x:f>
        <x:v>01-18</x:v>
      </x:c>
      <x:c r="B22" s="9" t="n">
        <x:f>'店长明细'!$C19</x:f>
        <x:v>46040</x:v>
      </x:c>
      <x:c r="C22" s="10" t="n">
        <x:f>'店长明细'!$E19</x:f>
        <x:v>149</x:v>
      </x:c>
      <x:c r="D22" s="10" t="n">
        <x:f>'店长明细'!$D19</x:f>
        <x:v>92</x:v>
      </x:c>
      <x:c r="E22" s="10" t="n">
        <x:f>'店长明细'!$E251</x:f>
        <x:v>1583</x:v>
      </x:c>
      <x:c r="F22" s="10" t="n">
        <x:f>'店长明细'!$D251</x:f>
        <x:v>1025</x:v>
      </x:c>
      <x:c r="G22" s="10" t="n">
        <x:f>'店长明细'!$E483</x:f>
        <x:v>2105</x:v>
      </x:c>
      <x:c r="H22" s="10" t="n">
        <x:f>'店长明细'!$D483</x:f>
        <x:v>907</x:v>
      </x:c>
      <x:c r="I22" s="10" t="n">
        <x:f>'店长明细'!$E715</x:f>
        <x:v>583</x:v>
      </x:c>
      <x:c r="J22" s="10" t="n">
        <x:f>'店长明细'!$D715</x:f>
        <x:v>316</x:v>
      </x:c>
      <x:c r="K22" s="10" t="n">
        <x:f>'店长明细'!$E947</x:f>
        <x:v>2</x:v>
      </x:c>
      <x:c r="L22" s="10" t="n">
        <x:f>'店长明细'!$D947</x:f>
        <x:v>1</x:v>
      </x:c>
      <x:c r="M22" s="10" t="n">
        <x:f>'店长明细'!$E1179</x:f>
        <x:v>110</x:v>
      </x:c>
      <x:c r="N22" s="10" t="n">
        <x:f>'店长明细'!$D1179</x:f>
        <x:v>86</x:v>
      </x:c>
      <x:c r="O22" s="10" t="n">
        <x:f>'店长明细'!$E1411</x:f>
        <x:v>906</x:v>
      </x:c>
      <x:c r="P22" s="10" t="n">
        <x:f>'店长明细'!$D1411</x:f>
        <x:v>623</x:v>
      </x:c>
      <x:c r="Q22" s="10" t="n">
        <x:f>'店长明细'!$E1643</x:f>
        <x:v>20</x:v>
      </x:c>
      <x:c r="R22" s="10" t="n">
        <x:f>'店长明细'!$D1643</x:f>
        <x:v>7</x:v>
      </x:c>
      <x:c r="S22" s="10" t="n">
        <x:f>'店长明细'!$E1875</x:f>
        <x:v>0</x:v>
      </x:c>
      <x:c r="T22" s="10" t="n">
        <x:f>'店长明细'!$D1875</x:f>
        <x:v>0</x:v>
      </x:c>
      <x:c r="U22" s="10" t="n">
        <x:f>'店长明细'!$E2107</x:f>
        <x:v>480</x:v>
      </x:c>
      <x:c r="V22" s="10" t="n">
        <x:f>'店长明细'!$D2107</x:f>
        <x:v>184</x:v>
      </x:c>
      <x:c r="W22" s="11" t="n">
        <x:f>'店长明细'!$F19</x:f>
        <x:v>1392.55</x:v>
      </x:c>
      <x:c r="X22" s="11" t="n">
        <x:f>'店长明细'!$F251</x:f>
        <x:v>14721.58</x:v>
      </x:c>
      <x:c r="Y22" s="11" t="n">
        <x:f>'店长明细'!$F483</x:f>
        <x:v>13403.18</x:v>
      </x:c>
      <x:c r="Z22" s="11" t="n">
        <x:f>'店长明细'!$F715</x:f>
        <x:v>4540.14</x:v>
      </x:c>
      <x:c r="AA22" s="11" t="n">
        <x:f>'店长明细'!$F947</x:f>
        <x:v>16.5</x:v>
      </x:c>
      <x:c r="AB22" s="11" t="n">
        <x:f>'店长明细'!$F1179</x:f>
        <x:v>1482.37</x:v>
      </x:c>
      <x:c r="AC22" s="11" t="n">
        <x:f>'店长明细'!$F1411</x:f>
        <x:v>9682.29</x:v>
      </x:c>
      <x:c r="AD22" s="11" t="n">
        <x:f>'店长明细'!$F1643</x:f>
        <x:v>276.89</x:v>
      </x:c>
      <x:c r="AE22" s="11" t="n">
        <x:f>'店长明细'!$F1875</x:f>
        <x:v>0</x:v>
      </x:c>
      <x:c r="AF22" s="11" t="n">
        <x:f>'店长明细'!$F2107</x:f>
        <x:v>4274.81</x:v>
      </x:c>
    </x:row>
    <x:row r="23">
      <x:c r="A23" t="str">
        <x:f>TEXT($B23,"mm-dd")</x:f>
        <x:v>01-19</x:v>
      </x:c>
      <x:c r="B23" s="9" t="n">
        <x:f>'店长明细'!$C20</x:f>
        <x:v>46041</x:v>
      </x:c>
      <x:c r="C23" s="10" t="n">
        <x:f>'店长明细'!$E20</x:f>
        <x:v>144</x:v>
      </x:c>
      <x:c r="D23" s="10" t="n">
        <x:f>'店长明细'!$D20</x:f>
        <x:v>97</x:v>
      </x:c>
      <x:c r="E23" s="10" t="n">
        <x:f>'店长明细'!$E252</x:f>
        <x:v>1538</x:v>
      </x:c>
      <x:c r="F23" s="10" t="n">
        <x:f>'店长明细'!$D252</x:f>
        <x:v>993</x:v>
      </x:c>
      <x:c r="G23" s="10" t="n">
        <x:f>'店长明细'!$E484</x:f>
        <x:v>1962</x:v>
      </x:c>
      <x:c r="H23" s="10" t="n">
        <x:f>'店长明细'!$D484</x:f>
        <x:v>834</x:v>
      </x:c>
      <x:c r="I23" s="10" t="n">
        <x:f>'店长明细'!$E716</x:f>
        <x:v>577</x:v>
      </x:c>
      <x:c r="J23" s="10" t="n">
        <x:f>'店长明细'!$D716</x:f>
        <x:v>304</x:v>
      </x:c>
      <x:c r="K23" s="10" t="n">
        <x:f>'店长明细'!$E948</x:f>
        <x:v>2</x:v>
      </x:c>
      <x:c r="L23" s="10" t="n">
        <x:f>'店长明细'!$D948</x:f>
        <x:v>1</x:v>
      </x:c>
      <x:c r="M23" s="10" t="n">
        <x:f>'店长明细'!$E1180</x:f>
        <x:v>142</x:v>
      </x:c>
      <x:c r="N23" s="10" t="n">
        <x:f>'店长明细'!$D1180</x:f>
        <x:v>121</x:v>
      </x:c>
      <x:c r="O23" s="10" t="n">
        <x:f>'店长明细'!$E1412</x:f>
        <x:v>951</x:v>
      </x:c>
      <x:c r="P23" s="10" t="n">
        <x:f>'店长明细'!$D1412</x:f>
        <x:v>668</x:v>
      </x:c>
      <x:c r="Q23" s="10" t="n">
        <x:f>'店长明细'!$E1644</x:f>
        <x:v>227</x:v>
      </x:c>
      <x:c r="R23" s="10" t="n">
        <x:f>'店长明细'!$D1644</x:f>
        <x:v>179</x:v>
      </x:c>
      <x:c r="S23" s="10" t="n">
        <x:f>'店长明细'!$E1876</x:f>
        <x:v>264</x:v>
      </x:c>
      <x:c r="T23" s="10" t="n">
        <x:f>'店长明细'!$D1876</x:f>
        <x:v>163</x:v>
      </x:c>
      <x:c r="U23" s="10" t="n">
        <x:f>'店长明细'!$E2108</x:f>
        <x:v>557</x:v>
      </x:c>
      <x:c r="V23" s="10" t="n">
        <x:f>'店长明细'!$D2108</x:f>
        <x:v>203</x:v>
      </x:c>
      <x:c r="W23" s="11" t="n">
        <x:f>'店长明细'!$F20</x:f>
        <x:v>1251.5</x:v>
      </x:c>
      <x:c r="X23" s="11" t="n">
        <x:f>'店长明细'!$F252</x:f>
        <x:v>14576.01</x:v>
      </x:c>
      <x:c r="Y23" s="11" t="n">
        <x:f>'店长明细'!$F484</x:f>
        <x:v>14347.9</x:v>
      </x:c>
      <x:c r="Z23" s="11" t="n">
        <x:f>'店长明细'!$F716</x:f>
        <x:v>4613.45</x:v>
      </x:c>
      <x:c r="AA23" s="11" t="n">
        <x:f>'店长明细'!$F948</x:f>
        <x:v>23.09</x:v>
      </x:c>
      <x:c r="AB23" s="11" t="n">
        <x:f>'店长明细'!$F1180</x:f>
        <x:v>1718.01</x:v>
      </x:c>
      <x:c r="AC23" s="11" t="n">
        <x:f>'店长明细'!$F1412</x:f>
        <x:v>9716.08</x:v>
      </x:c>
      <x:c r="AD23" s="11" t="n">
        <x:f>'店长明细'!$F1644</x:f>
        <x:v>19485.58</x:v>
      </x:c>
      <x:c r="AE23" s="11" t="n">
        <x:f>'店长明细'!$F1876</x:f>
        <x:v>16890.86</x:v>
      </x:c>
      <x:c r="AF23" s="11" t="n">
        <x:f>'店长明细'!$F2108</x:f>
        <x:v>4956.65</x:v>
      </x:c>
    </x:row>
    <x:row r="24">
      <x:c r="A24" t="str">
        <x:f>TEXT($B24,"mm-dd")</x:f>
        <x:v>01-20</x:v>
      </x:c>
      <x:c r="B24" s="9" t="n">
        <x:f>'店长明细'!$C21</x:f>
        <x:v>46042</x:v>
      </x:c>
      <x:c r="C24" s="10" t="n">
        <x:f>'店长明细'!$E21</x:f>
        <x:v>192</x:v>
      </x:c>
      <x:c r="D24" s="10" t="n">
        <x:f>'店长明细'!$D21</x:f>
        <x:v>130</x:v>
      </x:c>
      <x:c r="E24" s="10" t="n">
        <x:f>'店长明细'!$E253</x:f>
        <x:v>1968</x:v>
      </x:c>
      <x:c r="F24" s="10" t="n">
        <x:f>'店长明细'!$D253</x:f>
        <x:v>1257</x:v>
      </x:c>
      <x:c r="G24" s="10" t="n">
        <x:f>'店长明细'!$E485</x:f>
        <x:v>1979</x:v>
      </x:c>
      <x:c r="H24" s="10" t="n">
        <x:f>'店长明细'!$D485</x:f>
        <x:v>880</x:v>
      </x:c>
      <x:c r="I24" s="10" t="n">
        <x:f>'店长明细'!$E717</x:f>
        <x:v>498</x:v>
      </x:c>
      <x:c r="J24" s="10" t="n">
        <x:f>'店长明细'!$D717</x:f>
        <x:v>288</x:v>
      </x:c>
      <x:c r="K24" s="10" t="n">
        <x:f>'店长明细'!$E949</x:f>
        <x:v>1</x:v>
      </x:c>
      <x:c r="L24" s="10" t="n">
        <x:f>'店长明细'!$D949</x:f>
        <x:v>1</x:v>
      </x:c>
      <x:c r="M24" s="10" t="n">
        <x:f>'店长明细'!$E1181</x:f>
        <x:v>124</x:v>
      </x:c>
      <x:c r="N24" s="10" t="n">
        <x:f>'店长明细'!$D1181</x:f>
        <x:v>108</x:v>
      </x:c>
      <x:c r="O24" s="10" t="n">
        <x:f>'店长明细'!$E1413</x:f>
        <x:v>921</x:v>
      </x:c>
      <x:c r="P24" s="10" t="n">
        <x:f>'店长明细'!$D1413</x:f>
        <x:v>644</x:v>
      </x:c>
      <x:c r="Q24" s="10" t="n">
        <x:f>'店长明细'!$E1645</x:f>
        <x:v>30</x:v>
      </x:c>
      <x:c r="R24" s="10" t="n">
        <x:f>'店长明细'!$D1645</x:f>
        <x:v>22</x:v>
      </x:c>
      <x:c r="S24" s="10" t="n">
        <x:f>'店长明细'!$E1877</x:f>
        <x:v>108</x:v>
      </x:c>
      <x:c r="T24" s="10" t="n">
        <x:f>'店长明细'!$D1877</x:f>
        <x:v>75</x:v>
      </x:c>
      <x:c r="U24" s="10" t="n">
        <x:f>'店长明细'!$E2109</x:f>
        <x:v>544</x:v>
      </x:c>
      <x:c r="V24" s="10" t="n">
        <x:f>'店长明细'!$D2109</x:f>
        <x:v>201</x:v>
      </x:c>
      <x:c r="W24" s="11" t="n">
        <x:f>'店长明细'!$F21</x:f>
        <x:v>1867.84</x:v>
      </x:c>
      <x:c r="X24" s="11" t="n">
        <x:f>'店长明细'!$F253</x:f>
        <x:v>18970.14</x:v>
      </x:c>
      <x:c r="Y24" s="11" t="n">
        <x:f>'店长明细'!$F485</x:f>
        <x:v>14607.51</x:v>
      </x:c>
      <x:c r="Z24" s="11" t="n">
        <x:f>'店长明细'!$F717</x:f>
        <x:v>4634.92</x:v>
      </x:c>
      <x:c r="AA24" s="11" t="n">
        <x:f>'店长明细'!$F949</x:f>
        <x:v>12.28</x:v>
      </x:c>
      <x:c r="AB24" s="11" t="n">
        <x:f>'店长明细'!$F1181</x:f>
        <x:v>1497.62</x:v>
      </x:c>
      <x:c r="AC24" s="11" t="n">
        <x:f>'店长明细'!$F1413</x:f>
        <x:v>9215.85</x:v>
      </x:c>
      <x:c r="AD24" s="11" t="n">
        <x:f>'店长明细'!$F1645</x:f>
        <x:v>2483.11</x:v>
      </x:c>
      <x:c r="AE24" s="11" t="n">
        <x:f>'店长明细'!$F1877</x:f>
        <x:v>7828.09</x:v>
      </x:c>
      <x:c r="AF24" s="11" t="n">
        <x:f>'店长明细'!$F2109</x:f>
        <x:v>4449.29</x:v>
      </x:c>
    </x:row>
    <x:row r="25">
      <x:c r="A25" t="str">
        <x:f>TEXT($B25,"mm-dd")</x:f>
        <x:v>01-21</x:v>
      </x:c>
      <x:c r="B25" s="9" t="n">
        <x:f>'店长明细'!$C22</x:f>
        <x:v>46043</x:v>
      </x:c>
      <x:c r="C25" s="10" t="n">
        <x:f>'店长明细'!$E22</x:f>
        <x:v>178</x:v>
      </x:c>
      <x:c r="D25" s="10" t="n">
        <x:f>'店长明细'!$D22</x:f>
        <x:v>112</x:v>
      </x:c>
      <x:c r="E25" s="10" t="n">
        <x:f>'店长明细'!$E254</x:f>
        <x:v>2602</x:v>
      </x:c>
      <x:c r="F25" s="10" t="n">
        <x:f>'店长明细'!$D254</x:f>
        <x:v>1566</x:v>
      </x:c>
      <x:c r="G25" s="10" t="n">
        <x:f>'店长明细'!$E486</x:f>
        <x:v>1872</x:v>
      </x:c>
      <x:c r="H25" s="10" t="n">
        <x:f>'店长明细'!$D486</x:f>
        <x:v>829</x:v>
      </x:c>
      <x:c r="I25" s="10" t="n">
        <x:f>'店长明细'!$E718</x:f>
        <x:v>451</x:v>
      </x:c>
      <x:c r="J25" s="10" t="n">
        <x:f>'店长明细'!$D718</x:f>
        <x:v>255</x:v>
      </x:c>
      <x:c r="K25" s="10" t="n">
        <x:f>'店长明细'!$E950</x:f>
        <x:v>0</x:v>
      </x:c>
      <x:c r="L25" s="10" t="n">
        <x:f>'店长明细'!$D950</x:f>
        <x:v>0</x:v>
      </x:c>
      <x:c r="M25" s="10" t="n">
        <x:f>'店长明细'!$E1182</x:f>
        <x:v>187</x:v>
      </x:c>
      <x:c r="N25" s="10" t="n">
        <x:f>'店长明细'!$D1182</x:f>
        <x:v>147</x:v>
      </x:c>
      <x:c r="O25" s="10" t="n">
        <x:f>'店长明细'!$E1414</x:f>
        <x:v>948</x:v>
      </x:c>
      <x:c r="P25" s="10" t="n">
        <x:f>'店长明细'!$D1414</x:f>
        <x:v>628</x:v>
      </x:c>
      <x:c r="Q25" s="10" t="n">
        <x:f>'店长明细'!$E1646</x:f>
        <x:v>47</x:v>
      </x:c>
      <x:c r="R25" s="10" t="n">
        <x:f>'店长明细'!$D1646</x:f>
        <x:v>30</x:v>
      </x:c>
      <x:c r="S25" s="10" t="n">
        <x:f>'店长明细'!$E1878</x:f>
        <x:v>44</x:v>
      </x:c>
      <x:c r="T25" s="10" t="n">
        <x:f>'店长明细'!$D1878</x:f>
        <x:v>30</x:v>
      </x:c>
      <x:c r="U25" s="10" t="n">
        <x:f>'店长明细'!$E2110</x:f>
        <x:v>567</x:v>
      </x:c>
      <x:c r="V25" s="10" t="n">
        <x:f>'店长明细'!$D2110</x:f>
        <x:v>217</x:v>
      </x:c>
      <x:c r="W25" s="11" t="n">
        <x:f>'店长明细'!$F22</x:f>
        <x:v>1608.91</x:v>
      </x:c>
      <x:c r="X25" s="11" t="n">
        <x:f>'店长明细'!$F254</x:f>
        <x:v>24958.34</x:v>
      </x:c>
      <x:c r="Y25" s="11" t="n">
        <x:f>'店长明细'!$F486</x:f>
        <x:v>13120.76</x:v>
      </x:c>
      <x:c r="Z25" s="11" t="n">
        <x:f>'店长明细'!$F718</x:f>
        <x:v>3843.98</x:v>
      </x:c>
      <x:c r="AA25" s="11" t="n">
        <x:f>'店长明细'!$F950</x:f>
        <x:v>0</x:v>
      </x:c>
      <x:c r="AB25" s="11" t="n">
        <x:f>'店长明细'!$F1182</x:f>
        <x:v>2240.47</x:v>
      </x:c>
      <x:c r="AC25" s="11" t="n">
        <x:f>'店长明细'!$F1414</x:f>
        <x:v>10018.9</x:v>
      </x:c>
      <x:c r="AD25" s="11" t="n">
        <x:f>'店长明细'!$F1646</x:f>
        <x:v>2819.3</x:v>
      </x:c>
      <x:c r="AE25" s="11" t="n">
        <x:f>'店长明细'!$F1878</x:f>
        <x:v>3225.88</x:v>
      </x:c>
      <x:c r="AF25" s="11" t="n">
        <x:f>'店长明细'!$F2110</x:f>
        <x:v>4503.08</x:v>
      </x:c>
    </x:row>
    <x:row r="26">
      <x:c r="A26" t="str">
        <x:f>TEXT($B26,"mm-dd")</x:f>
        <x:v>01-22</x:v>
      </x:c>
      <x:c r="B26" s="9" t="n">
        <x:f>'店长明细'!$C23</x:f>
        <x:v>46044</x:v>
      </x:c>
      <x:c r="C26" s="10" t="n">
        <x:f>'店长明细'!$E23</x:f>
        <x:v>231</x:v>
      </x:c>
      <x:c r="D26" s="10" t="n">
        <x:f>'店长明细'!$D23</x:f>
        <x:v>150</x:v>
      </x:c>
      <x:c r="E26" s="10" t="n">
        <x:f>'店长明细'!$E255</x:f>
        <x:v>2132</x:v>
      </x:c>
      <x:c r="F26" s="10" t="n">
        <x:f>'店长明细'!$D255</x:f>
        <x:v>1283</x:v>
      </x:c>
      <x:c r="G26" s="10" t="n">
        <x:f>'店长明细'!$E487</x:f>
        <x:v>1884</x:v>
      </x:c>
      <x:c r="H26" s="10" t="n">
        <x:f>'店长明细'!$D487</x:f>
        <x:v>845</x:v>
      </x:c>
      <x:c r="I26" s="10" t="n">
        <x:f>'店长明细'!$E719</x:f>
        <x:v>402</x:v>
      </x:c>
      <x:c r="J26" s="10" t="n">
        <x:f>'店长明细'!$D719</x:f>
        <x:v>225</x:v>
      </x:c>
      <x:c r="K26" s="10" t="n">
        <x:f>'店长明细'!$E951</x:f>
        <x:v>0</x:v>
      </x:c>
      <x:c r="L26" s="10" t="n">
        <x:f>'店长明细'!$D951</x:f>
        <x:v>0</x:v>
      </x:c>
      <x:c r="M26" s="10" t="n">
        <x:f>'店长明细'!$E1183</x:f>
        <x:v>113</x:v>
      </x:c>
      <x:c r="N26" s="10" t="n">
        <x:f>'店长明细'!$D1183</x:f>
        <x:v>85</x:v>
      </x:c>
      <x:c r="O26" s="10" t="n">
        <x:f>'店长明细'!$E1415</x:f>
        <x:v>745</x:v>
      </x:c>
      <x:c r="P26" s="10" t="n">
        <x:f>'店长明细'!$D1415</x:f>
        <x:v>542</x:v>
      </x:c>
      <x:c r="Q26" s="10" t="n">
        <x:f>'店长明细'!$E1647</x:f>
        <x:v>35</x:v>
      </x:c>
      <x:c r="R26" s="10" t="n">
        <x:f>'店长明细'!$D1647</x:f>
        <x:v>22</x:v>
      </x:c>
      <x:c r="S26" s="10" t="n">
        <x:f>'店长明细'!$E1879</x:f>
        <x:v>66</x:v>
      </x:c>
      <x:c r="T26" s="10" t="n">
        <x:f>'店长明细'!$D1879</x:f>
        <x:v>40</x:v>
      </x:c>
      <x:c r="U26" s="10" t="n">
        <x:f>'店长明细'!$E2111</x:f>
        <x:v>575</x:v>
      </x:c>
      <x:c r="V26" s="10" t="n">
        <x:f>'店长明细'!$D2111</x:f>
        <x:v>218</x:v>
      </x:c>
      <x:c r="W26" s="11" t="n">
        <x:f>'店长明细'!$F23</x:f>
        <x:v>2414</x:v>
      </x:c>
      <x:c r="X26" s="11" t="n">
        <x:f>'店长明细'!$F255</x:f>
        <x:v>19486.94</x:v>
      </x:c>
      <x:c r="Y26" s="11" t="n">
        <x:f>'店长明细'!$F487</x:f>
        <x:v>13929.14</x:v>
      </x:c>
      <x:c r="Z26" s="11" t="n">
        <x:f>'店长明细'!$F719</x:f>
        <x:v>3629.38</x:v>
      </x:c>
      <x:c r="AA26" s="11" t="n">
        <x:f>'店长明细'!$F951</x:f>
        <x:v>0</x:v>
      </x:c>
      <x:c r="AB26" s="11" t="n">
        <x:f>'店长明细'!$F1183</x:f>
        <x:v>1455.18</x:v>
      </x:c>
      <x:c r="AC26" s="11" t="n">
        <x:f>'店长明细'!$F1415</x:f>
        <x:v>7593.61</x:v>
      </x:c>
      <x:c r="AD26" s="11" t="n">
        <x:f>'店长明细'!$F1647</x:f>
        <x:v>1837.45</x:v>
      </x:c>
      <x:c r="AE26" s="11" t="n">
        <x:f>'店长明细'!$F1879</x:f>
        <x:v>4878.57</x:v>
      </x:c>
      <x:c r="AF26" s="11" t="n">
        <x:f>'店长明细'!$F2111</x:f>
        <x:v>4737.35</x:v>
      </x:c>
    </x:row>
    <x:row r="27">
      <x:c r="A27" t="str">
        <x:f>TEXT($B27,"mm-dd")</x:f>
        <x:v>01-23</x:v>
      </x:c>
      <x:c r="B27" s="9" t="n">
        <x:f>'店长明细'!$C24</x:f>
        <x:v>46045</x:v>
      </x:c>
      <x:c r="C27" s="10" t="n">
        <x:f>'店长明细'!$E24</x:f>
        <x:v>144</x:v>
      </x:c>
      <x:c r="D27" s="10" t="n">
        <x:f>'店长明细'!$D24</x:f>
        <x:v>92</x:v>
      </x:c>
      <x:c r="E27" s="10" t="n">
        <x:f>'店长明细'!$E256</x:f>
        <x:v>1924</x:v>
      </x:c>
      <x:c r="F27" s="10" t="n">
        <x:f>'店长明细'!$D256</x:f>
        <x:v>1162</x:v>
      </x:c>
      <x:c r="G27" s="10" t="n">
        <x:f>'店长明细'!$E488</x:f>
        <x:v>1817</x:v>
      </x:c>
      <x:c r="H27" s="10" t="n">
        <x:f>'店长明细'!$D488</x:f>
        <x:v>768</x:v>
      </x:c>
      <x:c r="I27" s="10" t="n">
        <x:f>'店长明细'!$E720</x:f>
        <x:v>519</x:v>
      </x:c>
      <x:c r="J27" s="10" t="n">
        <x:f>'店长明细'!$D720</x:f>
        <x:v>290</x:v>
      </x:c>
      <x:c r="K27" s="10" t="n">
        <x:f>'店长明细'!$E952</x:f>
        <x:v>0</x:v>
      </x:c>
      <x:c r="L27" s="10" t="n">
        <x:f>'店长明细'!$D952</x:f>
        <x:v>1</x:v>
      </x:c>
      <x:c r="M27" s="10" t="n">
        <x:f>'店长明细'!$E1184</x:f>
        <x:v>99</x:v>
      </x:c>
      <x:c r="N27" s="10" t="n">
        <x:f>'店长明细'!$D1184</x:f>
        <x:v>79</x:v>
      </x:c>
      <x:c r="O27" s="10" t="n">
        <x:f>'店长明细'!$E1416</x:f>
        <x:v>997</x:v>
      </x:c>
      <x:c r="P27" s="10" t="n">
        <x:f>'店长明细'!$D1416</x:f>
        <x:v>640</x:v>
      </x:c>
      <x:c r="Q27" s="10" t="n">
        <x:f>'店长明细'!$E1648</x:f>
        <x:v>35</x:v>
      </x:c>
      <x:c r="R27" s="10" t="n">
        <x:f>'店长明细'!$D1648</x:f>
        <x:v>30</x:v>
      </x:c>
      <x:c r="S27" s="10" t="n">
        <x:f>'店长明细'!$E1880</x:f>
        <x:v>49</x:v>
      </x:c>
      <x:c r="T27" s="10" t="n">
        <x:f>'店长明细'!$D1880</x:f>
        <x:v>38</x:v>
      </x:c>
      <x:c r="U27" s="10" t="n">
        <x:f>'店长明细'!$E2112</x:f>
        <x:v>506</x:v>
      </x:c>
      <x:c r="V27" s="10" t="n">
        <x:f>'店长明细'!$D2112</x:f>
        <x:v>209</x:v>
      </x:c>
      <x:c r="W27" s="11" t="n">
        <x:f>'店长明细'!$F24</x:f>
        <x:v>1582.5</x:v>
      </x:c>
      <x:c r="X27" s="11" t="n">
        <x:f>'店长明细'!$F256</x:f>
        <x:v>17605.91</x:v>
      </x:c>
      <x:c r="Y27" s="11" t="n">
        <x:f>'店长明细'!$F488</x:f>
        <x:v>12924.6</x:v>
      </x:c>
      <x:c r="Z27" s="11" t="n">
        <x:f>'店长明细'!$F720</x:f>
        <x:v>4837.42</x:v>
      </x:c>
      <x:c r="AA27" s="11" t="n">
        <x:f>'店长明细'!$F952</x:f>
        <x:v>0</x:v>
      </x:c>
      <x:c r="AB27" s="11" t="n">
        <x:f>'店长明细'!$F1184</x:f>
        <x:v>1166.47</x:v>
      </x:c>
      <x:c r="AC27" s="11" t="n">
        <x:f>'店长明细'!$F1416</x:f>
        <x:v>9724.21</x:v>
      </x:c>
      <x:c r="AD27" s="11" t="n">
        <x:f>'店长明细'!$F1648</x:f>
        <x:v>1850.48</x:v>
      </x:c>
      <x:c r="AE27" s="11" t="n">
        <x:f>'店长明细'!$F1880</x:f>
        <x:v>3386.48</x:v>
      </x:c>
      <x:c r="AF27" s="11" t="n">
        <x:f>'店长明细'!$F2112</x:f>
        <x:v>3814.94</x:v>
      </x:c>
    </x:row>
    <x:row r="28">
      <x:c r="A28" t="str">
        <x:f>TEXT($B28,"mm-dd")</x:f>
        <x:v>01-24</x:v>
      </x:c>
      <x:c r="B28" s="9" t="n">
        <x:f>'店长明细'!$C25</x:f>
        <x:v>46046</x:v>
      </x:c>
      <x:c r="C28" s="10" t="n">
        <x:f>'店长明细'!$E25</x:f>
        <x:v>145</x:v>
      </x:c>
      <x:c r="D28" s="10" t="n">
        <x:f>'店长明细'!$D25</x:f>
        <x:v>98</x:v>
      </x:c>
      <x:c r="E28" s="10" t="n">
        <x:f>'店长明细'!$E257</x:f>
        <x:v>1867</x:v>
      </x:c>
      <x:c r="F28" s="10" t="n">
        <x:f>'店长明细'!$D257</x:f>
        <x:v>1177</x:v>
      </x:c>
      <x:c r="G28" s="10" t="n">
        <x:f>'店长明细'!$E489</x:f>
        <x:v>2035</x:v>
      </x:c>
      <x:c r="H28" s="10" t="n">
        <x:f>'店长明细'!$D489</x:f>
        <x:v>846</x:v>
      </x:c>
      <x:c r="I28" s="10" t="n">
        <x:f>'店长明细'!$E721</x:f>
        <x:v>572</x:v>
      </x:c>
      <x:c r="J28" s="10" t="n">
        <x:f>'店长明细'!$D721</x:f>
        <x:v>349</x:v>
      </x:c>
      <x:c r="K28" s="10" t="n">
        <x:f>'店长明细'!$E953</x:f>
        <x:v>2</x:v>
      </x:c>
      <x:c r="L28" s="10" t="n">
        <x:f>'店长明细'!$D953</x:f>
        <x:v>2</x:v>
      </x:c>
      <x:c r="M28" s="10" t="n">
        <x:f>'店长明细'!$E1185</x:f>
        <x:v>109</x:v>
      </x:c>
      <x:c r="N28" s="10" t="n">
        <x:f>'店长明细'!$D1185</x:f>
        <x:v>84</x:v>
      </x:c>
      <x:c r="O28" s="10" t="n">
        <x:f>'店长明细'!$E1417</x:f>
        <x:v>943</x:v>
      </x:c>
      <x:c r="P28" s="10" t="n">
        <x:f>'店长明细'!$D1417</x:f>
        <x:v>629</x:v>
      </x:c>
      <x:c r="Q28" s="10" t="n">
        <x:f>'店长明细'!$E1649</x:f>
        <x:v>25</x:v>
      </x:c>
      <x:c r="R28" s="10" t="n">
        <x:f>'店长明细'!$D1649</x:f>
        <x:v>18</x:v>
      </x:c>
      <x:c r="S28" s="10" t="n">
        <x:f>'店长明细'!$E1881</x:f>
        <x:v>83</x:v>
      </x:c>
      <x:c r="T28" s="10" t="n">
        <x:f>'店长明细'!$D1881</x:f>
        <x:v>54</x:v>
      </x:c>
      <x:c r="U28" s="10" t="n">
        <x:f>'店长明细'!$E2113</x:f>
        <x:v>500</x:v>
      </x:c>
      <x:c r="V28" s="10" t="n">
        <x:f>'店长明细'!$D2113</x:f>
        <x:v>199</x:v>
      </x:c>
      <x:c r="W28" s="11" t="n">
        <x:f>'店长明细'!$F25</x:f>
        <x:v>1375.26</x:v>
      </x:c>
      <x:c r="X28" s="11" t="n">
        <x:f>'店长明细'!$F257</x:f>
        <x:v>17582.52</x:v>
      </x:c>
      <x:c r="Y28" s="11" t="n">
        <x:f>'店长明细'!$F489</x:f>
        <x:v>14648.54</x:v>
      </x:c>
      <x:c r="Z28" s="11" t="n">
        <x:f>'店长明细'!$F721</x:f>
        <x:v>5243.26</x:v>
      </x:c>
      <x:c r="AA28" s="11" t="n">
        <x:f>'店长明细'!$F953</x:f>
        <x:v>24.56</x:v>
      </x:c>
      <x:c r="AB28" s="11" t="n">
        <x:f>'店长明细'!$F1185</x:f>
        <x:v>1353.5</x:v>
      </x:c>
      <x:c r="AC28" s="11" t="n">
        <x:f>'店长明细'!$F1417</x:f>
        <x:v>9353.22</x:v>
      </x:c>
      <x:c r="AD28" s="11" t="n">
        <x:f>'店长明细'!$F1649</x:f>
        <x:v>1563.59</x:v>
      </x:c>
      <x:c r="AE28" s="11" t="n">
        <x:f>'店长明细'!$F1881</x:f>
        <x:v>5266.94</x:v>
      </x:c>
      <x:c r="AF28" s="11" t="n">
        <x:f>'店长明细'!$F2113</x:f>
        <x:v>4188.12</x:v>
      </x:c>
    </x:row>
    <x:row r="29">
      <x:c r="A29" t="str">
        <x:f>TEXT($B29,"mm-dd")</x:f>
        <x:v>01-25</x:v>
      </x:c>
      <x:c r="B29" s="9" t="n">
        <x:f>'店长明细'!$C26</x:f>
        <x:v>46047</x:v>
      </x:c>
      <x:c r="C29" s="10" t="n">
        <x:f>'店长明细'!$E26</x:f>
        <x:v>127</x:v>
      </x:c>
      <x:c r="D29" s="10" t="n">
        <x:f>'店长明细'!$D26</x:f>
        <x:v>91</x:v>
      </x:c>
      <x:c r="E29" s="10" t="n">
        <x:f>'店长明细'!$E258</x:f>
        <x:v>1841</x:v>
      </x:c>
      <x:c r="F29" s="10" t="n">
        <x:f>'店长明细'!$D258</x:f>
        <x:v>1187</x:v>
      </x:c>
      <x:c r="G29" s="10" t="n">
        <x:f>'店长明细'!$E490</x:f>
        <x:v>2471</x:v>
      </x:c>
      <x:c r="H29" s="10" t="n">
        <x:f>'店长明细'!$D490</x:f>
        <x:v>1011</x:v>
      </x:c>
      <x:c r="I29" s="10" t="n">
        <x:f>'店长明细'!$E722</x:f>
        <x:v>485</x:v>
      </x:c>
      <x:c r="J29" s="10" t="n">
        <x:f>'店长明细'!$D722</x:f>
        <x:v>308</x:v>
      </x:c>
      <x:c r="K29" s="10" t="n">
        <x:f>'店长明细'!$E954</x:f>
        <x:v>0</x:v>
      </x:c>
      <x:c r="L29" s="10" t="n">
        <x:f>'店长明细'!$D954</x:f>
        <x:v>0</x:v>
      </x:c>
      <x:c r="M29" s="10" t="n">
        <x:f>'店长明细'!$E1186</x:f>
        <x:v>105</x:v>
      </x:c>
      <x:c r="N29" s="10" t="n">
        <x:f>'店长明细'!$D1186</x:f>
        <x:v>84</x:v>
      </x:c>
      <x:c r="O29" s="10" t="n">
        <x:f>'店长明细'!$E1418</x:f>
        <x:v>857</x:v>
      </x:c>
      <x:c r="P29" s="10" t="n">
        <x:f>'店长明细'!$D1418</x:f>
        <x:v>594</x:v>
      </x:c>
      <x:c r="Q29" s="10" t="n">
        <x:f>'店长明细'!$E1650</x:f>
        <x:v>27</x:v>
      </x:c>
      <x:c r="R29" s="10" t="n">
        <x:f>'店长明细'!$D1650</x:f>
        <x:v>19</x:v>
      </x:c>
      <x:c r="S29" s="10" t="n">
        <x:f>'店长明细'!$E1882</x:f>
        <x:v>24</x:v>
      </x:c>
      <x:c r="T29" s="10" t="n">
        <x:f>'店长明细'!$D1882</x:f>
        <x:v>22</x:v>
      </x:c>
      <x:c r="U29" s="10" t="n">
        <x:f>'店长明细'!$E2114</x:f>
        <x:v>467</x:v>
      </x:c>
      <x:c r="V29" s="10" t="n">
        <x:f>'店长明细'!$D2114</x:f>
        <x:v>171</x:v>
      </x:c>
      <x:c r="W29" s="11" t="n">
        <x:f>'店长明细'!$F26</x:f>
        <x:v>1270.49</x:v>
      </x:c>
      <x:c r="X29" s="11" t="n">
        <x:f>'店长明细'!$F258</x:f>
        <x:v>17197.25</x:v>
      </x:c>
      <x:c r="Y29" s="11" t="n">
        <x:f>'店长明细'!$F490</x:f>
        <x:v>14953.14</x:v>
      </x:c>
      <x:c r="Z29" s="11" t="n">
        <x:f>'店长明细'!$F722</x:f>
        <x:v>4699.78</x:v>
      </x:c>
      <x:c r="AA29" s="11" t="n">
        <x:f>'店长明细'!$F954</x:f>
        <x:v>0</x:v>
      </x:c>
      <x:c r="AB29" s="11" t="n">
        <x:f>'店长明细'!$F1186</x:f>
        <x:v>1309.26</x:v>
      </x:c>
      <x:c r="AC29" s="11" t="n">
        <x:f>'店长明细'!$F1418</x:f>
        <x:v>8383.73</x:v>
      </x:c>
      <x:c r="AD29" s="11" t="n">
        <x:f>'店长明细'!$F1650</x:f>
        <x:v>1490.41</x:v>
      </x:c>
      <x:c r="AE29" s="11" t="n">
        <x:f>'店长明细'!$F1882</x:f>
        <x:v>1950.18</x:v>
      </x:c>
      <x:c r="AF29" s="11" t="n">
        <x:f>'店长明细'!$F2114</x:f>
        <x:v>3991.38</x:v>
      </x:c>
    </x:row>
    <x:row r="30">
      <x:c r="A30" t="str">
        <x:f>TEXT($B30,"mm-dd")</x:f>
        <x:v>01-26</x:v>
      </x:c>
      <x:c r="B30" s="9" t="n">
        <x:f>'店长明细'!$C27</x:f>
        <x:v>46048</x:v>
      </x:c>
      <x:c r="C30" s="10" t="n">
        <x:f>'店长明细'!$E27</x:f>
        <x:v>145</x:v>
      </x:c>
      <x:c r="D30" s="10" t="n">
        <x:f>'店长明细'!$D27</x:f>
        <x:v>102</x:v>
      </x:c>
      <x:c r="E30" s="10" t="n">
        <x:f>'店长明细'!$E259</x:f>
        <x:v>2091</x:v>
      </x:c>
      <x:c r="F30" s="10" t="n">
        <x:f>'店长明细'!$D259</x:f>
        <x:v>1305</x:v>
      </x:c>
      <x:c r="G30" s="10" t="n">
        <x:f>'店长明细'!$E491</x:f>
        <x:v>2582</x:v>
      </x:c>
      <x:c r="H30" s="10" t="n">
        <x:f>'店长明细'!$D491</x:f>
        <x:v>1097</x:v>
      </x:c>
      <x:c r="I30" s="10" t="n">
        <x:f>'店长明细'!$E723</x:f>
        <x:v>366</x:v>
      </x:c>
      <x:c r="J30" s="10" t="n">
        <x:f>'店长明细'!$D723</x:f>
        <x:v>266</x:v>
      </x:c>
      <x:c r="K30" s="10" t="n">
        <x:f>'店长明细'!$E955</x:f>
        <x:v>2</x:v>
      </x:c>
      <x:c r="L30" s="10" t="n">
        <x:f>'店长明细'!$D955</x:f>
        <x:v>1</x:v>
      </x:c>
      <x:c r="M30" s="10" t="n">
        <x:f>'店长明细'!$E1187</x:f>
        <x:v>151</x:v>
      </x:c>
      <x:c r="N30" s="10" t="n">
        <x:f>'店长明细'!$D1187</x:f>
        <x:v>123</x:v>
      </x:c>
      <x:c r="O30" s="10" t="n">
        <x:f>'店长明细'!$E1419</x:f>
        <x:v>1170</x:v>
      </x:c>
      <x:c r="P30" s="10" t="n">
        <x:f>'店长明细'!$D1419</x:f>
        <x:v>756</x:v>
      </x:c>
      <x:c r="Q30" s="10" t="n">
        <x:f>'店长明细'!$E1651</x:f>
        <x:v>24</x:v>
      </x:c>
      <x:c r="R30" s="10" t="n">
        <x:f>'店长明细'!$D1651</x:f>
        <x:v>19</x:v>
      </x:c>
      <x:c r="S30" s="10" t="n">
        <x:f>'店长明细'!$E1883</x:f>
        <x:v>37</x:v>
      </x:c>
      <x:c r="T30" s="10" t="n">
        <x:f>'店长明细'!$D1883</x:f>
        <x:v>30</x:v>
      </x:c>
      <x:c r="U30" s="10" t="n">
        <x:f>'店长明细'!$E2115</x:f>
        <x:v>488</x:v>
      </x:c>
      <x:c r="V30" s="10" t="n">
        <x:f>'店长明细'!$D2115</x:f>
        <x:v>169</x:v>
      </x:c>
      <x:c r="W30" s="11" t="n">
        <x:f>'店长明细'!$F27</x:f>
        <x:v>1328.68</x:v>
      </x:c>
      <x:c r="X30" s="11" t="n">
        <x:f>'店长明细'!$F259</x:f>
        <x:v>20187.41</x:v>
      </x:c>
      <x:c r="Y30" s="11" t="n">
        <x:f>'店长明细'!$F491</x:f>
        <x:v>16399.89</x:v>
      </x:c>
      <x:c r="Z30" s="11" t="n">
        <x:f>'店长明细'!$F723</x:f>
        <x:v>4194.6</x:v>
      </x:c>
      <x:c r="AA30" s="11" t="n">
        <x:f>'店长明细'!$F955</x:f>
        <x:v>7.62</x:v>
      </x:c>
      <x:c r="AB30" s="11" t="n">
        <x:f>'店长明细'!$F1187</x:f>
        <x:v>1720.86</x:v>
      </x:c>
      <x:c r="AC30" s="11" t="n">
        <x:f>'店长明细'!$F1419</x:f>
        <x:v>11310.21</x:v>
      </x:c>
      <x:c r="AD30" s="11" t="n">
        <x:f>'店长明细'!$F1651</x:f>
        <x:v>734.64</x:v>
      </x:c>
      <x:c r="AE30" s="11" t="n">
        <x:f>'店长明细'!$F1883</x:f>
        <x:v>2202.84</x:v>
      </x:c>
      <x:c r="AF30" s="11" t="n">
        <x:f>'店长明细'!$F2115</x:f>
        <x:v>4283.87</x:v>
      </x:c>
    </x:row>
    <x:row r="31">
      <x:c r="A31" t="str">
        <x:f>TEXT($B31,"mm-dd")</x:f>
        <x:v>01-27</x:v>
      </x:c>
      <x:c r="B31" s="9" t="n">
        <x:f>'店长明细'!$C28</x:f>
        <x:v>46049</x:v>
      </x:c>
      <x:c r="C31" s="10" t="n">
        <x:f>'店长明细'!$E28</x:f>
        <x:v>165</x:v>
      </x:c>
      <x:c r="D31" s="10" t="n">
        <x:f>'店长明细'!$D28</x:f>
        <x:v>121</x:v>
      </x:c>
      <x:c r="E31" s="10" t="n">
        <x:f>'店长明细'!$E260</x:f>
        <x:v>2141</x:v>
      </x:c>
      <x:c r="F31" s="10" t="n">
        <x:f>'店长明细'!$D260</x:f>
        <x:v>1389</x:v>
      </x:c>
      <x:c r="G31" s="10" t="n">
        <x:f>'店长明细'!$E492</x:f>
        <x:v>2721</x:v>
      </x:c>
      <x:c r="H31" s="10" t="n">
        <x:f>'店长明细'!$D492</x:f>
        <x:v>1155</x:v>
      </x:c>
      <x:c r="I31" s="10" t="n">
        <x:f>'店长明细'!$E724</x:f>
        <x:v>377</x:v>
      </x:c>
      <x:c r="J31" s="10" t="n">
        <x:f>'店长明细'!$D724</x:f>
        <x:v>278</x:v>
      </x:c>
      <x:c r="K31" s="10" t="n">
        <x:f>'店长明细'!$E956</x:f>
        <x:v>0</x:v>
      </x:c>
      <x:c r="L31" s="10" t="n">
        <x:f>'店长明细'!$D956</x:f>
        <x:v>0</x:v>
      </x:c>
      <x:c r="M31" s="10" t="n">
        <x:f>'店长明细'!$E1188</x:f>
        <x:v>145</x:v>
      </x:c>
      <x:c r="N31" s="10" t="n">
        <x:f>'店长明细'!$D1188</x:f>
        <x:v>112</x:v>
      </x:c>
      <x:c r="O31" s="10" t="n">
        <x:f>'店长明细'!$E1420</x:f>
        <x:v>841</x:v>
      </x:c>
      <x:c r="P31" s="10" t="n">
        <x:f>'店长明细'!$D1420</x:f>
        <x:v>587</x:v>
      </x:c>
      <x:c r="Q31" s="10" t="n">
        <x:f>'店长明细'!$E1652</x:f>
        <x:v>41</x:v>
      </x:c>
      <x:c r="R31" s="10" t="n">
        <x:f>'店长明细'!$D1652</x:f>
        <x:v>29</x:v>
      </x:c>
      <x:c r="S31" s="10" t="n">
        <x:f>'店长明细'!$E1884</x:f>
        <x:v>38</x:v>
      </x:c>
      <x:c r="T31" s="10" t="n">
        <x:f>'店长明细'!$D1884</x:f>
        <x:v>25</x:v>
      </x:c>
      <x:c r="U31" s="10" t="n">
        <x:f>'店长明细'!$E2116</x:f>
        <x:v>401</x:v>
      </x:c>
      <x:c r="V31" s="10" t="n">
        <x:f>'店长明细'!$D2116</x:f>
        <x:v>139</x:v>
      </x:c>
      <x:c r="W31" s="11" t="n">
        <x:f>'店长明细'!$F28</x:f>
        <x:v>1779.86</x:v>
      </x:c>
      <x:c r="X31" s="11" t="n">
        <x:f>'店长明细'!$F260</x:f>
        <x:v>20498.85</x:v>
      </x:c>
      <x:c r="Y31" s="11" t="n">
        <x:f>'店长明细'!$F492</x:f>
        <x:v>17880.78</x:v>
      </x:c>
      <x:c r="Z31" s="11" t="n">
        <x:f>'店长明细'!$F724</x:f>
        <x:v>4474.07</x:v>
      </x:c>
      <x:c r="AA31" s="11" t="n">
        <x:f>'店长明细'!$F956</x:f>
        <x:v>0</x:v>
      </x:c>
      <x:c r="AB31" s="11" t="n">
        <x:f>'店长明细'!$F1188</x:f>
        <x:v>1909.87</x:v>
      </x:c>
      <x:c r="AC31" s="11" t="n">
        <x:f>'店长明细'!$F1420</x:f>
        <x:v>8666.83</x:v>
      </x:c>
      <x:c r="AD31" s="11" t="n">
        <x:f>'店长明细'!$F1652</x:f>
        <x:v>1267.37</x:v>
      </x:c>
      <x:c r="AE31" s="11" t="n">
        <x:f>'店长明细'!$F1884</x:f>
        <x:v>2164.02</x:v>
      </x:c>
      <x:c r="AF31" s="11" t="n">
        <x:f>'店长明细'!$F2116</x:f>
        <x:v>3300.68</x:v>
      </x:c>
    </x:row>
    <x:row r="32">
      <x:c r="A32" t="str">
        <x:f>TEXT($B32,"mm-dd")</x:f>
        <x:v>01-28</x:v>
      </x:c>
      <x:c r="B32" s="9" t="n">
        <x:f>'店长明细'!$C29</x:f>
        <x:v>46050</x:v>
      </x:c>
      <x:c r="C32" s="10" t="n">
        <x:f>'店长明细'!$E29</x:f>
        <x:v>157</x:v>
      </x:c>
      <x:c r="D32" s="10" t="n">
        <x:f>'店长明细'!$D29</x:f>
        <x:v>98</x:v>
      </x:c>
      <x:c r="E32" s="10" t="n">
        <x:f>'店长明细'!$E261</x:f>
        <x:v>1954</x:v>
      </x:c>
      <x:c r="F32" s="10" t="n">
        <x:f>'店长明细'!$D261</x:f>
        <x:v>1256</x:v>
      </x:c>
      <x:c r="G32" s="10" t="n">
        <x:f>'店长明细'!$E493</x:f>
        <x:v>2422</x:v>
      </x:c>
      <x:c r="H32" s="10" t="n">
        <x:f>'店长明细'!$D493</x:f>
        <x:v>1045</x:v>
      </x:c>
      <x:c r="I32" s="10" t="n">
        <x:f>'店长明细'!$E725</x:f>
        <x:v>412</x:v>
      </x:c>
      <x:c r="J32" s="10" t="n">
        <x:f>'店长明细'!$D725</x:f>
        <x:v>265</x:v>
      </x:c>
      <x:c r="K32" s="10" t="n">
        <x:f>'店长明细'!$E957</x:f>
        <x:v>5</x:v>
      </x:c>
      <x:c r="L32" s="10" t="n">
        <x:f>'店长明细'!$D957</x:f>
        <x:v>3</x:v>
      </x:c>
      <x:c r="M32" s="10" t="n">
        <x:f>'店长明细'!$E1189</x:f>
        <x:v>179</x:v>
      </x:c>
      <x:c r="N32" s="10" t="n">
        <x:f>'店长明细'!$D1189</x:f>
        <x:v>133</x:v>
      </x:c>
      <x:c r="O32" s="10" t="n">
        <x:f>'店长明细'!$E1421</x:f>
        <x:v>917</x:v>
      </x:c>
      <x:c r="P32" s="10" t="n">
        <x:f>'店长明细'!$D1421</x:f>
        <x:v>638</x:v>
      </x:c>
      <x:c r="Q32" s="10" t="n">
        <x:f>'店长明细'!$E1653</x:f>
        <x:v>42</x:v>
      </x:c>
      <x:c r="R32" s="10" t="n">
        <x:f>'店长明细'!$D1653</x:f>
        <x:v>27</x:v>
      </x:c>
      <x:c r="S32" s="10" t="n">
        <x:f>'店长明细'!$E1885</x:f>
        <x:v>39</x:v>
      </x:c>
      <x:c r="T32" s="10" t="n">
        <x:f>'店长明细'!$D1885</x:f>
        <x:v>32</x:v>
      </x:c>
      <x:c r="U32" s="10" t="n">
        <x:f>'店长明细'!$E2117</x:f>
        <x:v>515</x:v>
      </x:c>
      <x:c r="V32" s="10" t="n">
        <x:f>'店长明细'!$D2117</x:f>
        <x:v>175</x:v>
      </x:c>
      <x:c r="W32" s="11" t="n">
        <x:f>'店长明细'!$F29</x:f>
        <x:v>1447.94</x:v>
      </x:c>
      <x:c r="X32" s="11" t="n">
        <x:f>'店长明细'!$F261</x:f>
        <x:v>18112.7</x:v>
      </x:c>
      <x:c r="Y32" s="11" t="n">
        <x:f>'店长明细'!$F493</x:f>
        <x:v>16969.26</x:v>
      </x:c>
      <x:c r="Z32" s="11" t="n">
        <x:f>'店长明细'!$F725</x:f>
        <x:v>4231.97</x:v>
      </x:c>
      <x:c r="AA32" s="11" t="n">
        <x:f>'店长明细'!$F957</x:f>
        <x:v>27.53</x:v>
      </x:c>
      <x:c r="AB32" s="11" t="n">
        <x:f>'店长明细'!$F1189</x:f>
        <x:v>2229.16</x:v>
      </x:c>
      <x:c r="AC32" s="11" t="n">
        <x:f>'店长明细'!$F1421</x:f>
        <x:v>9520.96</x:v>
      </x:c>
      <x:c r="AD32" s="11" t="n">
        <x:f>'店长明细'!$F1653</x:f>
        <x:v>827.39</x:v>
      </x:c>
      <x:c r="AE32" s="11" t="n">
        <x:f>'店长明细'!$F1885</x:f>
        <x:v>1623.83</x:v>
      </x:c>
      <x:c r="AF32" s="11" t="n">
        <x:f>'店长明细'!$F2117</x:f>
        <x:v>4221.6</x:v>
      </x:c>
    </x:row>
    <x:row r="33">
      <x:c r="A33" t="str">
        <x:f>TEXT($B33,"mm-dd")</x:f>
        <x:v>01-29</x:v>
      </x:c>
      <x:c r="B33" s="9" t="n">
        <x:f>'店长明细'!$C30</x:f>
        <x:v>46051</x:v>
      </x:c>
      <x:c r="C33" s="10" t="n">
        <x:f>'店长明细'!$E30</x:f>
        <x:v>152</x:v>
      </x:c>
      <x:c r="D33" s="10" t="n">
        <x:f>'店长明细'!$D30</x:f>
        <x:v>96</x:v>
      </x:c>
      <x:c r="E33" s="10" t="n">
        <x:f>'店长明细'!$E262</x:f>
        <x:v>2224</x:v>
      </x:c>
      <x:c r="F33" s="10" t="n">
        <x:f>'店长明细'!$D262</x:f>
        <x:v>1346</x:v>
      </x:c>
      <x:c r="G33" s="10" t="n">
        <x:f>'店长明细'!$E494</x:f>
        <x:v>2877</x:v>
      </x:c>
      <x:c r="H33" s="10" t="n">
        <x:f>'店长明细'!$D494</x:f>
        <x:v>1271</x:v>
      </x:c>
      <x:c r="I33" s="10" t="n">
        <x:f>'店长明细'!$E726</x:f>
        <x:v>369</x:v>
      </x:c>
      <x:c r="J33" s="10" t="n">
        <x:f>'店长明细'!$D726</x:f>
        <x:v>272</x:v>
      </x:c>
      <x:c r="K33" s="10" t="n">
        <x:f>'店长明细'!$E958</x:f>
        <x:v>0</x:v>
      </x:c>
      <x:c r="L33" s="10" t="n">
        <x:f>'店长明细'!$D958</x:f>
        <x:v>0</x:v>
      </x:c>
      <x:c r="M33" s="10" t="n">
        <x:f>'店长明细'!$E1190</x:f>
        <x:v>137</x:v>
      </x:c>
      <x:c r="N33" s="10" t="n">
        <x:f>'店长明细'!$D1190</x:f>
        <x:v>102</x:v>
      </x:c>
      <x:c r="O33" s="10" t="n">
        <x:f>'店长明细'!$E1422</x:f>
        <x:v>916</x:v>
      </x:c>
      <x:c r="P33" s="10" t="n">
        <x:f>'店长明细'!$D1422</x:f>
        <x:v>646</x:v>
      </x:c>
      <x:c r="Q33" s="10" t="n">
        <x:f>'店长明细'!$E1654</x:f>
        <x:v>27</x:v>
      </x:c>
      <x:c r="R33" s="10" t="n">
        <x:f>'店长明细'!$D1654</x:f>
        <x:v>20</x:v>
      </x:c>
      <x:c r="S33" s="10" t="n">
        <x:f>'店长明细'!$E1886</x:f>
        <x:v>52</x:v>
      </x:c>
      <x:c r="T33" s="10" t="n">
        <x:f>'店长明细'!$D1886</x:f>
        <x:v>31</x:v>
      </x:c>
      <x:c r="U33" s="10" t="n">
        <x:f>'店长明细'!$E2118</x:f>
        <x:v>521</x:v>
      </x:c>
      <x:c r="V33" s="10" t="n">
        <x:f>'店长明细'!$D2118</x:f>
        <x:v>191</x:v>
      </x:c>
      <x:c r="W33" s="11" t="n">
        <x:f>'店长明细'!$F30</x:f>
        <x:v>1349.15</x:v>
      </x:c>
      <x:c r="X33" s="11" t="n">
        <x:f>'店长明细'!$F262</x:f>
        <x:v>20459.08</x:v>
      </x:c>
      <x:c r="Y33" s="11" t="n">
        <x:f>'店长明细'!$F494</x:f>
        <x:v>20801.03</x:v>
      </x:c>
      <x:c r="Z33" s="11" t="n">
        <x:f>'店长明细'!$F726</x:f>
        <x:v>4371.75</x:v>
      </x:c>
      <x:c r="AA33" s="11" t="n">
        <x:f>'店长明细'!$F958</x:f>
        <x:v>0</x:v>
      </x:c>
      <x:c r="AB33" s="11" t="n">
        <x:f>'店长明细'!$F1190</x:f>
        <x:v>1589.04</x:v>
      </x:c>
      <x:c r="AC33" s="11" t="n">
        <x:f>'店长明细'!$F1422</x:f>
        <x:v>9371.17</x:v>
      </x:c>
      <x:c r="AD33" s="11" t="n">
        <x:f>'店长明细'!$F1654</x:f>
        <x:v>716.59</x:v>
      </x:c>
      <x:c r="AE33" s="11" t="n">
        <x:f>'店长明细'!$F1886</x:f>
        <x:v>1631.29</x:v>
      </x:c>
      <x:c r="AF33" s="11" t="n">
        <x:f>'店长明细'!$F2118</x:f>
        <x:v>4577.24</x:v>
      </x:c>
    </x:row>
    <x:row r="34">
      <x:c r="A34" t="str">
        <x:f>TEXT($B34,"mm-dd")</x:f>
        <x:v>01-30</x:v>
      </x:c>
      <x:c r="B34" s="9" t="n">
        <x:f>'店长明细'!$C31</x:f>
        <x:v>46052</x:v>
      </x:c>
      <x:c r="C34" s="10" t="n">
        <x:f>'店长明细'!$E31</x:f>
        <x:v>193</x:v>
      </x:c>
      <x:c r="D34" s="10" t="n">
        <x:f>'店长明细'!$D31</x:f>
        <x:v>103</x:v>
      </x:c>
      <x:c r="E34" s="10" t="n">
        <x:f>'店长明细'!$E263</x:f>
        <x:v>2186</x:v>
      </x:c>
      <x:c r="F34" s="10" t="n">
        <x:f>'店长明细'!$D263</x:f>
        <x:v>1286</x:v>
      </x:c>
      <x:c r="G34" s="10" t="n">
        <x:f>'店长明细'!$E495</x:f>
        <x:v>2801</x:v>
      </x:c>
      <x:c r="H34" s="10" t="n">
        <x:f>'店长明细'!$D495</x:f>
        <x:v>1244</x:v>
      </x:c>
      <x:c r="I34" s="10" t="n">
        <x:f>'店长明细'!$E727</x:f>
        <x:v>366</x:v>
      </x:c>
      <x:c r="J34" s="10" t="n">
        <x:f>'店长明细'!$D727</x:f>
        <x:v>272</x:v>
      </x:c>
      <x:c r="K34" s="10" t="n">
        <x:f>'店长明细'!$E959</x:f>
        <x:v>2</x:v>
      </x:c>
      <x:c r="L34" s="10" t="n">
        <x:f>'店长明细'!$D959</x:f>
        <x:v>1</x:v>
      </x:c>
      <x:c r="M34" s="10" t="n">
        <x:f>'店长明细'!$E1191</x:f>
        <x:v>145</x:v>
      </x:c>
      <x:c r="N34" s="10" t="n">
        <x:f>'店长明细'!$D1191</x:f>
        <x:v>96</x:v>
      </x:c>
      <x:c r="O34" s="10" t="n">
        <x:f>'店长明细'!$E1423</x:f>
        <x:v>1109</x:v>
      </x:c>
      <x:c r="P34" s="10" t="n">
        <x:f>'店长明细'!$D1423</x:f>
        <x:v>770</x:v>
      </x:c>
      <x:c r="Q34" s="10" t="n">
        <x:f>'店长明细'!$E1655</x:f>
        <x:v>36</x:v>
      </x:c>
      <x:c r="R34" s="10" t="n">
        <x:f>'店长明细'!$D1655</x:f>
        <x:v>26</x:v>
      </x:c>
      <x:c r="S34" s="10" t="n">
        <x:f>'店长明细'!$E1887</x:f>
        <x:v>60</x:v>
      </x:c>
      <x:c r="T34" s="10" t="n">
        <x:f>'店长明细'!$D1887</x:f>
        <x:v>49</x:v>
      </x:c>
      <x:c r="U34" s="10" t="n">
        <x:f>'店长明细'!$E2119</x:f>
        <x:v>510</x:v>
      </x:c>
      <x:c r="V34" s="10" t="n">
        <x:f>'店长明细'!$D2119</x:f>
        <x:v>197</x:v>
      </x:c>
      <x:c r="W34" s="11" t="n">
        <x:f>'店长明细'!$F31</x:f>
        <x:v>1739.17</x:v>
      </x:c>
      <x:c r="X34" s="11" t="n">
        <x:f>'店长明细'!$F263</x:f>
        <x:v>19763.44</x:v>
      </x:c>
      <x:c r="Y34" s="11" t="n">
        <x:f>'店长明细'!$F495</x:f>
        <x:v>19574.67</x:v>
      </x:c>
      <x:c r="Z34" s="11" t="n">
        <x:f>'店长明细'!$F727</x:f>
        <x:v>4391.47</x:v>
      </x:c>
      <x:c r="AA34" s="11" t="n">
        <x:f>'店长明细'!$F959</x:f>
        <x:v>7.62</x:v>
      </x:c>
      <x:c r="AB34" s="11" t="n">
        <x:f>'店长明细'!$F1191</x:f>
        <x:v>1742.21</x:v>
      </x:c>
      <x:c r="AC34" s="11" t="n">
        <x:f>'店长明细'!$F1423</x:f>
        <x:v>11273.47</x:v>
      </x:c>
      <x:c r="AD34" s="11" t="n">
        <x:f>'店长明细'!$F1655</x:f>
        <x:v>1076.96</x:v>
      </x:c>
      <x:c r="AE34" s="11" t="n">
        <x:f>'店长明细'!$F1887</x:f>
        <x:v>2049.7</x:v>
      </x:c>
      <x:c r="AF34" s="11" t="n">
        <x:f>'店长明细'!$F2119</x:f>
        <x:v>4359.15</x:v>
      </x:c>
    </x:row>
    <x:row r="35">
      <x:c r="A35" t="str">
        <x:f>TEXT($B35,"mm-dd")</x:f>
        <x:v>01-31</x:v>
      </x:c>
      <x:c r="B35" s="9" t="n">
        <x:f>'店长明细'!$C32</x:f>
        <x:v>46053</x:v>
      </x:c>
      <x:c r="C35" s="10" t="n">
        <x:f>'店长明细'!$E32</x:f>
        <x:v>145</x:v>
      </x:c>
      <x:c r="D35" s="10" t="n">
        <x:f>'店长明细'!$D32</x:f>
        <x:v>104</x:v>
      </x:c>
      <x:c r="E35" s="10" t="n">
        <x:f>'店长明细'!$E264</x:f>
        <x:v>2489</x:v>
      </x:c>
      <x:c r="F35" s="10" t="n">
        <x:f>'店长明细'!$D264</x:f>
        <x:v>1515</x:v>
      </x:c>
      <x:c r="G35" s="10" t="n">
        <x:f>'店长明细'!$E496</x:f>
        <x:v>2693</x:v>
      </x:c>
      <x:c r="H35" s="10" t="n">
        <x:f>'店长明细'!$D496</x:f>
        <x:v>1220</x:v>
      </x:c>
      <x:c r="I35" s="10" t="n">
        <x:f>'店长明细'!$E728</x:f>
        <x:v>584</x:v>
      </x:c>
      <x:c r="J35" s="10" t="n">
        <x:f>'店长明细'!$D728</x:f>
        <x:v>335</x:v>
      </x:c>
      <x:c r="K35" s="10" t="n">
        <x:f>'店长明细'!$E960</x:f>
        <x:v>0</x:v>
      </x:c>
      <x:c r="L35" s="10" t="n">
        <x:f>'店长明细'!$D960</x:f>
        <x:v>0</x:v>
      </x:c>
      <x:c r="M35" s="10" t="n">
        <x:f>'店长明细'!$E1192</x:f>
        <x:v>111</x:v>
      </x:c>
      <x:c r="N35" s="10" t="n">
        <x:f>'店长明细'!$D1192</x:f>
        <x:v>81</x:v>
      </x:c>
      <x:c r="O35" s="10" t="n">
        <x:f>'店长明细'!$E1424</x:f>
        <x:v>1147</x:v>
      </x:c>
      <x:c r="P35" s="10" t="n">
        <x:f>'店长明细'!$D1424</x:f>
        <x:v>812</x:v>
      </x:c>
      <x:c r="Q35" s="10" t="n">
        <x:f>'店长明细'!$E1656</x:f>
        <x:v>33</x:v>
      </x:c>
      <x:c r="R35" s="10" t="n">
        <x:f>'店长明细'!$D1656</x:f>
        <x:v>23</x:v>
      </x:c>
      <x:c r="S35" s="10" t="n">
        <x:f>'店长明细'!$E1888</x:f>
        <x:v>47</x:v>
      </x:c>
      <x:c r="T35" s="10" t="n">
        <x:f>'店长明细'!$D1888</x:f>
        <x:v>33</x:v>
      </x:c>
      <x:c r="U35" s="10" t="n">
        <x:f>'店长明细'!$E2120</x:f>
        <x:v>520</x:v>
      </x:c>
      <x:c r="V35" s="10" t="n">
        <x:f>'店长明细'!$D2120</x:f>
        <x:v>200</x:v>
      </x:c>
      <x:c r="W35" s="11" t="n">
        <x:f>'店长明细'!$F32</x:f>
        <x:v>1542.47</x:v>
      </x:c>
      <x:c r="X35" s="11" t="n">
        <x:f>'店长明细'!$F264</x:f>
        <x:v>23285.26</x:v>
      </x:c>
      <x:c r="Y35" s="11" t="n">
        <x:f>'店长明细'!$F496</x:f>
        <x:v>13751.6</x:v>
      </x:c>
      <x:c r="Z35" s="11" t="n">
        <x:f>'店长明细'!$F728</x:f>
        <x:v>5290.03</x:v>
      </x:c>
      <x:c r="AA35" s="11" t="n">
        <x:f>'店长明细'!$F960</x:f>
        <x:v>-10.07</x:v>
      </x:c>
      <x:c r="AB35" s="11" t="n">
        <x:f>'店长明细'!$F1192</x:f>
        <x:v>1903.74</x:v>
      </x:c>
      <x:c r="AC35" s="11" t="n">
        <x:f>'店长明细'!$F1424</x:f>
        <x:v>11861.86</x:v>
      </x:c>
      <x:c r="AD35" s="11" t="n">
        <x:f>'店长明细'!$F1656</x:f>
        <x:v>11485.16</x:v>
      </x:c>
      <x:c r="AE35" s="11" t="n">
        <x:f>'店长明细'!$F1888</x:f>
        <x:v>2398.51</x:v>
      </x:c>
      <x:c r="AF35" s="11" t="n">
        <x:f>'店长明细'!$F2120</x:f>
        <x:v>4930.86</x:v>
      </x:c>
    </x:row>
    <x:row r="36">
      <x:c r="A36" t="str">
        <x:f>TEXT($B36,"mm-dd")</x:f>
        <x:v>02-01</x:v>
      </x:c>
      <x:c r="B36" s="9" t="n">
        <x:f>'店长明细'!$C33</x:f>
        <x:v>46054</x:v>
      </x:c>
      <x:c r="C36" s="10" t="n">
        <x:f>'店长明细'!$E33</x:f>
        <x:v>164</x:v>
      </x:c>
      <x:c r="D36" s="10" t="n">
        <x:f>'店长明细'!$D33</x:f>
        <x:v>105</x:v>
      </x:c>
      <x:c r="E36" s="10" t="n">
        <x:f>'店长明细'!$E265</x:f>
        <x:v>2583</x:v>
      </x:c>
      <x:c r="F36" s="10" t="n">
        <x:f>'店长明细'!$D265</x:f>
        <x:v>1476</x:v>
      </x:c>
      <x:c r="G36" s="10" t="n">
        <x:f>'店长明细'!$E497</x:f>
        <x:v>2514</x:v>
      </x:c>
      <x:c r="H36" s="10" t="n">
        <x:f>'店长明细'!$D497</x:f>
        <x:v>1137</x:v>
      </x:c>
      <x:c r="I36" s="10" t="n">
        <x:f>'店长明细'!$E729</x:f>
        <x:v>704</x:v>
      </x:c>
      <x:c r="J36" s="10" t="n">
        <x:f>'店长明细'!$D729</x:f>
        <x:v>375</x:v>
      </x:c>
      <x:c r="K36" s="10" t="n">
        <x:f>'店长明细'!$E961</x:f>
        <x:v>0</x:v>
      </x:c>
      <x:c r="L36" s="10" t="n">
        <x:f>'店长明细'!$D961</x:f>
        <x:v>0</x:v>
      </x:c>
      <x:c r="M36" s="10" t="n">
        <x:f>'店长明细'!$E1193</x:f>
        <x:v>122</x:v>
      </x:c>
      <x:c r="N36" s="10" t="n">
        <x:f>'店长明细'!$D1193</x:f>
        <x:v>98</x:v>
      </x:c>
      <x:c r="O36" s="10" t="n">
        <x:f>'店长明细'!$E1425</x:f>
        <x:v>922</x:v>
      </x:c>
      <x:c r="P36" s="10" t="n">
        <x:f>'店长明细'!$D1425</x:f>
        <x:v>645</x:v>
      </x:c>
      <x:c r="Q36" s="10" t="n">
        <x:f>'店长明细'!$E1657</x:f>
        <x:v>26</x:v>
      </x:c>
      <x:c r="R36" s="10" t="n">
        <x:f>'店长明细'!$D1657</x:f>
        <x:v>14</x:v>
      </x:c>
      <x:c r="S36" s="10" t="n">
        <x:f>'店长明细'!$E1889</x:f>
        <x:v>20</x:v>
      </x:c>
      <x:c r="T36" s="10" t="n">
        <x:f>'店长明细'!$D1889</x:f>
        <x:v>13</x:v>
      </x:c>
      <x:c r="U36" s="10" t="n">
        <x:f>'店长明细'!$E2121</x:f>
        <x:v>434</x:v>
      </x:c>
      <x:c r="V36" s="10" t="n">
        <x:f>'店长明细'!$D2121</x:f>
        <x:v>196</x:v>
      </x:c>
      <x:c r="W36" s="11" t="n">
        <x:f>'店长明细'!$F33</x:f>
        <x:v>1728.84</x:v>
      </x:c>
      <x:c r="X36" s="11" t="n">
        <x:f>'店长明细'!$F265</x:f>
        <x:v>22125.51</x:v>
      </x:c>
      <x:c r="Y36" s="11" t="n">
        <x:f>'店长明细'!$F497</x:f>
        <x:v>17302.08</x:v>
      </x:c>
      <x:c r="Z36" s="11" t="n">
        <x:f>'店长明细'!$F729</x:f>
        <x:v>5637.33</x:v>
      </x:c>
      <x:c r="AA36" s="11" t="n">
        <x:f>'店长明细'!$F961</x:f>
        <x:v>0</x:v>
      </x:c>
      <x:c r="AB36" s="11" t="n">
        <x:f>'店长明细'!$F1193</x:f>
        <x:v>1689.64</x:v>
      </x:c>
      <x:c r="AC36" s="11" t="n">
        <x:f>'店长明细'!$F1425</x:f>
        <x:v>8869.59</x:v>
      </x:c>
      <x:c r="AD36" s="11" t="n">
        <x:f>'店长明细'!$F1657</x:f>
        <x:v>545.75</x:v>
      </x:c>
      <x:c r="AE36" s="11" t="n">
        <x:f>'店长明细'!$F1889</x:f>
        <x:v>481.41</x:v>
      </x:c>
      <x:c r="AF36" s="11" t="n">
        <x:f>'店长明细'!$F2121</x:f>
        <x:v>4480.15</x:v>
      </x:c>
    </x:row>
    <x:row r="37">
      <x:c r="A37" t="str">
        <x:f>TEXT($B37,"mm-dd")</x:f>
        <x:v>02-02</x:v>
      </x:c>
      <x:c r="B37" s="9" t="n">
        <x:f>'店长明细'!$C34</x:f>
        <x:v>46055</x:v>
      </x:c>
      <x:c r="C37" s="10" t="n">
        <x:f>'店长明细'!$E34</x:f>
        <x:v>160</x:v>
      </x:c>
      <x:c r="D37" s="10" t="n">
        <x:f>'店长明细'!$D34</x:f>
        <x:v>108</x:v>
      </x:c>
      <x:c r="E37" s="10" t="n">
        <x:f>'店长明细'!$E266</x:f>
        <x:v>2698</x:v>
      </x:c>
      <x:c r="F37" s="10" t="n">
        <x:f>'店长明细'!$D266</x:f>
        <x:v>1498</x:v>
      </x:c>
      <x:c r="G37" s="10" t="n">
        <x:f>'店长明细'!$E498</x:f>
        <x:v>2875</x:v>
      </x:c>
      <x:c r="H37" s="10" t="n">
        <x:f>'店长明细'!$D498</x:f>
        <x:v>1299</x:v>
      </x:c>
      <x:c r="I37" s="10" t="n">
        <x:f>'店长明细'!$E730</x:f>
        <x:v>771</x:v>
      </x:c>
      <x:c r="J37" s="10" t="n">
        <x:f>'店长明细'!$D730</x:f>
        <x:v>434</x:v>
      </x:c>
      <x:c r="K37" s="10" t="n">
        <x:f>'店长明细'!$E962</x:f>
        <x:v>4</x:v>
      </x:c>
      <x:c r="L37" s="10" t="n">
        <x:f>'店长明细'!$D962</x:f>
        <x:v>2</x:v>
      </x:c>
      <x:c r="M37" s="10" t="n">
        <x:f>'店长明细'!$E1194</x:f>
        <x:v>176</x:v>
      </x:c>
      <x:c r="N37" s="10" t="n">
        <x:f>'店长明细'!$D1194</x:f>
        <x:v>141</x:v>
      </x:c>
      <x:c r="O37" s="10" t="n">
        <x:f>'店长明细'!$E1426</x:f>
        <x:v>1114</x:v>
      </x:c>
      <x:c r="P37" s="10" t="n">
        <x:f>'店长明细'!$D1426</x:f>
        <x:v>771</x:v>
      </x:c>
      <x:c r="Q37" s="10" t="n">
        <x:f>'店长明细'!$E1658</x:f>
        <x:v>34</x:v>
      </x:c>
      <x:c r="R37" s="10" t="n">
        <x:f>'店长明细'!$D1658</x:f>
        <x:v>19</x:v>
      </x:c>
      <x:c r="S37" s="10" t="n">
        <x:f>'店长明细'!$E1890</x:f>
        <x:v>36</x:v>
      </x:c>
      <x:c r="T37" s="10" t="n">
        <x:f>'店长明细'!$D1890</x:f>
        <x:v>33</x:v>
      </x:c>
      <x:c r="U37" s="10" t="n">
        <x:f>'店长明细'!$E2122</x:f>
        <x:v>445</x:v>
      </x:c>
      <x:c r="V37" s="10" t="n">
        <x:f>'店长明细'!$D2122</x:f>
        <x:v>207</x:v>
      </x:c>
      <x:c r="W37" s="11" t="n">
        <x:f>'店长明细'!$F34</x:f>
        <x:v>1686.5</x:v>
      </x:c>
      <x:c r="X37" s="11" t="n">
        <x:f>'店长明细'!$F266</x:f>
        <x:v>23138.61</x:v>
      </x:c>
      <x:c r="Y37" s="11" t="n">
        <x:f>'店长明细'!$F498</x:f>
        <x:v>20456.84</x:v>
      </x:c>
      <x:c r="Z37" s="11" t="n">
        <x:f>'店长明细'!$F730</x:f>
        <x:v>6812.85</x:v>
      </x:c>
      <x:c r="AA37" s="11" t="n">
        <x:f>'店长明细'!$F962</x:f>
        <x:v>22.56</x:v>
      </x:c>
      <x:c r="AB37" s="11" t="n">
        <x:f>'店长明细'!$F1194</x:f>
        <x:v>2352.46</x:v>
      </x:c>
      <x:c r="AC37" s="11" t="n">
        <x:f>'店长明细'!$F1426</x:f>
        <x:v>10975.76</x:v>
      </x:c>
      <x:c r="AD37" s="11" t="n">
        <x:f>'店长明细'!$F1658</x:f>
        <x:v>358.11</x:v>
      </x:c>
      <x:c r="AE37" s="11" t="n">
        <x:f>'店长明细'!$F1890</x:f>
        <x:v>1474.35</x:v>
      </x:c>
      <x:c r="AF37" s="11" t="n">
        <x:f>'店长明细'!$F2122</x:f>
        <x:v>5001.31</x:v>
      </x:c>
    </x:row>
    <x:row r="38">
      <x:c r="A38" t="str">
        <x:f>TEXT($B38,"mm-dd")</x:f>
        <x:v>02-03</x:v>
      </x:c>
      <x:c r="B38" s="9" t="n">
        <x:f>'店长明细'!$C35</x:f>
        <x:v>46056</x:v>
      </x:c>
      <x:c r="C38" s="10" t="n">
        <x:f>'店长明细'!$E35</x:f>
        <x:v>207</x:v>
      </x:c>
      <x:c r="D38" s="10" t="n">
        <x:f>'店长明细'!$D35</x:f>
        <x:v>109</x:v>
      </x:c>
      <x:c r="E38" s="10" t="n">
        <x:f>'店长明细'!$E267</x:f>
        <x:v>3047</x:v>
      </x:c>
      <x:c r="F38" s="10" t="n">
        <x:f>'店长明细'!$D267</x:f>
        <x:v>1885</x:v>
      </x:c>
      <x:c r="G38" s="10" t="n">
        <x:f>'店长明细'!$E499</x:f>
        <x:v>2440</x:v>
      </x:c>
      <x:c r="H38" s="10" t="n">
        <x:f>'店长明细'!$D499</x:f>
        <x:v>1020</x:v>
      </x:c>
      <x:c r="I38" s="10" t="n">
        <x:f>'店长明细'!$E731</x:f>
        <x:v>875</x:v>
      </x:c>
      <x:c r="J38" s="10" t="n">
        <x:f>'店长明细'!$D731</x:f>
        <x:v>435</x:v>
      </x:c>
      <x:c r="K38" s="10" t="n">
        <x:f>'店长明细'!$E963</x:f>
        <x:v>1</x:v>
      </x:c>
      <x:c r="L38" s="10" t="n">
        <x:f>'店长明细'!$D963</x:f>
        <x:v>1</x:v>
      </x:c>
      <x:c r="M38" s="10" t="n">
        <x:f>'店长明细'!$E1195</x:f>
        <x:v>157</x:v>
      </x:c>
      <x:c r="N38" s="10" t="n">
        <x:f>'店长明细'!$D1195</x:f>
        <x:v>110</x:v>
      </x:c>
      <x:c r="O38" s="10" t="n">
        <x:f>'店长明细'!$E1427</x:f>
        <x:v>1296</x:v>
      </x:c>
      <x:c r="P38" s="10" t="n">
        <x:f>'店长明细'!$D1427</x:f>
        <x:v>857</x:v>
      </x:c>
      <x:c r="Q38" s="10" t="n">
        <x:f>'店长明细'!$E1659</x:f>
        <x:v>15</x:v>
      </x:c>
      <x:c r="R38" s="10" t="n">
        <x:f>'店长明细'!$D1659</x:f>
        <x:v>9</x:v>
      </x:c>
      <x:c r="S38" s="10" t="n">
        <x:f>'店长明细'!$E1891</x:f>
        <x:v>13</x:v>
      </x:c>
      <x:c r="T38" s="10" t="n">
        <x:f>'店长明细'!$D1891</x:f>
        <x:v>11</x:v>
      </x:c>
      <x:c r="U38" s="10" t="n">
        <x:f>'店长明细'!$E2123</x:f>
        <x:v>419</x:v>
      </x:c>
      <x:c r="V38" s="10" t="n">
        <x:f>'店长明细'!$D2123</x:f>
        <x:v>200</x:v>
      </x:c>
      <x:c r="W38" s="11" t="n">
        <x:f>'店长明细'!$F35</x:f>
        <x:v>1955.88</x:v>
      </x:c>
      <x:c r="X38" s="11" t="n">
        <x:f>'店长明细'!$F267</x:f>
        <x:v>28544.86</x:v>
      </x:c>
      <x:c r="Y38" s="11" t="n">
        <x:f>'店长明细'!$F499</x:f>
        <x:v>16661.46</x:v>
      </x:c>
      <x:c r="Z38" s="11" t="n">
        <x:f>'店长明细'!$F731</x:f>
        <x:v>6600.99</x:v>
      </x:c>
      <x:c r="AA38" s="11" t="n">
        <x:f>'店长明细'!$F963</x:f>
        <x:v>16.92</x:v>
      </x:c>
      <x:c r="AB38" s="11" t="n">
        <x:f>'店长明细'!$F1195</x:f>
        <x:v>1943.52</x:v>
      </x:c>
      <x:c r="AC38" s="11" t="n">
        <x:f>'店长明细'!$F1427</x:f>
        <x:v>12562.68</x:v>
      </x:c>
      <x:c r="AD38" s="11" t="n">
        <x:f>'店长明细'!$F1659</x:f>
        <x:v>263</x:v>
      </x:c>
      <x:c r="AE38" s="11" t="n">
        <x:f>'店长明细'!$F1891</x:f>
        <x:v>590.21</x:v>
      </x:c>
      <x:c r="AF38" s="11" t="n">
        <x:f>'店长明细'!$F2123</x:f>
        <x:v>4496.55</x:v>
      </x:c>
    </x:row>
    <x:row r="39">
      <x:c r="A39" t="str">
        <x:f>TEXT($B39,"mm-dd")</x:f>
        <x:v>02-04</x:v>
      </x:c>
      <x:c r="B39" s="9" t="n">
        <x:f>'店长明细'!$C36</x:f>
        <x:v>46057</x:v>
      </x:c>
      <x:c r="C39" s="10" t="n">
        <x:f>'店长明细'!$E36</x:f>
        <x:v>206</x:v>
      </x:c>
      <x:c r="D39" s="10" t="n">
        <x:f>'店长明细'!$D36</x:f>
        <x:v>117</x:v>
      </x:c>
      <x:c r="E39" s="10" t="n">
        <x:f>'店长明细'!$E268</x:f>
        <x:v>2160</x:v>
      </x:c>
      <x:c r="F39" s="10" t="n">
        <x:f>'店长明细'!$D268</x:f>
        <x:v>1355</x:v>
      </x:c>
      <x:c r="G39" s="10" t="n">
        <x:f>'店长明细'!$E500</x:f>
        <x:v>2547</x:v>
      </x:c>
      <x:c r="H39" s="10" t="n">
        <x:f>'店长明细'!$D500</x:f>
        <x:v>1071</x:v>
      </x:c>
      <x:c r="I39" s="10" t="n">
        <x:f>'店长明细'!$E732</x:f>
        <x:v>832</x:v>
      </x:c>
      <x:c r="J39" s="10" t="n">
        <x:f>'店长明细'!$D732</x:f>
        <x:v>390</x:v>
      </x:c>
      <x:c r="K39" s="10" t="n">
        <x:f>'店长明细'!$E964</x:f>
        <x:v>2</x:v>
      </x:c>
      <x:c r="L39" s="10" t="n">
        <x:f>'店长明细'!$D964</x:f>
        <x:v>1</x:v>
      </x:c>
      <x:c r="M39" s="10" t="n">
        <x:f>'店长明细'!$E1196</x:f>
        <x:v>178</x:v>
      </x:c>
      <x:c r="N39" s="10" t="n">
        <x:f>'店长明细'!$D1196</x:f>
        <x:v>127</x:v>
      </x:c>
      <x:c r="O39" s="10" t="n">
        <x:f>'店长明细'!$E1428</x:f>
        <x:v>854</x:v>
      </x:c>
      <x:c r="P39" s="10" t="n">
        <x:f>'店长明细'!$D1428</x:f>
        <x:v>662</x:v>
      </x:c>
      <x:c r="Q39" s="10" t="n">
        <x:f>'店长明细'!$E1660</x:f>
        <x:v>28</x:v>
      </x:c>
      <x:c r="R39" s="10" t="n">
        <x:f>'店长明细'!$D1660</x:f>
        <x:v>23</x:v>
      </x:c>
      <x:c r="S39" s="10" t="n">
        <x:f>'店长明细'!$E1892</x:f>
        <x:v>50</x:v>
      </x:c>
      <x:c r="T39" s="10" t="n">
        <x:f>'店长明细'!$D1892</x:f>
        <x:v>36</x:v>
      </x:c>
      <x:c r="U39" s="10" t="n">
        <x:f>'店长明细'!$E2124</x:f>
        <x:v>354</x:v>
      </x:c>
      <x:c r="V39" s="10" t="n">
        <x:f>'店长明细'!$D2124</x:f>
        <x:v>184</x:v>
      </x:c>
      <x:c r="W39" s="11" t="n">
        <x:f>'店长明细'!$F36</x:f>
        <x:v>2016.63</x:v>
      </x:c>
      <x:c r="X39" s="11" t="n">
        <x:f>'店长明细'!$F268</x:f>
        <x:v>20131.33</x:v>
      </x:c>
      <x:c r="Y39" s="11" t="n">
        <x:f>'店长明细'!$F500</x:f>
        <x:v>16192.66</x:v>
      </x:c>
      <x:c r="Z39" s="11" t="n">
        <x:f>'店长明细'!$F732</x:f>
        <x:v>6028.25</x:v>
      </x:c>
      <x:c r="AA39" s="11" t="n">
        <x:f>'店长明细'!$F964</x:f>
        <x:v>24.3</x:v>
      </x:c>
      <x:c r="AB39" s="11" t="n">
        <x:f>'店长明细'!$F1196</x:f>
        <x:v>2309.17</x:v>
      </x:c>
      <x:c r="AC39" s="11" t="n">
        <x:f>'店长明细'!$F1428</x:f>
        <x:v>8364.07</x:v>
      </x:c>
      <x:c r="AD39" s="11" t="n">
        <x:f>'店长明细'!$F1660</x:f>
        <x:v>800.64</x:v>
      </x:c>
      <x:c r="AE39" s="11" t="n">
        <x:f>'店长明细'!$F1892</x:f>
        <x:v>1272.82</x:v>
      </x:c>
      <x:c r="AF39" s="11" t="n">
        <x:f>'店长明细'!$F2124</x:f>
        <x:v>3779.1</x:v>
      </x:c>
    </x:row>
    <x:row r="40">
      <x:c r="A40" t="str">
        <x:f>TEXT($B40,"mm-dd")</x:f>
        <x:v>02-05</x:v>
      </x:c>
      <x:c r="B40" s="9" t="n">
        <x:f>'店长明细'!$C37</x:f>
        <x:v>46058</x:v>
      </x:c>
      <x:c r="C40" s="10" t="n">
        <x:f>'店长明细'!$E37</x:f>
        <x:v>210</x:v>
      </x:c>
      <x:c r="D40" s="10" t="n">
        <x:f>'店长明细'!$D37</x:f>
        <x:v>113</x:v>
      </x:c>
      <x:c r="E40" s="10" t="n">
        <x:f>'店长明细'!$E269</x:f>
        <x:v>1854</x:v>
      </x:c>
      <x:c r="F40" s="10" t="n">
        <x:f>'店长明细'!$D269</x:f>
        <x:v>1216</x:v>
      </x:c>
      <x:c r="G40" s="10" t="n">
        <x:f>'店长明细'!$E501</x:f>
        <x:v>3025</x:v>
      </x:c>
      <x:c r="H40" s="10" t="n">
        <x:f>'店长明细'!$D501</x:f>
        <x:v>1294</x:v>
      </x:c>
      <x:c r="I40" s="10" t="n">
        <x:f>'店长明细'!$E733</x:f>
        <x:v>778</x:v>
      </x:c>
      <x:c r="J40" s="10" t="n">
        <x:f>'店长明细'!$D733</x:f>
        <x:v>362</x:v>
      </x:c>
      <x:c r="K40" s="10" t="n">
        <x:f>'店长明细'!$E965</x:f>
        <x:v>0</x:v>
      </x:c>
      <x:c r="L40" s="10" t="n">
        <x:f>'店长明细'!$D965</x:f>
        <x:v>0</x:v>
      </x:c>
      <x:c r="M40" s="10" t="n">
        <x:f>'店长明细'!$E1197</x:f>
        <x:v>116</x:v>
      </x:c>
      <x:c r="N40" s="10" t="n">
        <x:f>'店长明细'!$D1197</x:f>
        <x:v>87</x:v>
      </x:c>
      <x:c r="O40" s="10" t="n">
        <x:f>'店长明细'!$E1429</x:f>
        <x:v>1073</x:v>
      </x:c>
      <x:c r="P40" s="10" t="n">
        <x:f>'店长明细'!$D1429</x:f>
        <x:v>758</x:v>
      </x:c>
      <x:c r="Q40" s="10" t="n">
        <x:f>'店长明细'!$E1661</x:f>
        <x:v>38</x:v>
      </x:c>
      <x:c r="R40" s="10" t="n">
        <x:f>'店长明细'!$D1661</x:f>
        <x:v>25</x:v>
      </x:c>
      <x:c r="S40" s="10" t="n">
        <x:f>'店长明细'!$E1893</x:f>
        <x:v>30</x:v>
      </x:c>
      <x:c r="T40" s="10" t="n">
        <x:f>'店长明细'!$D1893</x:f>
        <x:v>24</x:v>
      </x:c>
      <x:c r="U40" s="10" t="n">
        <x:f>'店长明细'!$E2125</x:f>
        <x:v>298</x:v>
      </x:c>
      <x:c r="V40" s="10" t="n">
        <x:f>'店长明细'!$D2125</x:f>
        <x:v>163</x:v>
      </x:c>
      <x:c r="W40" s="11" t="n">
        <x:f>'店长明细'!$F37</x:f>
        <x:v>1659.09</x:v>
      </x:c>
      <x:c r="X40" s="11" t="n">
        <x:f>'店长明细'!$F269</x:f>
        <x:v>18428.97</x:v>
      </x:c>
      <x:c r="Y40" s="11" t="n">
        <x:f>'店长明细'!$F501</x:f>
        <x:v>19330.78</x:v>
      </x:c>
      <x:c r="Z40" s="11" t="n">
        <x:f>'店长明细'!$F733</x:f>
        <x:v>6061.5</x:v>
      </x:c>
      <x:c r="AA40" s="11" t="n">
        <x:f>'店长明细'!$F965</x:f>
        <x:v>0</x:v>
      </x:c>
      <x:c r="AB40" s="11" t="n">
        <x:f>'店长明细'!$F1197</x:f>
        <x:v>1572.47</x:v>
      </x:c>
      <x:c r="AC40" s="11" t="n">
        <x:f>'店长明细'!$F1429</x:f>
        <x:v>9659.43</x:v>
      </x:c>
      <x:c r="AD40" s="11" t="n">
        <x:f>'店长明细'!$F1661</x:f>
        <x:v>860.32</x:v>
      </x:c>
      <x:c r="AE40" s="11" t="n">
        <x:f>'店长明细'!$F1893</x:f>
        <x:v>1041.86</x:v>
      </x:c>
      <x:c r="AF40" s="11" t="n">
        <x:f>'店长明细'!$F2125</x:f>
        <x:v>3483.12</x:v>
      </x:c>
    </x:row>
    <x:row r="41">
      <x:c r="A41" t="str">
        <x:f>TEXT($B41,"mm-dd")</x:f>
        <x:v>02-06</x:v>
      </x:c>
      <x:c r="B41" s="9" t="n">
        <x:f>'店长明细'!$C38</x:f>
        <x:v>46059</x:v>
      </x:c>
      <x:c r="C41" s="10" t="n">
        <x:f>'店长明细'!$E38</x:f>
        <x:v>219</x:v>
      </x:c>
      <x:c r="D41" s="10" t="n">
        <x:f>'店长明细'!$D38</x:f>
        <x:v>131</x:v>
      </x:c>
      <x:c r="E41" s="10" t="n">
        <x:f>'店长明细'!$E270</x:f>
        <x:v>1647</x:v>
      </x:c>
      <x:c r="F41" s="10" t="n">
        <x:f>'店长明细'!$D270</x:f>
        <x:v>1048</x:v>
      </x:c>
      <x:c r="G41" s="10" t="n">
        <x:f>'店长明细'!$E502</x:f>
        <x:v>2851</x:v>
      </x:c>
      <x:c r="H41" s="10" t="n">
        <x:f>'店长明细'!$D502</x:f>
        <x:v>1238</x:v>
      </x:c>
      <x:c r="I41" s="10" t="n">
        <x:f>'店长明细'!$E734</x:f>
        <x:v>839</x:v>
      </x:c>
      <x:c r="J41" s="10" t="n">
        <x:f>'店长明细'!$D734</x:f>
        <x:v>376</x:v>
      </x:c>
      <x:c r="K41" s="10" t="n">
        <x:f>'店长明细'!$E966</x:f>
        <x:v>0</x:v>
      </x:c>
      <x:c r="L41" s="10" t="n">
        <x:f>'店长明细'!$D966</x:f>
        <x:v>0</x:v>
      </x:c>
      <x:c r="M41" s="10" t="n">
        <x:f>'店长明细'!$E1198</x:f>
        <x:v>111</x:v>
      </x:c>
      <x:c r="N41" s="10" t="n">
        <x:f>'店长明细'!$D1198</x:f>
        <x:v>86</x:v>
      </x:c>
      <x:c r="O41" s="10" t="n">
        <x:f>'店长明细'!$E1430</x:f>
        <x:v>1367</x:v>
      </x:c>
      <x:c r="P41" s="10" t="n">
        <x:f>'店长明细'!$D1430</x:f>
        <x:v>920</x:v>
      </x:c>
      <x:c r="Q41" s="10" t="n">
        <x:f>'店长明细'!$E1662</x:f>
        <x:v>76</x:v>
      </x:c>
      <x:c r="R41" s="10" t="n">
        <x:f>'店长明细'!$D1662</x:f>
        <x:v>36</x:v>
      </x:c>
      <x:c r="S41" s="10" t="n">
        <x:f>'店长明细'!$E1894</x:f>
        <x:v>17</x:v>
      </x:c>
      <x:c r="T41" s="10" t="n">
        <x:f>'店长明细'!$D1894</x:f>
        <x:v>12</x:v>
      </x:c>
      <x:c r="U41" s="10" t="n">
        <x:f>'店长明细'!$E2126</x:f>
        <x:v>453</x:v>
      </x:c>
      <x:c r="V41" s="10" t="n">
        <x:f>'店长明细'!$D2126</x:f>
        <x:v>227</x:v>
      </x:c>
      <x:c r="W41" s="11" t="n">
        <x:f>'店长明细'!$F38</x:f>
        <x:v>1951.67</x:v>
      </x:c>
      <x:c r="X41" s="11" t="n">
        <x:f>'店长明细'!$F270</x:f>
        <x:v>16481.22</x:v>
      </x:c>
      <x:c r="Y41" s="11" t="n">
        <x:f>'店长明细'!$F502</x:f>
        <x:v>18210.95</x:v>
      </x:c>
      <x:c r="Z41" s="11" t="n">
        <x:f>'店长明细'!$F734</x:f>
        <x:v>5957.15</x:v>
      </x:c>
      <x:c r="AA41" s="11" t="n">
        <x:f>'店长明细'!$F966</x:f>
        <x:v>0</x:v>
      </x:c>
      <x:c r="AB41" s="11" t="n">
        <x:f>'店长明细'!$F1198</x:f>
        <x:v>1505.46</x:v>
      </x:c>
      <x:c r="AC41" s="11" t="n">
        <x:f>'店长明细'!$F1430</x:f>
        <x:v>10229.05</x:v>
      </x:c>
      <x:c r="AD41" s="11" t="n">
        <x:f>'店长明细'!$F1662</x:f>
        <x:v>1354.96</x:v>
      </x:c>
      <x:c r="AE41" s="11" t="n">
        <x:f>'店长明细'!$F1894</x:f>
        <x:v>499.19</x:v>
      </x:c>
      <x:c r="AF41" s="11" t="n">
        <x:f>'店长明细'!$F2126</x:f>
        <x:v>4669.6</x:v>
      </x:c>
    </x:row>
    <x:row r="42">
      <x:c r="A42" t="str">
        <x:f>TEXT($B42,"mm-dd")</x:f>
        <x:v>02-07</x:v>
      </x:c>
      <x:c r="B42" s="9" t="n">
        <x:f>'店长明细'!$C39</x:f>
        <x:v>46060</x:v>
      </x:c>
      <x:c r="C42" s="10" t="n">
        <x:f>'店长明细'!$E39</x:f>
        <x:v>185</x:v>
      </x:c>
      <x:c r="D42" s="10" t="n">
        <x:f>'店长明细'!$D39</x:f>
        <x:v>94</x:v>
      </x:c>
      <x:c r="E42" s="10" t="n">
        <x:f>'店长明细'!$E271</x:f>
        <x:v>1786</x:v>
      </x:c>
      <x:c r="F42" s="10" t="n">
        <x:f>'店长明细'!$D271</x:f>
        <x:v>1126</x:v>
      </x:c>
      <x:c r="G42" s="10" t="n">
        <x:f>'店长明细'!$E503</x:f>
        <x:v>2464</x:v>
      </x:c>
      <x:c r="H42" s="10" t="n">
        <x:f>'店长明细'!$D503</x:f>
        <x:v>1051</x:v>
      </x:c>
      <x:c r="I42" s="10" t="n">
        <x:f>'店长明细'!$E735</x:f>
        <x:v>1022</x:v>
      </x:c>
      <x:c r="J42" s="10" t="n">
        <x:f>'店长明细'!$D735</x:f>
        <x:v>474</x:v>
      </x:c>
      <x:c r="K42" s="10" t="n">
        <x:f>'店长明细'!$E967</x:f>
        <x:v>0</x:v>
      </x:c>
      <x:c r="L42" s="10" t="n">
        <x:f>'店长明细'!$D967</x:f>
        <x:v>0</x:v>
      </x:c>
      <x:c r="M42" s="10" t="n">
        <x:f>'店长明细'!$E1199</x:f>
        <x:v>160</x:v>
      </x:c>
      <x:c r="N42" s="10" t="n">
        <x:f>'店长明细'!$D1199</x:f>
        <x:v>107</x:v>
      </x:c>
      <x:c r="O42" s="10" t="n">
        <x:f>'店长明细'!$E1431</x:f>
        <x:v>1444</x:v>
      </x:c>
      <x:c r="P42" s="10" t="n">
        <x:f>'店长明细'!$D1431</x:f>
        <x:v>949</x:v>
      </x:c>
      <x:c r="Q42" s="10" t="n">
        <x:f>'店长明细'!$E1663</x:f>
        <x:v>41</x:v>
      </x:c>
      <x:c r="R42" s="10" t="n">
        <x:f>'店长明细'!$D1663</x:f>
        <x:v>31</x:v>
      </x:c>
      <x:c r="S42" s="10" t="n">
        <x:f>'店长明细'!$E1895</x:f>
        <x:v>14</x:v>
      </x:c>
      <x:c r="T42" s="10" t="n">
        <x:f>'店长明细'!$D1895</x:f>
        <x:v>10</x:v>
      </x:c>
      <x:c r="U42" s="10" t="n">
        <x:f>'店长明细'!$E2127</x:f>
        <x:v>410</x:v>
      </x:c>
      <x:c r="V42" s="10" t="n">
        <x:f>'店长明细'!$D2127</x:f>
        <x:v>201</x:v>
      </x:c>
      <x:c r="W42" s="11" t="n">
        <x:f>'店长明细'!$F39</x:f>
        <x:v>1344.27</x:v>
      </x:c>
      <x:c r="X42" s="11" t="n">
        <x:f>'店长明细'!$F271</x:f>
        <x:v>17027.09</x:v>
      </x:c>
      <x:c r="Y42" s="11" t="n">
        <x:f>'店长明细'!$F503</x:f>
        <x:v>18409.7</x:v>
      </x:c>
      <x:c r="Z42" s="11" t="n">
        <x:f>'店长明细'!$F735</x:f>
        <x:v>7240.12</x:v>
      </x:c>
      <x:c r="AA42" s="11" t="n">
        <x:f>'店长明细'!$F967</x:f>
        <x:v>0</x:v>
      </x:c>
      <x:c r="AB42" s="11" t="n">
        <x:f>'店长明细'!$F1199</x:f>
        <x:v>2137.84</x:v>
      </x:c>
      <x:c r="AC42" s="11" t="n">
        <x:f>'店长明细'!$F1431</x:f>
        <x:v>9754.95</x:v>
      </x:c>
      <x:c r="AD42" s="11" t="n">
        <x:f>'店长明细'!$F1663</x:f>
        <x:v>1021.02</x:v>
      </x:c>
      <x:c r="AE42" s="11" t="n">
        <x:f>'店长明细'!$F1895</x:f>
        <x:v>314.81</x:v>
      </x:c>
      <x:c r="AF42" s="11" t="n">
        <x:f>'店长明细'!$F2127</x:f>
        <x:v>4227.89</x:v>
      </x:c>
    </x:row>
    <x:row r="43">
      <x:c r="A43" t="str">
        <x:f>TEXT($B43,"mm-dd")</x:f>
        <x:v>02-08</x:v>
      </x:c>
      <x:c r="B43" s="9" t="n">
        <x:f>'店长明细'!$C40</x:f>
        <x:v>46061</x:v>
      </x:c>
      <x:c r="C43" s="10" t="n">
        <x:f>'店长明细'!$E40</x:f>
        <x:v>215</x:v>
      </x:c>
      <x:c r="D43" s="10" t="n">
        <x:f>'店长明细'!$D40</x:f>
        <x:v>111</x:v>
      </x:c>
      <x:c r="E43" s="10" t="n">
        <x:f>'店长明细'!$E272</x:f>
        <x:v>1978</x:v>
      </x:c>
      <x:c r="F43" s="10" t="n">
        <x:f>'店长明细'!$D272</x:f>
        <x:v>1201</x:v>
      </x:c>
      <x:c r="G43" s="10" t="n">
        <x:f>'店长明细'!$E504</x:f>
        <x:v>2520</x:v>
      </x:c>
      <x:c r="H43" s="10" t="n">
        <x:f>'店长明细'!$D504</x:f>
        <x:v>1160</x:v>
      </x:c>
      <x:c r="I43" s="10" t="n">
        <x:f>'店长明细'!$E736</x:f>
        <x:v>1010</x:v>
      </x:c>
      <x:c r="J43" s="10" t="n">
        <x:f>'店长明细'!$D736</x:f>
        <x:v>505</x:v>
      </x:c>
      <x:c r="K43" s="10" t="n">
        <x:f>'店长明细'!$E968</x:f>
        <x:v>0</x:v>
      </x:c>
      <x:c r="L43" s="10" t="n">
        <x:f>'店长明细'!$D968</x:f>
        <x:v>0</x:v>
      </x:c>
      <x:c r="M43" s="10" t="n">
        <x:f>'店长明细'!$E1200</x:f>
        <x:v>147</x:v>
      </x:c>
      <x:c r="N43" s="10" t="n">
        <x:f>'店长明细'!$D1200</x:f>
        <x:v>101</x:v>
      </x:c>
      <x:c r="O43" s="10" t="n">
        <x:f>'店长明细'!$E1432</x:f>
        <x:v>962</x:v>
      </x:c>
      <x:c r="P43" s="10" t="n">
        <x:f>'店长明细'!$D1432</x:f>
        <x:v>716</x:v>
      </x:c>
      <x:c r="Q43" s="10" t="n">
        <x:f>'店长明细'!$E1664</x:f>
        <x:v>25</x:v>
      </x:c>
      <x:c r="R43" s="10" t="n">
        <x:f>'店长明细'!$D1664</x:f>
        <x:v>14</x:v>
      </x:c>
      <x:c r="S43" s="10" t="n">
        <x:f>'店长明细'!$E1896</x:f>
        <x:v>19</x:v>
      </x:c>
      <x:c r="T43" s="10" t="n">
        <x:f>'店长明细'!$D1896</x:f>
        <x:v>13</x:v>
      </x:c>
      <x:c r="U43" s="10" t="n">
        <x:f>'店长明细'!$E2128</x:f>
        <x:v>500</x:v>
      </x:c>
      <x:c r="V43" s="10" t="n">
        <x:f>'店长明细'!$D2128</x:f>
        <x:v>251</x:v>
      </x:c>
      <x:c r="W43" s="11" t="n">
        <x:f>'店长明细'!$F40</x:f>
        <x:v>1594.22</x:v>
      </x:c>
      <x:c r="X43" s="11" t="n">
        <x:f>'店长明细'!$F272</x:f>
        <x:v>18397</x:v>
      </x:c>
      <x:c r="Y43" s="11" t="n">
        <x:f>'店长明细'!$F504</x:f>
        <x:v>19295.63</x:v>
      </x:c>
      <x:c r="Z43" s="11" t="n">
        <x:f>'店长明细'!$F736</x:f>
        <x:v>7595.78</x:v>
      </x:c>
      <x:c r="AA43" s="11" t="n">
        <x:f>'店长明细'!$F968</x:f>
        <x:v>0</x:v>
      </x:c>
      <x:c r="AB43" s="11" t="n">
        <x:f>'店长明细'!$F1200</x:f>
        <x:v>1971.49</x:v>
      </x:c>
      <x:c r="AC43" s="11" t="n">
        <x:f>'店长明细'!$F1432</x:f>
        <x:v>7100.09</x:v>
      </x:c>
      <x:c r="AD43" s="11" t="n">
        <x:f>'店长明细'!$F1664</x:f>
        <x:v>553.4</x:v>
      </x:c>
      <x:c r="AE43" s="11" t="n">
        <x:f>'店长明细'!$F1896</x:f>
        <x:v>504.83</x:v>
      </x:c>
      <x:c r="AF43" s="11" t="n">
        <x:f>'店长明细'!$F2128</x:f>
        <x:v>5485.4</x:v>
      </x:c>
    </x:row>
    <x:row r="44">
      <x:c r="A44" t="str">
        <x:f>TEXT($B44,"mm-dd")</x:f>
        <x:v>02-09</x:v>
      </x:c>
      <x:c r="B44" s="9" t="n">
        <x:f>'店长明细'!$C41</x:f>
        <x:v>46062</x:v>
      </x:c>
      <x:c r="C44" s="10" t="n">
        <x:f>'店长明细'!$E41</x:f>
        <x:v>163</x:v>
      </x:c>
      <x:c r="D44" s="10" t="n">
        <x:f>'店长明细'!$D41</x:f>
        <x:v>92</x:v>
      </x:c>
      <x:c r="E44" s="10" t="n">
        <x:f>'店长明细'!$E273</x:f>
        <x:v>2134</x:v>
      </x:c>
      <x:c r="F44" s="10" t="n">
        <x:f>'店长明细'!$D273</x:f>
        <x:v>1192</x:v>
      </x:c>
      <x:c r="G44" s="10" t="n">
        <x:f>'店长明细'!$E505</x:f>
        <x:v>2438</x:v>
      </x:c>
      <x:c r="H44" s="10" t="n">
        <x:f>'店长明细'!$D505</x:f>
        <x:v>1102</x:v>
      </x:c>
      <x:c r="I44" s="10" t="n">
        <x:f>'店长明细'!$E737</x:f>
        <x:v>812</x:v>
      </x:c>
      <x:c r="J44" s="10" t="n">
        <x:f>'店长明细'!$D737</x:f>
        <x:v>402</x:v>
      </x:c>
      <x:c r="K44" s="10" t="n">
        <x:f>'店长明细'!$E969</x:f>
        <x:v>3</x:v>
      </x:c>
      <x:c r="L44" s="10" t="n">
        <x:f>'店长明细'!$D969</x:f>
        <x:v>1</x:v>
      </x:c>
      <x:c r="M44" s="10" t="n">
        <x:f>'店长明细'!$E1201</x:f>
        <x:v>125</x:v>
      </x:c>
      <x:c r="N44" s="10" t="n">
        <x:f>'店长明细'!$D1201</x:f>
        <x:v>106</x:v>
      </x:c>
      <x:c r="O44" s="10" t="n">
        <x:f>'店长明细'!$E1433</x:f>
        <x:v>837</x:v>
      </x:c>
      <x:c r="P44" s="10" t="n">
        <x:f>'店长明细'!$D1433</x:f>
        <x:v>632</x:v>
      </x:c>
      <x:c r="Q44" s="10" t="n">
        <x:f>'店长明细'!$E1665</x:f>
        <x:v>16</x:v>
      </x:c>
      <x:c r="R44" s="10" t="n">
        <x:f>'店长明细'!$D1665</x:f>
        <x:v>11</x:v>
      </x:c>
      <x:c r="S44" s="10" t="n">
        <x:f>'店长明细'!$E1897</x:f>
        <x:v>13</x:v>
      </x:c>
      <x:c r="T44" s="10" t="n">
        <x:f>'店长明细'!$D1897</x:f>
        <x:v>11</x:v>
      </x:c>
      <x:c r="U44" s="10" t="n">
        <x:f>'店长明细'!$E2129</x:f>
        <x:v>338</x:v>
      </x:c>
      <x:c r="V44" s="10" t="n">
        <x:f>'店长明细'!$D2129</x:f>
        <x:v>185</x:v>
      </x:c>
      <x:c r="W44" s="11" t="n">
        <x:f>'店长明细'!$F41</x:f>
        <x:v>1330.5</x:v>
      </x:c>
      <x:c r="X44" s="11" t="n">
        <x:f>'店长明细'!$F273</x:f>
        <x:v>19107.42</x:v>
      </x:c>
      <x:c r="Y44" s="11" t="n">
        <x:f>'店长明细'!$F505</x:f>
        <x:v>17727.02</x:v>
      </x:c>
      <x:c r="Z44" s="11" t="n">
        <x:f>'店长明细'!$F737</x:f>
        <x:v>7102.06</x:v>
      </x:c>
      <x:c r="AA44" s="11" t="n">
        <x:f>'店长明细'!$F969</x:f>
        <x:v>30.4</x:v>
      </x:c>
      <x:c r="AB44" s="11" t="n">
        <x:f>'店长明细'!$F1201</x:f>
        <x:v>1693.54</x:v>
      </x:c>
      <x:c r="AC44" s="11" t="n">
        <x:f>'店长明细'!$F1433</x:f>
        <x:v>5939.98</x:v>
      </x:c>
      <x:c r="AD44" s="11" t="n">
        <x:f>'店长明细'!$F1665</x:f>
        <x:v>288.36</x:v>
      </x:c>
      <x:c r="AE44" s="11" t="n">
        <x:f>'店长明细'!$F1897</x:f>
        <x:v>462.16</x:v>
      </x:c>
      <x:c r="AF44" s="11" t="n">
        <x:f>'店长明细'!$F2129</x:f>
        <x:v>3789.91</x:v>
      </x:c>
    </x:row>
    <x:row r="45">
      <x:c r="A45" t="str">
        <x:f>TEXT($B45,"mm-dd")</x:f>
        <x:v>02-10</x:v>
      </x:c>
      <x:c r="B45" s="9" t="n">
        <x:f>'店长明细'!$C42</x:f>
        <x:v>46063</x:v>
      </x:c>
      <x:c r="C45" s="10" t="n">
        <x:f>'店长明细'!$E42</x:f>
        <x:v>291</x:v>
      </x:c>
      <x:c r="D45" s="10" t="n">
        <x:f>'店长明细'!$D42</x:f>
        <x:v>205</x:v>
      </x:c>
      <x:c r="E45" s="10" t="n">
        <x:f>'店长明细'!$E274</x:f>
        <x:v>1966</x:v>
      </x:c>
      <x:c r="F45" s="10" t="n">
        <x:f>'店长明细'!$D274</x:f>
        <x:v>1210</x:v>
      </x:c>
      <x:c r="G45" s="10" t="n">
        <x:f>'店长明细'!$E506</x:f>
        <x:v>2005</x:v>
      </x:c>
      <x:c r="H45" s="10" t="n">
        <x:f>'店长明细'!$D506</x:f>
        <x:v>893</x:v>
      </x:c>
      <x:c r="I45" s="10" t="n">
        <x:f>'店长明细'!$E738</x:f>
        <x:v>2536</x:v>
      </x:c>
      <x:c r="J45" s="10" t="n">
        <x:f>'店长明细'!$D738</x:f>
        <x:v>1630</x:v>
      </x:c>
      <x:c r="K45" s="10" t="n">
        <x:f>'店长明细'!$E970</x:f>
        <x:v>2</x:v>
      </x:c>
      <x:c r="L45" s="10" t="n">
        <x:f>'店长明细'!$D970</x:f>
        <x:v>1</x:v>
      </x:c>
      <x:c r="M45" s="10" t="n">
        <x:f>'店长明细'!$E1202</x:f>
        <x:v>124</x:v>
      </x:c>
      <x:c r="N45" s="10" t="n">
        <x:f>'店长明细'!$D1202</x:f>
        <x:v>90</x:v>
      </x:c>
      <x:c r="O45" s="10" t="n">
        <x:f>'店长明细'!$E1434</x:f>
        <x:v>914</x:v>
      </x:c>
      <x:c r="P45" s="10" t="n">
        <x:f>'店长明细'!$D1434</x:f>
        <x:v>657</x:v>
      </x:c>
      <x:c r="Q45" s="10" t="n">
        <x:f>'店长明细'!$E1666</x:f>
        <x:v>30</x:v>
      </x:c>
      <x:c r="R45" s="10" t="n">
        <x:f>'店长明细'!$D1666</x:f>
        <x:v>21</x:v>
      </x:c>
      <x:c r="S45" s="10" t="n">
        <x:f>'店长明细'!$E1898</x:f>
        <x:v>31</x:v>
      </x:c>
      <x:c r="T45" s="10" t="n">
        <x:f>'店长明细'!$D1898</x:f>
        <x:v>24</x:v>
      </x:c>
      <x:c r="U45" s="10" t="n">
        <x:f>'店长明细'!$E2130</x:f>
        <x:v>345</x:v>
      </x:c>
      <x:c r="V45" s="10" t="n">
        <x:f>'店长明细'!$D2130</x:f>
        <x:v>163</x:v>
      </x:c>
      <x:c r="W45" s="11" t="n">
        <x:f>'店长明细'!$F42</x:f>
        <x:v>3327.66</x:v>
      </x:c>
      <x:c r="X45" s="11" t="n">
        <x:f>'店长明细'!$F274</x:f>
        <x:v>17986.81</x:v>
      </x:c>
      <x:c r="Y45" s="11" t="n">
        <x:f>'店长明细'!$F506</x:f>
        <x:v>13590.93</x:v>
      </x:c>
      <x:c r="Z45" s="11" t="n">
        <x:f>'店长明细'!$F738</x:f>
        <x:v>24792.05</x:v>
      </x:c>
      <x:c r="AA45" s="11" t="n">
        <x:f>'店长明细'!$F970</x:f>
        <x:v>11.7</x:v>
      </x:c>
      <x:c r="AB45" s="11" t="n">
        <x:f>'店长明细'!$F1202</x:f>
        <x:v>1510.18</x:v>
      </x:c>
      <x:c r="AC45" s="11" t="n">
        <x:f>'店长明细'!$F1434</x:f>
        <x:v>6011.73</x:v>
      </x:c>
      <x:c r="AD45" s="11" t="n">
        <x:f>'店长明细'!$F1666</x:f>
        <x:v>718.47</x:v>
      </x:c>
      <x:c r="AE45" s="11" t="n">
        <x:f>'店长明细'!$F1898</x:f>
        <x:v>1097.05</x:v>
      </x:c>
      <x:c r="AF45" s="11" t="n">
        <x:f>'店长明细'!$F2130</x:f>
        <x:v>3565.69</x:v>
      </x:c>
    </x:row>
    <x:row r="46">
      <x:c r="A46" t="str">
        <x:f>TEXT($B46,"mm-dd")</x:f>
        <x:v>02-11</x:v>
      </x:c>
      <x:c r="B46" s="9" t="n">
        <x:f>'店长明细'!$C43</x:f>
        <x:v>46064</x:v>
      </x:c>
      <x:c r="C46" s="10" t="n">
        <x:f>'店长明细'!$E43</x:f>
        <x:v>145</x:v>
      </x:c>
      <x:c r="D46" s="10" t="n">
        <x:f>'店长明细'!$D43</x:f>
        <x:v>84</x:v>
      </x:c>
      <x:c r="E46" s="10" t="n">
        <x:f>'店长明细'!$E275</x:f>
        <x:v>1804</x:v>
      </x:c>
      <x:c r="F46" s="10" t="n">
        <x:f>'店长明细'!$D275</x:f>
        <x:v>1085</x:v>
      </x:c>
      <x:c r="G46" s="10" t="n">
        <x:f>'店长明细'!$E507</x:f>
        <x:v>2108</x:v>
      </x:c>
      <x:c r="H46" s="10" t="n">
        <x:f>'店长明细'!$D507</x:f>
        <x:v>949</x:v>
      </x:c>
      <x:c r="I46" s="10" t="n">
        <x:f>'店长明细'!$E739</x:f>
        <x:v>1845</x:v>
      </x:c>
      <x:c r="J46" s="10" t="n">
        <x:f>'店长明细'!$D739</x:f>
        <x:v>1216</x:v>
      </x:c>
      <x:c r="K46" s="10" t="n">
        <x:f>'店长明细'!$E971</x:f>
        <x:v>0</x:v>
      </x:c>
      <x:c r="L46" s="10" t="n">
        <x:f>'店长明细'!$D971</x:f>
        <x:v>0</x:v>
      </x:c>
      <x:c r="M46" s="10" t="n">
        <x:f>'店长明细'!$E1203</x:f>
        <x:v>138</x:v>
      </x:c>
      <x:c r="N46" s="10" t="n">
        <x:f>'店长明细'!$D1203</x:f>
        <x:v>106</x:v>
      </x:c>
      <x:c r="O46" s="10" t="n">
        <x:f>'店长明细'!$E1435</x:f>
        <x:v>899</x:v>
      </x:c>
      <x:c r="P46" s="10" t="n">
        <x:f>'店长明细'!$D1435</x:f>
        <x:v>621</x:v>
      </x:c>
      <x:c r="Q46" s="10" t="n">
        <x:f>'店长明细'!$E1667</x:f>
        <x:v>32</x:v>
      </x:c>
      <x:c r="R46" s="10" t="n">
        <x:f>'店长明细'!$D1667</x:f>
        <x:v>24</x:v>
      </x:c>
      <x:c r="S46" s="10" t="n">
        <x:f>'店长明细'!$E1899</x:f>
        <x:v>25</x:v>
      </x:c>
      <x:c r="T46" s="10" t="n">
        <x:f>'店长明细'!$D1899</x:f>
        <x:v>15</x:v>
      </x:c>
      <x:c r="U46" s="10" t="n">
        <x:f>'店长明细'!$E2131</x:f>
        <x:v>338</x:v>
      </x:c>
      <x:c r="V46" s="10" t="n">
        <x:f>'店长明细'!$D2131</x:f>
        <x:v>178</x:v>
      </x:c>
      <x:c r="W46" s="11" t="n">
        <x:f>'店长明细'!$F43</x:f>
        <x:v>1202.34</x:v>
      </x:c>
      <x:c r="X46" s="11" t="n">
        <x:f>'店长明细'!$F275</x:f>
        <x:v>15790.42</x:v>
      </x:c>
      <x:c r="Y46" s="11" t="n">
        <x:f>'店长明细'!$F507</x:f>
        <x:v>14202.99</x:v>
      </x:c>
      <x:c r="Z46" s="11" t="n">
        <x:f>'店长明细'!$F739</x:f>
        <x:v>19142.47</x:v>
      </x:c>
      <x:c r="AA46" s="11" t="n">
        <x:f>'店长明细'!$F971</x:f>
        <x:v>0</x:v>
      </x:c>
      <x:c r="AB46" s="11" t="n">
        <x:f>'店长明细'!$F1203</x:f>
        <x:v>1788.49</x:v>
      </x:c>
      <x:c r="AC46" s="11" t="n">
        <x:f>'店长明细'!$F1435</x:f>
        <x:v>6214.35</x:v>
      </x:c>
      <x:c r="AD46" s="11" t="n">
        <x:f>'店长明细'!$F1667</x:f>
        <x:v>719.95</x:v>
      </x:c>
      <x:c r="AE46" s="11" t="n">
        <x:f>'店长明细'!$F1899</x:f>
        <x:v>610.61</x:v>
      </x:c>
      <x:c r="AF46" s="11" t="n">
        <x:f>'店长明细'!$F2131</x:f>
        <x:v>3753.66</x:v>
      </x:c>
    </x:row>
    <x:row r="47">
      <x:c r="A47" t="str">
        <x:f>TEXT($B47,"mm-dd")</x:f>
        <x:v>02-12</x:v>
      </x:c>
      <x:c r="B47" s="9" t="n">
        <x:f>'店长明细'!$C44</x:f>
        <x:v>46065</x:v>
      </x:c>
      <x:c r="C47" s="10" t="n">
        <x:f>'店长明细'!$E44</x:f>
        <x:v>164</x:v>
      </x:c>
      <x:c r="D47" s="10" t="n">
        <x:f>'店长明细'!$D44</x:f>
        <x:v>89</x:v>
      </x:c>
      <x:c r="E47" s="10" t="n">
        <x:f>'店长明细'!$E276</x:f>
        <x:v>1910</x:v>
      </x:c>
      <x:c r="F47" s="10" t="n">
        <x:f>'店长明细'!$D276</x:f>
        <x:v>1244</x:v>
      </x:c>
      <x:c r="G47" s="10" t="n">
        <x:f>'店长明细'!$E508</x:f>
        <x:v>2087</x:v>
      </x:c>
      <x:c r="H47" s="10" t="n">
        <x:f>'店长明细'!$D508</x:f>
        <x:v>944</x:v>
      </x:c>
      <x:c r="I47" s="10" t="n">
        <x:f>'店长明细'!$E740</x:f>
        <x:v>1483</x:v>
      </x:c>
      <x:c r="J47" s="10" t="n">
        <x:f>'店长明细'!$D740</x:f>
        <x:v>1001</x:v>
      </x:c>
      <x:c r="K47" s="10" t="n">
        <x:f>'店长明细'!$E972</x:f>
        <x:v>2</x:v>
      </x:c>
      <x:c r="L47" s="10" t="n">
        <x:f>'店长明细'!$D972</x:f>
        <x:v>1</x:v>
      </x:c>
      <x:c r="M47" s="10" t="n">
        <x:f>'店长明细'!$E1204</x:f>
        <x:v>86</x:v>
      </x:c>
      <x:c r="N47" s="10" t="n">
        <x:f>'店长明细'!$D1204</x:f>
        <x:v>66</x:v>
      </x:c>
      <x:c r="O47" s="10" t="n">
        <x:f>'店长明细'!$E1436</x:f>
        <x:v>998</x:v>
      </x:c>
      <x:c r="P47" s="10" t="n">
        <x:f>'店长明细'!$D1436</x:f>
        <x:v>681</x:v>
      </x:c>
      <x:c r="Q47" s="10" t="n">
        <x:f>'店长明细'!$E1668</x:f>
        <x:v>21</x:v>
      </x:c>
      <x:c r="R47" s="10" t="n">
        <x:f>'店长明细'!$D1668</x:f>
        <x:v>16</x:v>
      </x:c>
      <x:c r="S47" s="10" t="n">
        <x:f>'店长明细'!$E1900</x:f>
        <x:v>7</x:v>
      </x:c>
      <x:c r="T47" s="10" t="n">
        <x:f>'店长明细'!$D1900</x:f>
        <x:v>7</x:v>
      </x:c>
      <x:c r="U47" s="10" t="n">
        <x:f>'店长明细'!$E2132</x:f>
        <x:v>350</x:v>
      </x:c>
      <x:c r="V47" s="10" t="n">
        <x:f>'店长明细'!$D2132</x:f>
        <x:v>180</x:v>
      </x:c>
      <x:c r="W47" s="11" t="n">
        <x:f>'店长明细'!$F44</x:f>
        <x:v>1341.43</x:v>
      </x:c>
      <x:c r="X47" s="11" t="n">
        <x:f>'店长明细'!$F276</x:f>
        <x:v>18090.66</x:v>
      </x:c>
      <x:c r="Y47" s="11" t="n">
        <x:f>'店长明细'!$F508</x:f>
        <x:v>13879.41</x:v>
      </x:c>
      <x:c r="Z47" s="11" t="n">
        <x:f>'店长明细'!$F740</x:f>
        <x:v>15900.91</x:v>
      </x:c>
      <x:c r="AA47" s="11" t="n">
        <x:f>'店长明细'!$F972</x:f>
        <x:v>46.37</x:v>
      </x:c>
      <x:c r="AB47" s="11" t="n">
        <x:f>'店长明细'!$F1204</x:f>
        <x:v>1170.8</x:v>
      </x:c>
      <x:c r="AC47" s="11" t="n">
        <x:f>'店长明细'!$F1436</x:f>
        <x:v>6307.48</x:v>
      </x:c>
      <x:c r="AD47" s="11" t="n">
        <x:f>'店长明细'!$F1668</x:f>
        <x:v>492.4</x:v>
      </x:c>
      <x:c r="AE47" s="11" t="n">
        <x:f>'店长明细'!$F1900</x:f>
        <x:v>181.58</x:v>
      </x:c>
      <x:c r="AF47" s="11" t="n">
        <x:f>'店长明细'!$F2132</x:f>
        <x:v>4298.56</x:v>
      </x:c>
    </x:row>
    <x:row r="48">
      <x:c r="A48" t="str">
        <x:f>TEXT($B48,"mm-dd")</x:f>
        <x:v>02-13</x:v>
      </x:c>
      <x:c r="B48" s="9" t="n">
        <x:f>'店长明细'!$C45</x:f>
        <x:v>46066</x:v>
      </x:c>
      <x:c r="C48" s="10" t="n">
        <x:f>'店长明细'!$E45</x:f>
        <x:v>150</x:v>
      </x:c>
      <x:c r="D48" s="10" t="n">
        <x:f>'店长明细'!$D45</x:f>
        <x:v>91</x:v>
      </x:c>
      <x:c r="E48" s="10" t="n">
        <x:f>'店长明细'!$E277</x:f>
        <x:v>1880</x:v>
      </x:c>
      <x:c r="F48" s="10" t="n">
        <x:f>'店长明细'!$D277</x:f>
        <x:v>1199</x:v>
      </x:c>
      <x:c r="G48" s="10" t="n">
        <x:f>'店长明细'!$E509</x:f>
        <x:v>1626</x:v>
      </x:c>
      <x:c r="H48" s="10" t="n">
        <x:f>'店长明细'!$D509</x:f>
        <x:v>739</x:v>
      </x:c>
      <x:c r="I48" s="10" t="n">
        <x:f>'店长明细'!$E741</x:f>
        <x:v>1544</x:v>
      </x:c>
      <x:c r="J48" s="10" t="n">
        <x:f>'店长明细'!$D741</x:f>
        <x:v>1039</x:v>
      </x:c>
      <x:c r="K48" s="10" t="n">
        <x:f>'店长明细'!$E973</x:f>
        <x:v>0</x:v>
      </x:c>
      <x:c r="L48" s="10" t="n">
        <x:f>'店长明细'!$D973</x:f>
        <x:v>0</x:v>
      </x:c>
      <x:c r="M48" s="10" t="n">
        <x:f>'店长明细'!$E1205</x:f>
        <x:v>123</x:v>
      </x:c>
      <x:c r="N48" s="10" t="n">
        <x:f>'店长明细'!$D1205</x:f>
        <x:v>90</x:v>
      </x:c>
      <x:c r="O48" s="10" t="n">
        <x:f>'店长明细'!$E1437</x:f>
        <x:v>1117</x:v>
      </x:c>
      <x:c r="P48" s="10" t="n">
        <x:f>'店长明细'!$D1437</x:f>
        <x:v>804</x:v>
      </x:c>
      <x:c r="Q48" s="10" t="n">
        <x:f>'店长明细'!$E1669</x:f>
        <x:v>41</x:v>
      </x:c>
      <x:c r="R48" s="10" t="n">
        <x:f>'店长明细'!$D1669</x:f>
        <x:v>26</x:v>
      </x:c>
      <x:c r="S48" s="10" t="n">
        <x:f>'店长明细'!$E1901</x:f>
        <x:v>23</x:v>
      </x:c>
      <x:c r="T48" s="10" t="n">
        <x:f>'店长明细'!$D1901</x:f>
        <x:v>19</x:v>
      </x:c>
      <x:c r="U48" s="10" t="n">
        <x:f>'店长明细'!$E2133</x:f>
        <x:v>425</x:v>
      </x:c>
      <x:c r="V48" s="10" t="n">
        <x:f>'店长明细'!$D2133</x:f>
        <x:v>218</x:v>
      </x:c>
      <x:c r="W48" s="11" t="n">
        <x:f>'店长明细'!$F45</x:f>
        <x:v>1248.13</x:v>
      </x:c>
      <x:c r="X48" s="11" t="n">
        <x:f>'店长明细'!$F277</x:f>
        <x:v>16980.43</x:v>
      </x:c>
      <x:c r="Y48" s="11" t="n">
        <x:f>'店长明细'!$F509</x:f>
        <x:v>11105.69</x:v>
      </x:c>
      <x:c r="Z48" s="11" t="n">
        <x:f>'店长明细'!$F741</x:f>
        <x:v>16330.66</x:v>
      </x:c>
      <x:c r="AA48" s="11" t="n">
        <x:f>'店长明细'!$F973</x:f>
        <x:v>0</x:v>
      </x:c>
      <x:c r="AB48" s="11" t="n">
        <x:f>'店长明细'!$F1205</x:f>
        <x:v>1527.01</x:v>
      </x:c>
      <x:c r="AC48" s="11" t="n">
        <x:f>'店长明细'!$F1437</x:f>
        <x:v>6514.36</x:v>
      </x:c>
      <x:c r="AD48" s="11" t="n">
        <x:f>'店长明细'!$F1669</x:f>
        <x:v>835.69</x:v>
      </x:c>
      <x:c r="AE48" s="11" t="n">
        <x:f>'店长明细'!$F1901</x:f>
        <x:v>698.99</x:v>
      </x:c>
      <x:c r="AF48" s="11" t="n">
        <x:f>'店长明细'!$F2133</x:f>
        <x:v>4776.07</x:v>
      </x:c>
    </x:row>
    <x:row r="49">
      <x:c r="A49" t="str">
        <x:f>TEXT($B49,"mm-dd")</x:f>
        <x:v>02-14</x:v>
      </x:c>
      <x:c r="B49" s="9" t="n">
        <x:f>'店长明细'!$C46</x:f>
        <x:v>46067</x:v>
      </x:c>
      <x:c r="C49" s="10" t="n">
        <x:f>'店长明细'!$E46</x:f>
        <x:v>203</x:v>
      </x:c>
      <x:c r="D49" s="10" t="n">
        <x:f>'店长明细'!$D46</x:f>
        <x:v>101</x:v>
      </x:c>
      <x:c r="E49" s="10" t="n">
        <x:f>'店长明细'!$E278</x:f>
        <x:v>1814</x:v>
      </x:c>
      <x:c r="F49" s="10" t="n">
        <x:f>'店长明细'!$D278</x:f>
        <x:v>1255</x:v>
      </x:c>
      <x:c r="G49" s="10" t="n">
        <x:f>'店长明细'!$E510</x:f>
        <x:v>1925</x:v>
      </x:c>
      <x:c r="H49" s="10" t="n">
        <x:f>'店长明细'!$D510</x:f>
        <x:v>896</x:v>
      </x:c>
      <x:c r="I49" s="10" t="n">
        <x:f>'店长明细'!$E742</x:f>
        <x:v>1417</x:v>
      </x:c>
      <x:c r="J49" s="10" t="n">
        <x:f>'店长明细'!$D742</x:f>
        <x:v>989</x:v>
      </x:c>
      <x:c r="K49" s="10" t="n">
        <x:f>'店长明细'!$E974</x:f>
        <x:v>5</x:v>
      </x:c>
      <x:c r="L49" s="10" t="n">
        <x:f>'店长明细'!$D974</x:f>
        <x:v>3</x:v>
      </x:c>
      <x:c r="M49" s="10" t="n">
        <x:f>'店长明细'!$E1206</x:f>
        <x:v>101</x:v>
      </x:c>
      <x:c r="N49" s="10" t="n">
        <x:f>'店长明细'!$D1206</x:f>
        <x:v>80</x:v>
      </x:c>
      <x:c r="O49" s="10" t="n">
        <x:f>'店长明细'!$E1438</x:f>
        <x:v>1109</x:v>
      </x:c>
      <x:c r="P49" s="10" t="n">
        <x:f>'店长明细'!$D1438</x:f>
        <x:v>809</x:v>
      </x:c>
      <x:c r="Q49" s="10" t="n">
        <x:f>'店长明细'!$E1670</x:f>
        <x:v>65</x:v>
      </x:c>
      <x:c r="R49" s="10" t="n">
        <x:f>'店长明细'!$D1670</x:f>
        <x:v>37</x:v>
      </x:c>
      <x:c r="S49" s="10" t="n">
        <x:f>'店长明细'!$E1902</x:f>
        <x:v>13</x:v>
      </x:c>
      <x:c r="T49" s="10" t="n">
        <x:f>'店长明细'!$D1902</x:f>
        <x:v>12</x:v>
      </x:c>
      <x:c r="U49" s="10" t="n">
        <x:f>'店长明细'!$E2134</x:f>
        <x:v>417</x:v>
      </x:c>
      <x:c r="V49" s="10" t="n">
        <x:f>'店长明细'!$D2134</x:f>
        <x:v>216</x:v>
      </x:c>
      <x:c r="W49" s="11" t="n">
        <x:f>'店长明细'!$F46</x:f>
        <x:v>1493.37</x:v>
      </x:c>
      <x:c r="X49" s="11" t="n">
        <x:f>'店长明细'!$F278</x:f>
        <x:v>17370.07</x:v>
      </x:c>
      <x:c r="Y49" s="11" t="n">
        <x:f>'店长明细'!$F510</x:f>
        <x:v>12098.1</x:v>
      </x:c>
      <x:c r="Z49" s="11" t="n">
        <x:f>'店长明细'!$F742</x:f>
        <x:v>15719.51</x:v>
      </x:c>
      <x:c r="AA49" s="11" t="n">
        <x:f>'店长明细'!$F974</x:f>
        <x:v>51.75</x:v>
      </x:c>
      <x:c r="AB49" s="11" t="n">
        <x:f>'店长明细'!$F1206</x:f>
        <x:v>1336.22</x:v>
      </x:c>
      <x:c r="AC49" s="11" t="n">
        <x:f>'店长明细'!$F1438</x:f>
        <x:v>7224.64</x:v>
      </x:c>
      <x:c r="AD49" s="11" t="n">
        <x:f>'店长明细'!$F1670</x:f>
        <x:v>828.14</x:v>
      </x:c>
      <x:c r="AE49" s="11" t="n">
        <x:f>'店长明细'!$F1902</x:f>
        <x:v>276.63</x:v>
      </x:c>
      <x:c r="AF49" s="11" t="n">
        <x:f>'店长明细'!$F2134</x:f>
        <x:v>5068.28</x:v>
      </x:c>
    </x:row>
    <x:row r="50">
      <x:c r="A50" t="str">
        <x:f>TEXT($B50,"mm-dd")</x:f>
        <x:v>02-15</x:v>
      </x:c>
      <x:c r="B50" s="9" t="n">
        <x:f>'店长明细'!$C47</x:f>
        <x:v>46068</x:v>
      </x:c>
      <x:c r="C50" s="10" t="n">
        <x:f>'店长明细'!$E47</x:f>
        <x:v>153</x:v>
      </x:c>
      <x:c r="D50" s="10" t="n">
        <x:f>'店长明细'!$D47</x:f>
        <x:v>77</x:v>
      </x:c>
      <x:c r="E50" s="10" t="n">
        <x:f>'店长明细'!$E279</x:f>
        <x:v>1935</x:v>
      </x:c>
      <x:c r="F50" s="10" t="n">
        <x:f>'店长明细'!$D279</x:f>
        <x:v>1299</x:v>
      </x:c>
      <x:c r="G50" s="10" t="n">
        <x:f>'店长明细'!$E511</x:f>
        <x:v>1685</x:v>
      </x:c>
      <x:c r="H50" s="10" t="n">
        <x:f>'店长明细'!$D511</x:f>
        <x:v>772</x:v>
      </x:c>
      <x:c r="I50" s="10" t="n">
        <x:f>'店长明细'!$E743</x:f>
        <x:v>1232</x:v>
      </x:c>
      <x:c r="J50" s="10" t="n">
        <x:f>'店长明细'!$D743</x:f>
        <x:v>821</x:v>
      </x:c>
      <x:c r="K50" s="10" t="n">
        <x:f>'店长明细'!$E975</x:f>
        <x:v>0</x:v>
      </x:c>
      <x:c r="L50" s="10" t="n">
        <x:f>'店长明细'!$D975</x:f>
        <x:v>0</x:v>
      </x:c>
      <x:c r="M50" s="10" t="n">
        <x:f>'店长明细'!$E1207</x:f>
        <x:v>86</x:v>
      </x:c>
      <x:c r="N50" s="10" t="n">
        <x:f>'店长明细'!$D1207</x:f>
        <x:v>74</x:v>
      </x:c>
      <x:c r="O50" s="10" t="n">
        <x:f>'店长明细'!$E1439</x:f>
        <x:v>935</x:v>
      </x:c>
      <x:c r="P50" s="10" t="n">
        <x:f>'店长明细'!$D1439</x:f>
        <x:v>722</x:v>
      </x:c>
      <x:c r="Q50" s="10" t="n">
        <x:f>'店长明细'!$E1671</x:f>
        <x:v>33</x:v>
      </x:c>
      <x:c r="R50" s="10" t="n">
        <x:f>'店长明细'!$D1671</x:f>
        <x:v>27</x:v>
      </x:c>
      <x:c r="S50" s="10" t="n">
        <x:f>'店长明细'!$E1903</x:f>
        <x:v>8</x:v>
      </x:c>
      <x:c r="T50" s="10" t="n">
        <x:f>'店长明细'!$D1903</x:f>
        <x:v>5</x:v>
      </x:c>
      <x:c r="U50" s="10" t="n">
        <x:f>'店长明细'!$E2135</x:f>
        <x:v>209</x:v>
      </x:c>
      <x:c r="V50" s="10" t="n">
        <x:f>'店长明细'!$D2135</x:f>
        <x:v>110</x:v>
      </x:c>
      <x:c r="W50" s="11" t="n">
        <x:f>'店长明细'!$F47</x:f>
        <x:v>1349.65</x:v>
      </x:c>
      <x:c r="X50" s="11" t="n">
        <x:f>'店长明细'!$F279</x:f>
        <x:v>17950.42</x:v>
      </x:c>
      <x:c r="Y50" s="11" t="n">
        <x:f>'店长明细'!$F511</x:f>
        <x:v>10580.98</x:v>
      </x:c>
      <x:c r="Z50" s="11" t="n">
        <x:f>'店长明细'!$F743</x:f>
        <x:v>13537.28</x:v>
      </x:c>
      <x:c r="AA50" s="11" t="n">
        <x:f>'店长明细'!$F975</x:f>
        <x:v>0</x:v>
      </x:c>
      <x:c r="AB50" s="11" t="n">
        <x:f>'店长明细'!$F1207</x:f>
        <x:v>1251.99</x:v>
      </x:c>
      <x:c r="AC50" s="11" t="n">
        <x:f>'店长明细'!$F1439</x:f>
        <x:v>6539.2</x:v>
      </x:c>
      <x:c r="AD50" s="11" t="n">
        <x:f>'店长明细'!$F1671</x:f>
        <x:v>816.75</x:v>
      </x:c>
      <x:c r="AE50" s="11" t="n">
        <x:f>'店长明细'!$F1903</x:f>
        <x:v>205.26</x:v>
      </x:c>
      <x:c r="AF50" s="11" t="n">
        <x:f>'店长明细'!$F2135</x:f>
        <x:v>2447.87</x:v>
      </x:c>
    </x:row>
    <x:row r="51">
      <x:c r="A51" t="str">
        <x:f>TEXT($B51,"mm-dd")</x:f>
        <x:v>02-16</x:v>
      </x:c>
      <x:c r="B51" s="9" t="n">
        <x:f>'店长明细'!$C48</x:f>
        <x:v>46069</x:v>
      </x:c>
      <x:c r="C51" s="10" t="n">
        <x:f>'店长明细'!$E48</x:f>
        <x:v>135</x:v>
      </x:c>
      <x:c r="D51" s="10" t="n">
        <x:f>'店长明细'!$D48</x:f>
        <x:v>81</x:v>
      </x:c>
      <x:c r="E51" s="10" t="n">
        <x:f>'店长明细'!$E280</x:f>
        <x:v>2017</x:v>
      </x:c>
      <x:c r="F51" s="10" t="n">
        <x:f>'店长明细'!$D280</x:f>
        <x:v>1340</x:v>
      </x:c>
      <x:c r="G51" s="10" t="n">
        <x:f>'店长明细'!$E512</x:f>
        <x:v>1954</x:v>
      </x:c>
      <x:c r="H51" s="10" t="n">
        <x:f>'店长明细'!$D512</x:f>
        <x:v>901</x:v>
      </x:c>
      <x:c r="I51" s="10" t="n">
        <x:f>'店长明细'!$E744</x:f>
        <x:v>1218</x:v>
      </x:c>
      <x:c r="J51" s="10" t="n">
        <x:f>'店长明细'!$D744</x:f>
        <x:v>822</x:v>
      </x:c>
      <x:c r="K51" s="10" t="n">
        <x:f>'店长明细'!$E976</x:f>
        <x:v>1</x:v>
      </x:c>
      <x:c r="L51" s="10" t="n">
        <x:f>'店长明细'!$D976</x:f>
        <x:v>1</x:v>
      </x:c>
      <x:c r="M51" s="10" t="n">
        <x:f>'店长明细'!$E1208</x:f>
        <x:v>107</x:v>
      </x:c>
      <x:c r="N51" s="10" t="n">
        <x:f>'店长明细'!$D1208</x:f>
        <x:v>82</x:v>
      </x:c>
      <x:c r="O51" s="10" t="n">
        <x:f>'店长明细'!$E1440</x:f>
        <x:v>1048</x:v>
      </x:c>
      <x:c r="P51" s="10" t="n">
        <x:f>'店长明细'!$D1440</x:f>
        <x:v>798</x:v>
      </x:c>
      <x:c r="Q51" s="10" t="n">
        <x:f>'店长明细'!$E1672</x:f>
        <x:v>13</x:v>
      </x:c>
      <x:c r="R51" s="10" t="n">
        <x:f>'店长明细'!$D1672</x:f>
        <x:v>11</x:v>
      </x:c>
      <x:c r="S51" s="10" t="n">
        <x:f>'店长明细'!$E1904</x:f>
        <x:v>14</x:v>
      </x:c>
      <x:c r="T51" s="10" t="n">
        <x:f>'店长明细'!$D1904</x:f>
        <x:v>11</x:v>
      </x:c>
      <x:c r="U51" s="10" t="n">
        <x:f>'店长明细'!$E2136</x:f>
        <x:v>275</x:v>
      </x:c>
      <x:c r="V51" s="10" t="n">
        <x:f>'店长明细'!$D2136</x:f>
        <x:v>141</x:v>
      </x:c>
      <x:c r="W51" s="11" t="n">
        <x:f>'店长明细'!$F48</x:f>
        <x:v>1211.46</x:v>
      </x:c>
      <x:c r="X51" s="11" t="n">
        <x:f>'店长明细'!$F280</x:f>
        <x:v>18606.77</x:v>
      </x:c>
      <x:c r="Y51" s="11" t="n">
        <x:f>'店长明细'!$F512</x:f>
        <x:v>13513.49</x:v>
      </x:c>
      <x:c r="Z51" s="11" t="n">
        <x:f>'店长明细'!$F744</x:f>
        <x:v>13400.25</x:v>
      </x:c>
      <x:c r="AA51" s="11" t="n">
        <x:f>'店长明细'!$F976</x:f>
        <x:v>9.95</x:v>
      </x:c>
      <x:c r="AB51" s="11" t="n">
        <x:f>'店长明细'!$F1208</x:f>
        <x:v>1452.72</x:v>
      </x:c>
      <x:c r="AC51" s="11" t="n">
        <x:f>'店长明细'!$F1440</x:f>
        <x:v>8490.4</x:v>
      </x:c>
      <x:c r="AD51" s="11" t="n">
        <x:f>'店长明细'!$F1672</x:f>
        <x:v>327.77</x:v>
      </x:c>
      <x:c r="AE51" s="11" t="n">
        <x:f>'店长明细'!$F1904</x:f>
        <x:v>366.45</x:v>
      </x:c>
      <x:c r="AF51" s="11" t="n">
        <x:f>'店长明细'!$F2136</x:f>
        <x:v>3435.62</x:v>
      </x:c>
    </x:row>
    <x:row r="52">
      <x:c r="A52" t="str">
        <x:f>TEXT($B52,"mm-dd")</x:f>
        <x:v>02-17</x:v>
      </x:c>
      <x:c r="B52" s="9" t="n">
        <x:f>'店长明细'!$C49</x:f>
        <x:v>46070</x:v>
      </x:c>
      <x:c r="C52" s="10" t="n">
        <x:f>'店长明细'!$E49</x:f>
        <x:v>125</x:v>
      </x:c>
      <x:c r="D52" s="10" t="n">
        <x:f>'店长明细'!$D49</x:f>
        <x:v>73</x:v>
      </x:c>
      <x:c r="E52" s="10" t="n">
        <x:f>'店长明细'!$E281</x:f>
        <x:v>2317</x:v>
      </x:c>
      <x:c r="F52" s="10" t="n">
        <x:f>'店长明细'!$D281</x:f>
        <x:v>1502</x:v>
      </x:c>
      <x:c r="G52" s="10" t="n">
        <x:f>'店长明细'!$E513</x:f>
        <x:v>1534</x:v>
      </x:c>
      <x:c r="H52" s="10" t="n">
        <x:f>'店长明细'!$D513</x:f>
        <x:v>739</x:v>
      </x:c>
      <x:c r="I52" s="10" t="n">
        <x:f>'店长明细'!$E745</x:f>
        <x:v>619</x:v>
      </x:c>
      <x:c r="J52" s="10" t="n">
        <x:f>'店长明细'!$D745</x:f>
        <x:v>426</x:v>
      </x:c>
      <x:c r="K52" s="10" t="n">
        <x:f>'店长明细'!$E977</x:f>
        <x:v>1</x:v>
      </x:c>
      <x:c r="L52" s="10" t="n">
        <x:f>'店长明细'!$D977</x:f>
        <x:v>1</x:v>
      </x:c>
      <x:c r="M52" s="10" t="n">
        <x:f>'店长明细'!$E1209</x:f>
        <x:v>55</x:v>
      </x:c>
      <x:c r="N52" s="10" t="n">
        <x:f>'店长明细'!$D1209</x:f>
        <x:v>48</x:v>
      </x:c>
      <x:c r="O52" s="10" t="n">
        <x:f>'店长明细'!$E1441</x:f>
        <x:v>894</x:v>
      </x:c>
      <x:c r="P52" s="10" t="n">
        <x:f>'店长明细'!$D1441</x:f>
        <x:v>699</x:v>
      </x:c>
      <x:c r="Q52" s="10" t="n">
        <x:f>'店长明细'!$E1673</x:f>
        <x:v>37</x:v>
      </x:c>
      <x:c r="R52" s="10" t="n">
        <x:f>'店长明细'!$D1673</x:f>
        <x:v>28</x:v>
      </x:c>
      <x:c r="S52" s="10" t="n">
        <x:f>'店长明细'!$E1905</x:f>
        <x:v>24</x:v>
      </x:c>
      <x:c r="T52" s="10" t="n">
        <x:f>'店长明细'!$D1905</x:f>
        <x:v>19</x:v>
      </x:c>
      <x:c r="U52" s="10" t="n">
        <x:f>'店长明细'!$E2137</x:f>
        <x:v>215</x:v>
      </x:c>
      <x:c r="V52" s="10" t="n">
        <x:f>'店长明细'!$D2137</x:f>
        <x:v>114</x:v>
      </x:c>
      <x:c r="W52" s="11" t="n">
        <x:f>'店长明细'!$F49</x:f>
        <x:v>1062.65</x:v>
      </x:c>
      <x:c r="X52" s="11" t="n">
        <x:f>'店长明细'!$F281</x:f>
        <x:v>21044.58</x:v>
      </x:c>
      <x:c r="Y52" s="11" t="n">
        <x:f>'店长明细'!$F513</x:f>
        <x:v>10657.37</x:v>
      </x:c>
      <x:c r="Z52" s="11" t="n">
        <x:f>'店长明细'!$F745</x:f>
        <x:v>6489.93</x:v>
      </x:c>
      <x:c r="AA52" s="11" t="n">
        <x:f>'店长明细'!$F977</x:f>
        <x:v>12.28</x:v>
      </x:c>
      <x:c r="AB52" s="11" t="n">
        <x:f>'店长明细'!$F1209</x:f>
        <x:v>708.98</x:v>
      </x:c>
      <x:c r="AC52" s="11" t="n">
        <x:f>'店长明细'!$F1441</x:f>
        <x:v>6024.88</x:v>
      </x:c>
      <x:c r="AD52" s="11" t="n">
        <x:f>'店长明细'!$F1673</x:f>
        <x:v>1083.59</x:v>
      </x:c>
      <x:c r="AE52" s="11" t="n">
        <x:f>'店长明细'!$F1905</x:f>
        <x:v>649.46</x:v>
      </x:c>
      <x:c r="AF52" s="11" t="n">
        <x:f>'店长明细'!$F2137</x:f>
        <x:v>2589.18</x:v>
      </x:c>
    </x:row>
    <x:row r="53">
      <x:c r="A53" t="str">
        <x:f>TEXT($B53,"mm-dd")</x:f>
        <x:v>02-18</x:v>
      </x:c>
      <x:c r="B53" s="9" t="n">
        <x:f>'店长明细'!$C50</x:f>
        <x:v>46071</x:v>
      </x:c>
      <x:c r="C53" s="10" t="n">
        <x:f>'店长明细'!$E50</x:f>
        <x:v>149</x:v>
      </x:c>
      <x:c r="D53" s="10" t="n">
        <x:f>'店长明细'!$D50</x:f>
        <x:v>82</x:v>
      </x:c>
      <x:c r="E53" s="10" t="n">
        <x:f>'店长明细'!$E282</x:f>
        <x:v>2161</x:v>
      </x:c>
      <x:c r="F53" s="10" t="n">
        <x:f>'店长明细'!$D282</x:f>
        <x:v>1405</x:v>
      </x:c>
      <x:c r="G53" s="10" t="n">
        <x:f>'店长明细'!$E514</x:f>
        <x:v>1818</x:v>
      </x:c>
      <x:c r="H53" s="10" t="n">
        <x:f>'店长明细'!$D514</x:f>
        <x:v>813</x:v>
      </x:c>
      <x:c r="I53" s="10" t="n">
        <x:f>'店长明细'!$E746</x:f>
        <x:v>1279</x:v>
      </x:c>
      <x:c r="J53" s="10" t="n">
        <x:f>'店长明细'!$D746</x:f>
        <x:v>872</x:v>
      </x:c>
      <x:c r="K53" s="10" t="n">
        <x:f>'店长明细'!$E978</x:f>
        <x:v>0</x:v>
      </x:c>
      <x:c r="L53" s="10" t="n">
        <x:f>'店长明细'!$D978</x:f>
        <x:v>0</x:v>
      </x:c>
      <x:c r="M53" s="10" t="n">
        <x:f>'店长明细'!$E1210</x:f>
        <x:v>59</x:v>
      </x:c>
      <x:c r="N53" s="10" t="n">
        <x:f>'店长明细'!$D1210</x:f>
        <x:v>37</x:v>
      </x:c>
      <x:c r="O53" s="10" t="n">
        <x:f>'店长明细'!$E1442</x:f>
        <x:v>1077</x:v>
      </x:c>
      <x:c r="P53" s="10" t="n">
        <x:f>'店长明细'!$D1442</x:f>
        <x:v>856</x:v>
      </x:c>
      <x:c r="Q53" s="10" t="n">
        <x:f>'店长明细'!$E1674</x:f>
        <x:v>9</x:v>
      </x:c>
      <x:c r="R53" s="10" t="n">
        <x:f>'店长明细'!$D1674</x:f>
        <x:v>8</x:v>
      </x:c>
      <x:c r="S53" s="10" t="n">
        <x:f>'店长明细'!$E1906</x:f>
        <x:v>19</x:v>
      </x:c>
      <x:c r="T53" s="10" t="n">
        <x:f>'店长明细'!$D1906</x:f>
        <x:v>16</x:v>
      </x:c>
      <x:c r="U53" s="10" t="n">
        <x:f>'店长明细'!$E2138</x:f>
        <x:v>494</x:v>
      </x:c>
      <x:c r="V53" s="10" t="n">
        <x:f>'店长明细'!$D2138</x:f>
        <x:v>230</x:v>
      </x:c>
      <x:c r="W53" s="11" t="n">
        <x:f>'店长明细'!$F50</x:f>
        <x:v>1114.04</x:v>
      </x:c>
      <x:c r="X53" s="11" t="n">
        <x:f>'店长明细'!$F282</x:f>
        <x:v>19522.54</x:v>
      </x:c>
      <x:c r="Y53" s="11" t="n">
        <x:f>'店长明细'!$F514</x:f>
        <x:v>12666.96</x:v>
      </x:c>
      <x:c r="Z53" s="11" t="n">
        <x:f>'店长明细'!$F746</x:f>
        <x:v>14124.54</x:v>
      </x:c>
      <x:c r="AA53" s="11" t="n">
        <x:f>'店长明细'!$F978</x:f>
        <x:v>0</x:v>
      </x:c>
      <x:c r="AB53" s="11" t="n">
        <x:f>'店长明细'!$F1210</x:f>
        <x:v>737.3</x:v>
      </x:c>
      <x:c r="AC53" s="11" t="n">
        <x:f>'店长明细'!$F1442</x:f>
        <x:v>7884.05</x:v>
      </x:c>
      <x:c r="AD53" s="11" t="n">
        <x:f>'店长明细'!$F1674</x:f>
        <x:v>269.23</x:v>
      </x:c>
      <x:c r="AE53" s="11" t="n">
        <x:f>'店长明细'!$F1906</x:f>
        <x:v>544.63</x:v>
      </x:c>
      <x:c r="AF53" s="11" t="n">
        <x:f>'店长明细'!$F2138</x:f>
        <x:v>5734.72</x:v>
      </x:c>
    </x:row>
    <x:row r="54">
      <x:c r="A54" t="str">
        <x:f>TEXT($B54,"mm-dd")</x:f>
        <x:v>02-19</x:v>
      </x:c>
      <x:c r="B54" s="9" t="n">
        <x:f>'店长明细'!$C51</x:f>
        <x:v>46072</x:v>
      </x:c>
      <x:c r="C54" s="10" t="n">
        <x:f>'店长明细'!$E51</x:f>
        <x:v>121</x:v>
      </x:c>
      <x:c r="D54" s="10" t="n">
        <x:f>'店长明细'!$D51</x:f>
        <x:v>76</x:v>
      </x:c>
      <x:c r="E54" s="10" t="n">
        <x:f>'店长明细'!$E283</x:f>
        <x:v>1975</x:v>
      </x:c>
      <x:c r="F54" s="10" t="n">
        <x:f>'店长明细'!$D283</x:f>
        <x:v>1353</x:v>
      </x:c>
      <x:c r="G54" s="10" t="n">
        <x:f>'店长明细'!$E515</x:f>
        <x:v>1742</x:v>
      </x:c>
      <x:c r="H54" s="10" t="n">
        <x:f>'店长明细'!$D515</x:f>
        <x:v>800</x:v>
      </x:c>
      <x:c r="I54" s="10" t="n">
        <x:f>'店长明细'!$E747</x:f>
        <x:v>661</x:v>
      </x:c>
      <x:c r="J54" s="10" t="n">
        <x:f>'店长明细'!$D747</x:f>
        <x:v>428</x:v>
      </x:c>
      <x:c r="K54" s="10" t="n">
        <x:f>'店长明细'!$E979</x:f>
        <x:v>0</x:v>
      </x:c>
      <x:c r="L54" s="10" t="n">
        <x:f>'店长明细'!$D979</x:f>
        <x:v>0</x:v>
      </x:c>
      <x:c r="M54" s="10" t="n">
        <x:f>'店长明细'!$E1211</x:f>
        <x:v>22</x:v>
      </x:c>
      <x:c r="N54" s="10" t="n">
        <x:f>'店长明细'!$D1211</x:f>
        <x:v>20</x:v>
      </x:c>
      <x:c r="O54" s="10" t="n">
        <x:f>'店长明细'!$E1443</x:f>
        <x:v>1111</x:v>
      </x:c>
      <x:c r="P54" s="10" t="n">
        <x:f>'店长明细'!$D1443</x:f>
        <x:v>912</x:v>
      </x:c>
      <x:c r="Q54" s="10" t="n">
        <x:f>'店长明细'!$E1675</x:f>
        <x:v>18</x:v>
      </x:c>
      <x:c r="R54" s="10" t="n">
        <x:f>'店长明细'!$D1675</x:f>
        <x:v>15</x:v>
      </x:c>
      <x:c r="S54" s="10" t="n">
        <x:f>'店长明细'!$E1907</x:f>
        <x:v>25</x:v>
      </x:c>
      <x:c r="T54" s="10" t="n">
        <x:f>'店长明细'!$D1907</x:f>
        <x:v>16</x:v>
      </x:c>
      <x:c r="U54" s="10" t="n">
        <x:f>'店长明细'!$E2139</x:f>
        <x:v>271</x:v>
      </x:c>
      <x:c r="V54" s="10" t="n">
        <x:f>'店长明细'!$D2139</x:f>
        <x:v>153</x:v>
      </x:c>
      <x:c r="W54" s="11" t="n">
        <x:f>'店长明细'!$F51</x:f>
        <x:v>1105.73</x:v>
      </x:c>
      <x:c r="X54" s="11" t="n">
        <x:f>'店长明细'!$F283</x:f>
        <x:v>17859.31</x:v>
      </x:c>
      <x:c r="Y54" s="11" t="n">
        <x:f>'店长明细'!$F515</x:f>
        <x:v>11855.67</x:v>
      </x:c>
      <x:c r="Z54" s="11" t="n">
        <x:f>'店长明细'!$F747</x:f>
        <x:v>7717.15</x:v>
      </x:c>
      <x:c r="AA54" s="11" t="n">
        <x:f>'店长明细'!$F979</x:f>
        <x:v>0</x:v>
      </x:c>
      <x:c r="AB54" s="11" t="n">
        <x:f>'店长明细'!$F1211</x:f>
        <x:v>290.95</x:v>
      </x:c>
      <x:c r="AC54" s="11" t="n">
        <x:f>'店长明细'!$F1443</x:f>
        <x:v>8709.91</x:v>
      </x:c>
      <x:c r="AD54" s="11" t="n">
        <x:f>'店长明细'!$F1675</x:f>
        <x:v>509.88</x:v>
      </x:c>
      <x:c r="AE54" s="11" t="n">
        <x:f>'店长明细'!$F1907</x:f>
        <x:v>786.99</x:v>
      </x:c>
      <x:c r="AF54" s="11" t="n">
        <x:f>'店长明细'!$F2139</x:f>
        <x:v>3420.86</x:v>
      </x:c>
    </x:row>
    <x:row r="55">
      <x:c r="A55" t="str">
        <x:f>TEXT($B55,"mm-dd")</x:f>
        <x:v>02-20</x:v>
      </x:c>
      <x:c r="B55" s="9" t="n">
        <x:f>'店长明细'!$C52</x:f>
        <x:v>46073</x:v>
      </x:c>
      <x:c r="C55" s="10" t="n">
        <x:f>'店长明细'!$E52</x:f>
        <x:v>109</x:v>
      </x:c>
      <x:c r="D55" s="10" t="n">
        <x:f>'店长明细'!$D52</x:f>
        <x:v>69</x:v>
      </x:c>
      <x:c r="E55" s="10" t="n">
        <x:f>'店长明细'!$E284</x:f>
        <x:v>1893</x:v>
      </x:c>
      <x:c r="F55" s="10" t="n">
        <x:f>'店长明细'!$D284</x:f>
        <x:v>1114</x:v>
      </x:c>
      <x:c r="G55" s="10" t="n">
        <x:f>'店长明细'!$E516</x:f>
        <x:v>1466</x:v>
      </x:c>
      <x:c r="H55" s="10" t="n">
        <x:f>'店长明细'!$D516</x:f>
        <x:v>687</x:v>
      </x:c>
      <x:c r="I55" s="10" t="n">
        <x:f>'店长明细'!$E748</x:f>
        <x:v>562</x:v>
      </x:c>
      <x:c r="J55" s="10" t="n">
        <x:f>'店长明细'!$D748</x:f>
        <x:v>386</x:v>
      </x:c>
      <x:c r="K55" s="10" t="n">
        <x:f>'店长明细'!$E980</x:f>
        <x:v>2</x:v>
      </x:c>
      <x:c r="L55" s="10" t="n">
        <x:f>'店长明细'!$D980</x:f>
        <x:v>2</x:v>
      </x:c>
      <x:c r="M55" s="10" t="n">
        <x:f>'店长明细'!$E1212</x:f>
        <x:v>39</x:v>
      </x:c>
      <x:c r="N55" s="10" t="n">
        <x:f>'店长明细'!$D1212</x:f>
        <x:v>29</x:v>
      </x:c>
      <x:c r="O55" s="10" t="n">
        <x:f>'店长明细'!$E1444</x:f>
        <x:v>834</x:v>
      </x:c>
      <x:c r="P55" s="10" t="n">
        <x:f>'店长明细'!$D1444</x:f>
        <x:v>696</x:v>
      </x:c>
      <x:c r="Q55" s="10" t="n">
        <x:f>'店长明细'!$E1676</x:f>
        <x:v>16</x:v>
      </x:c>
      <x:c r="R55" s="10" t="n">
        <x:f>'店长明细'!$D1676</x:f>
        <x:v>14</x:v>
      </x:c>
      <x:c r="S55" s="10" t="n">
        <x:f>'店长明细'!$E1908</x:f>
        <x:v>13</x:v>
      </x:c>
      <x:c r="T55" s="10" t="n">
        <x:f>'店长明细'!$D1908</x:f>
        <x:v>8</x:v>
      </x:c>
      <x:c r="U55" s="10" t="n">
        <x:f>'店长明细'!$E2140</x:f>
        <x:v>349</x:v>
      </x:c>
      <x:c r="V55" s="10" t="n">
        <x:f>'店长明细'!$D2140</x:f>
        <x:v>194</x:v>
      </x:c>
      <x:c r="W55" s="11" t="n">
        <x:f>'店长明细'!$F52</x:f>
        <x:v>1114.51</x:v>
      </x:c>
      <x:c r="X55" s="11" t="n">
        <x:f>'店长明细'!$F284</x:f>
        <x:v>15255.34</x:v>
      </x:c>
      <x:c r="Y55" s="11" t="n">
        <x:f>'店长明细'!$F516</x:f>
        <x:v>10745.6</x:v>
      </x:c>
      <x:c r="Z55" s="11" t="n">
        <x:f>'店长明细'!$F748</x:f>
        <x:v>6100.03</x:v>
      </x:c>
      <x:c r="AA55" s="11" t="n">
        <x:f>'店长明细'!$F980</x:f>
        <x:v>20.79</x:v>
      </x:c>
      <x:c r="AB55" s="11" t="n">
        <x:f>'店长明细'!$F1212</x:f>
        <x:v>625.2</x:v>
      </x:c>
      <x:c r="AC55" s="11" t="n">
        <x:f>'店长明细'!$F1444</x:f>
        <x:v>6354</x:v>
      </x:c>
      <x:c r="AD55" s="11" t="n">
        <x:f>'店长明细'!$F1676</x:f>
        <x:v>403.57</x:v>
      </x:c>
      <x:c r="AE55" s="11" t="n">
        <x:f>'店长明细'!$F1908</x:f>
        <x:v>388.61</x:v>
      </x:c>
      <x:c r="AF55" s="11" t="n">
        <x:f>'店长明细'!$F2140</x:f>
        <x:v>4621.76</x:v>
      </x:c>
    </x:row>
    <x:row r="56">
      <x:c r="A56" t="str">
        <x:f>TEXT($B56,"mm-dd")</x:f>
        <x:v>02-21</x:v>
      </x:c>
      <x:c r="B56" s="9" t="n">
        <x:f>'店长明细'!$C53</x:f>
        <x:v>46074</x:v>
      </x:c>
      <x:c r="C56" s="10" t="n">
        <x:f>'店长明细'!$E53</x:f>
        <x:v>148</x:v>
      </x:c>
      <x:c r="D56" s="10" t="n">
        <x:f>'店长明细'!$D53</x:f>
        <x:v>75</x:v>
      </x:c>
      <x:c r="E56" s="10" t="n">
        <x:f>'店长明细'!$E285</x:f>
        <x:v>2018</x:v>
      </x:c>
      <x:c r="F56" s="10" t="n">
        <x:f>'店长明细'!$D285</x:f>
        <x:v>1187</x:v>
      </x:c>
      <x:c r="G56" s="10" t="n">
        <x:f>'店长明细'!$E517</x:f>
        <x:v>1911</x:v>
      </x:c>
      <x:c r="H56" s="10" t="n">
        <x:f>'店长明细'!$D517</x:f>
        <x:v>902</x:v>
      </x:c>
      <x:c r="I56" s="10" t="n">
        <x:f>'店长明细'!$E749</x:f>
        <x:v>1215</x:v>
      </x:c>
      <x:c r="J56" s="10" t="n">
        <x:f>'店长明细'!$D749</x:f>
        <x:v>950</x:v>
      </x:c>
      <x:c r="K56" s="10" t="n">
        <x:f>'店长明细'!$E981</x:f>
        <x:v>0</x:v>
      </x:c>
      <x:c r="L56" s="10" t="n">
        <x:f>'店长明细'!$D981</x:f>
        <x:v>0</x:v>
      </x:c>
      <x:c r="M56" s="10" t="n">
        <x:f>'店长明细'!$E1213</x:f>
        <x:v>33</x:v>
      </x:c>
      <x:c r="N56" s="10" t="n">
        <x:f>'店长明细'!$D1213</x:f>
        <x:v>23</x:v>
      </x:c>
      <x:c r="O56" s="10" t="n">
        <x:f>'店长明细'!$E1445</x:f>
        <x:v>977</x:v>
      </x:c>
      <x:c r="P56" s="10" t="n">
        <x:f>'店长明细'!$D1445</x:f>
        <x:v>645</x:v>
      </x:c>
      <x:c r="Q56" s="10" t="n">
        <x:f>'店长明细'!$E1677</x:f>
        <x:v>298</x:v>
      </x:c>
      <x:c r="R56" s="10" t="n">
        <x:f>'店长明细'!$D1677</x:f>
        <x:v>154</x:v>
      </x:c>
      <x:c r="S56" s="10" t="n">
        <x:f>'店长明细'!$E1909</x:f>
        <x:v>15</x:v>
      </x:c>
      <x:c r="T56" s="10" t="n">
        <x:f>'店长明细'!$D1909</x:f>
        <x:v>13</x:v>
      </x:c>
      <x:c r="U56" s="10" t="n">
        <x:f>'店长明细'!$E2141</x:f>
        <x:v>218</x:v>
      </x:c>
      <x:c r="V56" s="10" t="n">
        <x:f>'店长明细'!$D2141</x:f>
        <x:v>115</x:v>
      </x:c>
      <x:c r="W56" s="11" t="n">
        <x:f>'店长明细'!$F53</x:f>
        <x:v>1200.56</x:v>
      </x:c>
      <x:c r="X56" s="11" t="n">
        <x:f>'店长明细'!$F285</x:f>
        <x:v>18775.47</x:v>
      </x:c>
      <x:c r="Y56" s="11" t="n">
        <x:f>'店长明细'!$F517</x:f>
        <x:v>13024.14</x:v>
      </x:c>
      <x:c r="Z56" s="11" t="n">
        <x:f>'店长明细'!$F749</x:f>
        <x:v>12613.45</x:v>
      </x:c>
      <x:c r="AA56" s="11" t="n">
        <x:f>'店长明细'!$F981</x:f>
        <x:v>0</x:v>
      </x:c>
      <x:c r="AB56" s="11" t="n">
        <x:f>'店长明细'!$F1213</x:f>
        <x:v>544.45</x:v>
      </x:c>
      <x:c r="AC56" s="11" t="n">
        <x:f>'店长明细'!$F1445</x:f>
        <x:v>6604.21</x:v>
      </x:c>
      <x:c r="AD56" s="11" t="n">
        <x:f>'店长明细'!$F1677</x:f>
        <x:v>2514.33</x:v>
      </x:c>
      <x:c r="AE56" s="11" t="n">
        <x:f>'店长明细'!$F1909</x:f>
        <x:v>337.46</x:v>
      </x:c>
      <x:c r="AF56" s="11" t="n">
        <x:f>'店长明细'!$F2141</x:f>
        <x:v>2724.67</x:v>
      </x:c>
    </x:row>
    <x:row r="57">
      <x:c r="A57" t="str">
        <x:f>TEXT($B57,"mm-dd")</x:f>
        <x:v>02-22</x:v>
      </x:c>
      <x:c r="B57" s="9" t="n">
        <x:f>'店长明细'!$C54</x:f>
        <x:v>46075</x:v>
      </x:c>
      <x:c r="C57" s="10" t="n">
        <x:f>'店长明细'!$E54</x:f>
        <x:v>88</x:v>
      </x:c>
      <x:c r="D57" s="10" t="n">
        <x:f>'店长明细'!$D54</x:f>
        <x:v>53</x:v>
      </x:c>
      <x:c r="E57" s="10" t="n">
        <x:f>'店长明细'!$E286</x:f>
        <x:v>2127</x:v>
      </x:c>
      <x:c r="F57" s="10" t="n">
        <x:f>'店长明细'!$D286</x:f>
        <x:v>1229</x:v>
      </x:c>
      <x:c r="G57" s="10" t="n">
        <x:f>'店长明细'!$E518</x:f>
        <x:v>1788</x:v>
      </x:c>
      <x:c r="H57" s="10" t="n">
        <x:f>'店长明细'!$D518</x:f>
        <x:v>812</x:v>
      </x:c>
      <x:c r="I57" s="10" t="n">
        <x:f>'店长明细'!$E750</x:f>
        <x:v>1192</x:v>
      </x:c>
      <x:c r="J57" s="10" t="n">
        <x:f>'店长明细'!$D750</x:f>
        <x:v>708</x:v>
      </x:c>
      <x:c r="K57" s="10" t="n">
        <x:f>'店长明细'!$E982</x:f>
        <x:v>4</x:v>
      </x:c>
      <x:c r="L57" s="10" t="n">
        <x:f>'店长明细'!$D982</x:f>
        <x:v>2</x:v>
      </x:c>
      <x:c r="M57" s="10" t="n">
        <x:f>'店长明细'!$E1214</x:f>
        <x:v>75</x:v>
      </x:c>
      <x:c r="N57" s="10" t="n">
        <x:f>'店长明细'!$D1214</x:f>
        <x:v>54</x:v>
      </x:c>
      <x:c r="O57" s="10" t="n">
        <x:f>'店长明细'!$E1446</x:f>
        <x:v>775</x:v>
      </x:c>
      <x:c r="P57" s="10" t="n">
        <x:f>'店长明细'!$D1446</x:f>
        <x:v>612</x:v>
      </x:c>
      <x:c r="Q57" s="10" t="n">
        <x:f>'店长明细'!$E1678</x:f>
        <x:v>123</x:v>
      </x:c>
      <x:c r="R57" s="10" t="n">
        <x:f>'店长明细'!$D1678</x:f>
        <x:v>58</x:v>
      </x:c>
      <x:c r="S57" s="10" t="n">
        <x:f>'店长明细'!$E1910</x:f>
        <x:v>15</x:v>
      </x:c>
      <x:c r="T57" s="10" t="n">
        <x:f>'店长明细'!$D1910</x:f>
        <x:v>11</x:v>
      </x:c>
      <x:c r="U57" s="10" t="n">
        <x:f>'店长明细'!$E2142</x:f>
        <x:v>301</x:v>
      </x:c>
      <x:c r="V57" s="10" t="n">
        <x:f>'店长明细'!$D2142</x:f>
        <x:v>165</x:v>
      </x:c>
      <x:c r="W57" s="11" t="n">
        <x:f>'店长明细'!$F54</x:f>
        <x:v>876.31</x:v>
      </x:c>
      <x:c r="X57" s="11" t="n">
        <x:f>'店长明细'!$F286</x:f>
        <x:v>19684.39</x:v>
      </x:c>
      <x:c r="Y57" s="11" t="n">
        <x:f>'店长明细'!$F518</x:f>
        <x:v>13414.55</x:v>
      </x:c>
      <x:c r="Z57" s="11" t="n">
        <x:f>'店长明细'!$F750</x:f>
        <x:v>11392.55</x:v>
      </x:c>
      <x:c r="AA57" s="11" t="n">
        <x:f>'店长明细'!$F982</x:f>
        <x:v>35.24</x:v>
      </x:c>
      <x:c r="AB57" s="11" t="n">
        <x:f>'店长明细'!$F1214</x:f>
        <x:v>957.06</x:v>
      </x:c>
      <x:c r="AC57" s="11" t="n">
        <x:f>'店长明细'!$F1446</x:f>
        <x:v>6477.77</x:v>
      </x:c>
      <x:c r="AD57" s="11" t="n">
        <x:f>'店长明细'!$F1678</x:f>
        <x:v>1594.78</x:v>
      </x:c>
      <x:c r="AE57" s="11" t="n">
        <x:f>'店长明细'!$F1910</x:f>
        <x:v>355.97</x:v>
      </x:c>
      <x:c r="AF57" s="11" t="n">
        <x:f>'店长明细'!$F2142</x:f>
        <x:v>3926.63</x:v>
      </x:c>
    </x:row>
    <x:row r="58">
      <x:c r="A58" t="str">
        <x:f>TEXT($B58,"mm-dd")</x:f>
        <x:v>02-23</x:v>
      </x:c>
      <x:c r="B58" s="9" t="n">
        <x:f>'店长明细'!$C55</x:f>
        <x:v>46076</x:v>
      </x:c>
      <x:c r="C58" s="10" t="n">
        <x:f>'店长明细'!$E55</x:f>
        <x:v>135</x:v>
      </x:c>
      <x:c r="D58" s="10" t="n">
        <x:f>'店长明细'!$D55</x:f>
        <x:v>70</x:v>
      </x:c>
      <x:c r="E58" s="10" t="n">
        <x:f>'店长明细'!$E287</x:f>
        <x:v>2188</x:v>
      </x:c>
      <x:c r="F58" s="10" t="n">
        <x:f>'店长明细'!$D287</x:f>
        <x:v>1412</x:v>
      </x:c>
      <x:c r="G58" s="10" t="n">
        <x:f>'店长明细'!$E519</x:f>
        <x:v>1934</x:v>
      </x:c>
      <x:c r="H58" s="10" t="n">
        <x:f>'店长明细'!$D519</x:f>
        <x:v>895</x:v>
      </x:c>
      <x:c r="I58" s="10" t="n">
        <x:f>'店长明细'!$E751</x:f>
        <x:v>1092</x:v>
      </x:c>
      <x:c r="J58" s="10" t="n">
        <x:f>'店长明细'!$D751</x:f>
        <x:v>683</x:v>
      </x:c>
      <x:c r="K58" s="10" t="n">
        <x:f>'店长明细'!$E983</x:f>
        <x:v>2</x:v>
      </x:c>
      <x:c r="L58" s="10" t="n">
        <x:f>'店长明细'!$D983</x:f>
        <x:v>1</x:v>
      </x:c>
      <x:c r="M58" s="10" t="n">
        <x:f>'店长明细'!$E1215</x:f>
        <x:v>54</x:v>
      </x:c>
      <x:c r="N58" s="10" t="n">
        <x:f>'店长明细'!$D1215</x:f>
        <x:v>38</x:v>
      </x:c>
      <x:c r="O58" s="10" t="n">
        <x:f>'店长明细'!$E1447</x:f>
        <x:v>830</x:v>
      </x:c>
      <x:c r="P58" s="10" t="n">
        <x:f>'店长明细'!$D1447</x:f>
        <x:v>648</x:v>
      </x:c>
      <x:c r="Q58" s="10" t="n">
        <x:f>'店长明细'!$E1679</x:f>
        <x:v>71</x:v>
      </x:c>
      <x:c r="R58" s="10" t="n">
        <x:f>'店长明细'!$D1679</x:f>
        <x:v>42</x:v>
      </x:c>
      <x:c r="S58" s="10" t="n">
        <x:f>'店长明细'!$E1911</x:f>
        <x:v>13</x:v>
      </x:c>
      <x:c r="T58" s="10" t="n">
        <x:f>'店长明细'!$D1911</x:f>
        <x:v>12</x:v>
      </x:c>
      <x:c r="U58" s="10" t="n">
        <x:f>'店长明细'!$E2143</x:f>
        <x:v>323</x:v>
      </x:c>
      <x:c r="V58" s="10" t="n">
        <x:f>'店长明细'!$D2143</x:f>
        <x:v>178</x:v>
      </x:c>
      <x:c r="W58" s="11" t="n">
        <x:f>'店长明细'!$F55</x:f>
        <x:v>1059.87</x:v>
      </x:c>
      <x:c r="X58" s="11" t="n">
        <x:f>'店长明细'!$F287</x:f>
        <x:v>20256.89</x:v>
      </x:c>
      <x:c r="Y58" s="11" t="n">
        <x:f>'店长明细'!$F519</x:f>
        <x:v>13678.28</x:v>
      </x:c>
      <x:c r="Z58" s="11" t="n">
        <x:f>'店长明细'!$F751</x:f>
        <x:v>10806.96</x:v>
      </x:c>
      <x:c r="AA58" s="11" t="n">
        <x:f>'店长明细'!$F983</x:f>
        <x:v>46.37</x:v>
      </x:c>
      <x:c r="AB58" s="11" t="n">
        <x:f>'店长明细'!$F1215</x:f>
        <x:v>642.73</x:v>
      </x:c>
      <x:c r="AC58" s="11" t="n">
        <x:f>'店长明细'!$F1447</x:f>
        <x:v>8140.06</x:v>
      </x:c>
      <x:c r="AD58" s="11" t="n">
        <x:f>'店长明细'!$F1679</x:f>
        <x:v>943.13</x:v>
      </x:c>
      <x:c r="AE58" s="11" t="n">
        <x:f>'店长明细'!$F1911</x:f>
        <x:v>504.69</x:v>
      </x:c>
      <x:c r="AF58" s="11" t="n">
        <x:f>'店长明细'!$F2143</x:f>
        <x:v>3520.11</x:v>
      </x:c>
    </x:row>
    <x:row r="59">
      <x:c r="A59" t="str">
        <x:f>TEXT($B59,"mm-dd")</x:f>
        <x:v>02-24</x:v>
      </x:c>
      <x:c r="B59" s="9" t="n">
        <x:f>'店长明细'!$C56</x:f>
        <x:v>46077</x:v>
      </x:c>
      <x:c r="C59" s="10" t="n">
        <x:f>'店长明细'!$E56</x:f>
        <x:v>107</x:v>
      </x:c>
      <x:c r="D59" s="10" t="n">
        <x:f>'店长明细'!$D56</x:f>
        <x:v>77</x:v>
      </x:c>
      <x:c r="E59" s="10" t="n">
        <x:f>'店长明细'!$E288</x:f>
        <x:v>2215</x:v>
      </x:c>
      <x:c r="F59" s="10" t="n">
        <x:f>'店长明细'!$D288</x:f>
        <x:v>1329</x:v>
      </x:c>
      <x:c r="G59" s="10" t="n">
        <x:f>'店长明细'!$E520</x:f>
        <x:v>1997</x:v>
      </x:c>
      <x:c r="H59" s="10" t="n">
        <x:f>'店长明细'!$D520</x:f>
        <x:v>935</x:v>
      </x:c>
      <x:c r="I59" s="10" t="n">
        <x:f>'店长明细'!$E752</x:f>
        <x:v>816</x:v>
      </x:c>
      <x:c r="J59" s="10" t="n">
        <x:f>'店长明细'!$D752</x:f>
        <x:v>558</x:v>
      </x:c>
      <x:c r="K59" s="10" t="n">
        <x:f>'店长明细'!$E984</x:f>
        <x:v>0</x:v>
      </x:c>
      <x:c r="L59" s="10" t="n">
        <x:f>'店长明细'!$D984</x:f>
        <x:v>0</x:v>
      </x:c>
      <x:c r="M59" s="10" t="n">
        <x:f>'店长明细'!$E1216</x:f>
        <x:v>42</x:v>
      </x:c>
      <x:c r="N59" s="10" t="n">
        <x:f>'店长明细'!$D1216</x:f>
        <x:v>38</x:v>
      </x:c>
      <x:c r="O59" s="10" t="n">
        <x:f>'店长明细'!$E1448</x:f>
        <x:v>754</x:v>
      </x:c>
      <x:c r="P59" s="10" t="n">
        <x:f>'店长明细'!$D1448</x:f>
        <x:v>603</x:v>
      </x:c>
      <x:c r="Q59" s="10" t="n">
        <x:f>'店长明细'!$E1680</x:f>
        <x:v>65</x:v>
      </x:c>
      <x:c r="R59" s="10" t="n">
        <x:f>'店长明细'!$D1680</x:f>
        <x:v>42</x:v>
      </x:c>
      <x:c r="S59" s="10" t="n">
        <x:f>'店长明细'!$E1912</x:f>
        <x:v>22</x:v>
      </x:c>
      <x:c r="T59" s="10" t="n">
        <x:f>'店长明细'!$D1912</x:f>
        <x:v>11</x:v>
      </x:c>
      <x:c r="U59" s="10" t="n">
        <x:f>'店长明细'!$E2144</x:f>
        <x:v>283</x:v>
      </x:c>
      <x:c r="V59" s="10" t="n">
        <x:f>'店长明细'!$D2144</x:f>
        <x:v>168</x:v>
      </x:c>
      <x:c r="W59" s="11" t="n">
        <x:f>'店长明细'!$F56</x:f>
        <x:v>1031.51</x:v>
      </x:c>
      <x:c r="X59" s="11" t="n">
        <x:f>'店长明细'!$F288</x:f>
        <x:v>21472.12</x:v>
      </x:c>
      <x:c r="Y59" s="11" t="n">
        <x:f>'店长明细'!$F520</x:f>
        <x:v>15008.09</x:v>
      </x:c>
      <x:c r="Z59" s="11" t="n">
        <x:f>'店长明细'!$F752</x:f>
        <x:v>8351.39</x:v>
      </x:c>
      <x:c r="AA59" s="11" t="n">
        <x:f>'店长明细'!$F984</x:f>
        <x:v>0</x:v>
      </x:c>
      <x:c r="AB59" s="11" t="n">
        <x:f>'店长明细'!$F1216</x:f>
        <x:v>595</x:v>
      </x:c>
      <x:c r="AC59" s="11" t="n">
        <x:f>'店长明细'!$F1448</x:f>
        <x:v>7991.06</x:v>
      </x:c>
      <x:c r="AD59" s="11" t="n">
        <x:f>'店长明细'!$F1680</x:f>
        <x:v>1238.57</x:v>
      </x:c>
      <x:c r="AE59" s="11" t="n">
        <x:f>'店长明细'!$F1912</x:f>
        <x:v>612.29</x:v>
      </x:c>
      <x:c r="AF59" s="11" t="n">
        <x:f>'店长明细'!$F2144</x:f>
        <x:v>3278.93</x:v>
      </x:c>
    </x:row>
    <x:row r="60">
      <x:c r="A60" t="str">
        <x:f>TEXT($B60,"mm-dd")</x:f>
        <x:v>02-25</x:v>
      </x:c>
      <x:c r="B60" s="9" t="n">
        <x:f>'店长明细'!$C57</x:f>
        <x:v>46078</x:v>
      </x:c>
      <x:c r="C60" s="10" t="n">
        <x:f>'店长明细'!$E57</x:f>
        <x:v>115</x:v>
      </x:c>
      <x:c r="D60" s="10" t="n">
        <x:f>'店长明细'!$D57</x:f>
        <x:v>70</x:v>
      </x:c>
      <x:c r="E60" s="10" t="n">
        <x:f>'店长明细'!$E289</x:f>
        <x:v>2023</x:v>
      </x:c>
      <x:c r="F60" s="10" t="n">
        <x:f>'店长明细'!$D289</x:f>
        <x:v>1358</x:v>
      </x:c>
      <x:c r="G60" s="10" t="n">
        <x:f>'店长明细'!$E521</x:f>
        <x:v>2481</x:v>
      </x:c>
      <x:c r="H60" s="10" t="n">
        <x:f>'店长明细'!$D521</x:f>
        <x:v>1197</x:v>
      </x:c>
      <x:c r="I60" s="10" t="n">
        <x:f>'店长明细'!$E753</x:f>
        <x:v>831</x:v>
      </x:c>
      <x:c r="J60" s="10" t="n">
        <x:f>'店长明细'!$D753</x:f>
        <x:v>531</x:v>
      </x:c>
      <x:c r="K60" s="10" t="n">
        <x:f>'店长明细'!$E985</x:f>
        <x:v>7</x:v>
      </x:c>
      <x:c r="L60" s="10" t="n">
        <x:f>'店长明细'!$D985</x:f>
        <x:v>4</x:v>
      </x:c>
      <x:c r="M60" s="10" t="n">
        <x:f>'店长明细'!$E1217</x:f>
        <x:v>49</x:v>
      </x:c>
      <x:c r="N60" s="10" t="n">
        <x:f>'店长明细'!$D1217</x:f>
        <x:v>38</x:v>
      </x:c>
      <x:c r="O60" s="10" t="n">
        <x:f>'店长明细'!$E1449</x:f>
        <x:v>945</x:v>
      </x:c>
      <x:c r="P60" s="10" t="n">
        <x:f>'店长明细'!$D1449</x:f>
        <x:v>672</x:v>
      </x:c>
      <x:c r="Q60" s="10" t="n">
        <x:f>'店长明细'!$E1681</x:f>
        <x:v>37</x:v>
      </x:c>
      <x:c r="R60" s="10" t="n">
        <x:f>'店长明细'!$D1681</x:f>
        <x:v>21</x:v>
      </x:c>
      <x:c r="S60" s="10" t="n">
        <x:f>'店长明细'!$E1913</x:f>
        <x:v>31</x:v>
      </x:c>
      <x:c r="T60" s="10" t="n">
        <x:f>'店长明细'!$D1913</x:f>
        <x:v>26</x:v>
      </x:c>
      <x:c r="U60" s="10" t="n">
        <x:f>'店长明细'!$E2145</x:f>
        <x:v>319</x:v>
      </x:c>
      <x:c r="V60" s="10" t="n">
        <x:f>'店长明细'!$D2145</x:f>
        <x:v>206</x:v>
      </x:c>
      <x:c r="W60" s="11" t="n">
        <x:f>'店长明细'!$F57</x:f>
        <x:v>1001.96</x:v>
      </x:c>
      <x:c r="X60" s="11" t="n">
        <x:f>'店长明细'!$F289</x:f>
        <x:v>18961.65</x:v>
      </x:c>
      <x:c r="Y60" s="11" t="n">
        <x:f>'店长明细'!$F521</x:f>
        <x:v>23479.59</x:v>
      </x:c>
      <x:c r="Z60" s="11" t="n">
        <x:f>'店长明细'!$F753</x:f>
        <x:v>8773.01</x:v>
      </x:c>
      <x:c r="AA60" s="11" t="n">
        <x:f>'店长明细'!$F985</x:f>
        <x:v>54.08</x:v>
      </x:c>
      <x:c r="AB60" s="11" t="n">
        <x:f>'店长明细'!$F1217</x:f>
        <x:v>615.12</x:v>
      </x:c>
      <x:c r="AC60" s="11" t="n">
        <x:f>'店长明细'!$F1449</x:f>
        <x:v>10419.02</x:v>
      </x:c>
      <x:c r="AD60" s="11" t="n">
        <x:f>'店长明细'!$F1681</x:f>
        <x:v>564.49</x:v>
      </x:c>
      <x:c r="AE60" s="11" t="n">
        <x:f>'店长明细'!$F1913</x:f>
        <x:v>1384.16</x:v>
      </x:c>
      <x:c r="AF60" s="11" t="n">
        <x:f>'店长明细'!$F2145</x:f>
        <x:v>3164.79</x:v>
      </x:c>
    </x:row>
    <x:row r="61">
      <x:c r="A61" t="str">
        <x:f>TEXT($B61,"mm-dd")</x:f>
        <x:v>02-26</x:v>
      </x:c>
      <x:c r="B61" s="9" t="n">
        <x:f>'店长明细'!$C58</x:f>
        <x:v>46079</x:v>
      </x:c>
      <x:c r="C61" s="10" t="n">
        <x:f>'店长明细'!$E58</x:f>
        <x:v>114</x:v>
      </x:c>
      <x:c r="D61" s="10" t="n">
        <x:f>'店长明细'!$D58</x:f>
        <x:v>62</x:v>
      </x:c>
      <x:c r="E61" s="10" t="n">
        <x:f>'店长明细'!$E290</x:f>
        <x:v>2231</x:v>
      </x:c>
      <x:c r="F61" s="10" t="n">
        <x:f>'店长明细'!$D290</x:f>
        <x:v>1317</x:v>
      </x:c>
      <x:c r="G61" s="10" t="n">
        <x:f>'店长明细'!$E522</x:f>
        <x:v>1542</x:v>
      </x:c>
      <x:c r="H61" s="10" t="n">
        <x:f>'店长明细'!$D522</x:f>
        <x:v>745</x:v>
      </x:c>
      <x:c r="I61" s="10" t="n">
        <x:f>'店长明细'!$E754</x:f>
        <x:v>634</x:v>
      </x:c>
      <x:c r="J61" s="10" t="n">
        <x:f>'店长明细'!$D754</x:f>
        <x:v>416</x:v>
      </x:c>
      <x:c r="K61" s="10" t="n">
        <x:f>'店长明细'!$E986</x:f>
        <x:v>0</x:v>
      </x:c>
      <x:c r="L61" s="10" t="n">
        <x:f>'店长明细'!$D986</x:f>
        <x:v>0</x:v>
      </x:c>
      <x:c r="M61" s="10" t="n">
        <x:f>'店长明细'!$E1218</x:f>
        <x:v>55</x:v>
      </x:c>
      <x:c r="N61" s="10" t="n">
        <x:f>'店长明细'!$D1218</x:f>
        <x:v>43</x:v>
      </x:c>
      <x:c r="O61" s="10" t="n">
        <x:f>'店长明细'!$E1450</x:f>
        <x:v>867</x:v>
      </x:c>
      <x:c r="P61" s="10" t="n">
        <x:f>'店长明细'!$D1450</x:f>
        <x:v>633</x:v>
      </x:c>
      <x:c r="Q61" s="10" t="n">
        <x:f>'店长明细'!$E1682</x:f>
        <x:v>50</x:v>
      </x:c>
      <x:c r="R61" s="10" t="n">
        <x:f>'店长明细'!$D1682</x:f>
        <x:v>33</x:v>
      </x:c>
      <x:c r="S61" s="10" t="n">
        <x:f>'店长明细'!$E1914</x:f>
        <x:v>22</x:v>
      </x:c>
      <x:c r="T61" s="10" t="n">
        <x:f>'店长明细'!$D1914</x:f>
        <x:v>20</x:v>
      </x:c>
      <x:c r="U61" s="10" t="n">
        <x:f>'店长明细'!$E2146</x:f>
        <x:v>305</x:v>
      </x:c>
      <x:c r="V61" s="10" t="n">
        <x:f>'店长明细'!$D2146</x:f>
        <x:v>196</x:v>
      </x:c>
      <x:c r="W61" s="11" t="n">
        <x:f>'店长明细'!$F58</x:f>
        <x:v>800.51</x:v>
      </x:c>
      <x:c r="X61" s="11" t="n">
        <x:f>'店长明细'!$F290</x:f>
        <x:v>19912.69</x:v>
      </x:c>
      <x:c r="Y61" s="11" t="n">
        <x:f>'店长明细'!$F522</x:f>
        <x:v>11328.35</x:v>
      </x:c>
      <x:c r="Z61" s="11" t="n">
        <x:f>'店长明细'!$F754</x:f>
        <x:v>10401.2</x:v>
      </x:c>
      <x:c r="AA61" s="11" t="n">
        <x:f>'店长明细'!$F986</x:f>
        <x:v>0</x:v>
      </x:c>
      <x:c r="AB61" s="11" t="n">
        <x:f>'店长明细'!$F1218</x:f>
        <x:v>618.96</x:v>
      </x:c>
      <x:c r="AC61" s="11" t="n">
        <x:f>'店长明细'!$F1450</x:f>
        <x:v>9730.52</x:v>
      </x:c>
      <x:c r="AD61" s="11" t="n">
        <x:f>'店长明细'!$F1682</x:f>
        <x:v>686</x:v>
      </x:c>
      <x:c r="AE61" s="11" t="n">
        <x:f>'店长明细'!$F1914</x:f>
        <x:v>824.44</x:v>
      </x:c>
      <x:c r="AF61" s="11" t="n">
        <x:f>'店长明细'!$F2146</x:f>
        <x:v>3371.3</x:v>
      </x:c>
    </x:row>
    <x:row r="62">
      <x:c r="A62" t="str">
        <x:f>TEXT($B62,"mm-dd")</x:f>
        <x:v>02-27</x:v>
      </x:c>
      <x:c r="B62" s="9" t="n">
        <x:f>'店长明细'!$C59</x:f>
        <x:v>46080</x:v>
      </x:c>
      <x:c r="C62" s="10" t="n">
        <x:f>'店长明细'!$E59</x:f>
        <x:v>82</x:v>
      </x:c>
      <x:c r="D62" s="10" t="n">
        <x:f>'店长明细'!$D59</x:f>
        <x:v>45</x:v>
      </x:c>
      <x:c r="E62" s="10" t="n">
        <x:f>'店长明细'!$E291</x:f>
        <x:v>1992</x:v>
      </x:c>
      <x:c r="F62" s="10" t="n">
        <x:f>'店长明细'!$D291</x:f>
        <x:v>1301</x:v>
      </x:c>
      <x:c r="G62" s="10" t="n">
        <x:f>'店长明细'!$E523</x:f>
        <x:v>2725</x:v>
      </x:c>
      <x:c r="H62" s="10" t="n">
        <x:f>'店长明细'!$D523</x:f>
        <x:v>1327</x:v>
      </x:c>
      <x:c r="I62" s="10" t="n">
        <x:f>'店长明细'!$E755</x:f>
        <x:v>640</x:v>
      </x:c>
      <x:c r="J62" s="10" t="n">
        <x:f>'店长明细'!$D755</x:f>
        <x:v>475</x:v>
      </x:c>
      <x:c r="K62" s="10" t="n">
        <x:f>'店长明细'!$E987</x:f>
        <x:v>0</x:v>
      </x:c>
      <x:c r="L62" s="10" t="n">
        <x:f>'店长明细'!$D987</x:f>
        <x:v>0</x:v>
      </x:c>
      <x:c r="M62" s="10" t="n">
        <x:f>'店长明细'!$E1219</x:f>
        <x:v>82</x:v>
      </x:c>
      <x:c r="N62" s="10" t="n">
        <x:f>'店长明细'!$D1219</x:f>
        <x:v>62</x:v>
      </x:c>
      <x:c r="O62" s="10" t="n">
        <x:f>'店长明细'!$E1451</x:f>
        <x:v>874</x:v>
      </x:c>
      <x:c r="P62" s="10" t="n">
        <x:f>'店长明细'!$D1451</x:f>
        <x:v>715</x:v>
      </x:c>
      <x:c r="Q62" s="10" t="n">
        <x:f>'店长明细'!$E1683</x:f>
        <x:v>53</x:v>
      </x:c>
      <x:c r="R62" s="10" t="n">
        <x:f>'店长明细'!$D1683</x:f>
        <x:v>25</x:v>
      </x:c>
      <x:c r="S62" s="10" t="n">
        <x:f>'店长明细'!$E1915</x:f>
        <x:v>14</x:v>
      </x:c>
      <x:c r="T62" s="10" t="n">
        <x:f>'店长明细'!$D1915</x:f>
        <x:v>12</x:v>
      </x:c>
      <x:c r="U62" s="10" t="n">
        <x:f>'店长明细'!$E2147</x:f>
        <x:v>312</x:v>
      </x:c>
      <x:c r="V62" s="10" t="n">
        <x:f>'店长明细'!$D2147</x:f>
        <x:v>176</x:v>
      </x:c>
      <x:c r="W62" s="11" t="n">
        <x:f>'店长明细'!$F59</x:f>
        <x:v>649.42</x:v>
      </x:c>
      <x:c r="X62" s="11" t="n">
        <x:f>'店长明细'!$F291</x:f>
        <x:v>19268.84</x:v>
      </x:c>
      <x:c r="Y62" s="11" t="n">
        <x:f>'店长明细'!$F523</x:f>
        <x:v>18840.47</x:v>
      </x:c>
      <x:c r="Z62" s="11" t="n">
        <x:f>'店长明细'!$F755</x:f>
        <x:v>7808.27</x:v>
      </x:c>
      <x:c r="AA62" s="11" t="n">
        <x:f>'店长明细'!$F987</x:f>
        <x:v>0</x:v>
      </x:c>
      <x:c r="AB62" s="11" t="n">
        <x:f>'店长明细'!$F1219</x:f>
        <x:v>1297.33</x:v>
      </x:c>
      <x:c r="AC62" s="11" t="n">
        <x:f>'店长明细'!$F1451</x:f>
        <x:v>9227.92</x:v>
      </x:c>
      <x:c r="AD62" s="11" t="n">
        <x:f>'店长明细'!$F1683</x:f>
        <x:v>676.77</x:v>
      </x:c>
      <x:c r="AE62" s="11" t="n">
        <x:f>'店长明细'!$F1915</x:f>
        <x:v>469.38</x:v>
      </x:c>
      <x:c r="AF62" s="11" t="n">
        <x:f>'店长明细'!$F2147</x:f>
        <x:v>3438.28</x:v>
      </x:c>
    </x:row>
    <x:row r="63">
      <x:c r="A63" t="str">
        <x:f>TEXT($B63,"mm-dd")</x:f>
        <x:v>02-28</x:v>
      </x:c>
      <x:c r="B63" s="9" t="n">
        <x:f>'店长明细'!$C60</x:f>
        <x:v>46081</x:v>
      </x:c>
      <x:c r="C63" s="10" t="n">
        <x:f>'店长明细'!$E60</x:f>
        <x:v>113</x:v>
      </x:c>
      <x:c r="D63" s="10" t="n">
        <x:f>'店长明细'!$D60</x:f>
        <x:v>67</x:v>
      </x:c>
      <x:c r="E63" s="10" t="n">
        <x:f>'店长明细'!$E292</x:f>
        <x:v>1751</x:v>
      </x:c>
      <x:c r="F63" s="10" t="n">
        <x:f>'店长明细'!$D292</x:f>
        <x:v>1149</x:v>
      </x:c>
      <x:c r="G63" s="10" t="n">
        <x:f>'店长明细'!$E524</x:f>
        <x:v>2248</x:v>
      </x:c>
      <x:c r="H63" s="10" t="n">
        <x:f>'店长明细'!$D524</x:f>
        <x:v>1112</x:v>
      </x:c>
      <x:c r="I63" s="10" t="n">
        <x:f>'店长明细'!$E756</x:f>
        <x:v>703</x:v>
      </x:c>
      <x:c r="J63" s="10" t="n">
        <x:f>'店长明细'!$D756</x:f>
        <x:v>554</x:v>
      </x:c>
      <x:c r="K63" s="10" t="n">
        <x:f>'店长明细'!$E988</x:f>
        <x:v>2</x:v>
      </x:c>
      <x:c r="L63" s="10" t="n">
        <x:f>'店长明细'!$D988</x:f>
        <x:v>2</x:v>
      </x:c>
      <x:c r="M63" s="10" t="n">
        <x:f>'店长明细'!$E1220</x:f>
        <x:v>59</x:v>
      </x:c>
      <x:c r="N63" s="10" t="n">
        <x:f>'店长明细'!$D1220</x:f>
        <x:v>46</x:v>
      </x:c>
      <x:c r="O63" s="10" t="n">
        <x:f>'店长明细'!$E1452</x:f>
        <x:v>972</x:v>
      </x:c>
      <x:c r="P63" s="10" t="n">
        <x:f>'店长明细'!$D1452</x:f>
        <x:v>797</x:v>
      </x:c>
      <x:c r="Q63" s="10" t="n">
        <x:f>'店长明细'!$E1684</x:f>
        <x:v>42</x:v>
      </x:c>
      <x:c r="R63" s="10" t="n">
        <x:f>'店长明细'!$D1684</x:f>
        <x:v>25</x:v>
      </x:c>
      <x:c r="S63" s="10" t="n">
        <x:f>'店长明细'!$E1916</x:f>
        <x:v>20</x:v>
      </x:c>
      <x:c r="T63" s="10" t="n">
        <x:f>'店长明细'!$D1916</x:f>
        <x:v>15</x:v>
      </x:c>
      <x:c r="U63" s="10" t="n">
        <x:f>'店长明细'!$E2148</x:f>
        <x:v>279</x:v>
      </x:c>
      <x:c r="V63" s="10" t="n">
        <x:f>'店长明细'!$D2148</x:f>
        <x:v>177</x:v>
      </x:c>
      <x:c r="W63" s="11" t="n">
        <x:f>'店长明细'!$F60</x:f>
        <x:v>877.03</x:v>
      </x:c>
      <x:c r="X63" s="11" t="n">
        <x:f>'店长明细'!$F292</x:f>
        <x:v>18397.69</x:v>
      </x:c>
      <x:c r="Y63" s="11" t="n">
        <x:f>'店长明细'!$F524</x:f>
        <x:v>15861.76</x:v>
      </x:c>
      <x:c r="Z63" s="11" t="n">
        <x:f>'店长明细'!$F756</x:f>
        <x:v>8163.99</x:v>
      </x:c>
      <x:c r="AA63" s="11" t="n">
        <x:f>'店长明细'!$F988</x:f>
        <x:v>17.17</x:v>
      </x:c>
      <x:c r="AB63" s="11" t="n">
        <x:f>'店长明细'!$F1220</x:f>
        <x:v>941.49</x:v>
      </x:c>
      <x:c r="AC63" s="11" t="n">
        <x:f>'店长明细'!$F1452</x:f>
        <x:v>3618.97</x:v>
      </x:c>
      <x:c r="AD63" s="11" t="n">
        <x:f>'店长明细'!$F1684</x:f>
        <x:v>-47477.61</x:v>
      </x:c>
      <x:c r="AE63" s="11" t="n">
        <x:f>'店长明细'!$F1916</x:f>
        <x:v>-24915.68</x:v>
      </x:c>
      <x:c r="AF63" s="11" t="n">
        <x:f>'店长明细'!$F2148</x:f>
        <x:v>3530.4</x:v>
      </x:c>
    </x:row>
    <x:row r="64">
      <x:c r="A64" t="str">
        <x:f>TEXT($B64,"mm-dd")</x:f>
        <x:v>03-01</x:v>
      </x:c>
      <x:c r="B64" s="9" t="n">
        <x:f>'店长明细'!$C61</x:f>
        <x:v>46082</x:v>
      </x:c>
      <x:c r="C64" s="10" t="n">
        <x:f>'店长明细'!$E61</x:f>
        <x:v>100</x:v>
      </x:c>
      <x:c r="D64" s="10" t="n">
        <x:f>'店长明细'!$D61</x:f>
        <x:v>52</x:v>
      </x:c>
      <x:c r="E64" s="10" t="n">
        <x:f>'店长明细'!$E293</x:f>
        <x:v>1786</x:v>
      </x:c>
      <x:c r="F64" s="10" t="n">
        <x:f>'店长明细'!$D293</x:f>
        <x:v>1241</x:v>
      </x:c>
      <x:c r="G64" s="10" t="n">
        <x:f>'店长明细'!$E525</x:f>
        <x:v>2172</x:v>
      </x:c>
      <x:c r="H64" s="10" t="n">
        <x:f>'店长明细'!$D525</x:f>
        <x:v>1054</x:v>
      </x:c>
      <x:c r="I64" s="10" t="n">
        <x:f>'店长明细'!$E757</x:f>
        <x:v>686</x:v>
      </x:c>
      <x:c r="J64" s="10" t="n">
        <x:f>'店长明细'!$D757</x:f>
        <x:v>491</x:v>
      </x:c>
      <x:c r="K64" s="10" t="n">
        <x:f>'店长明细'!$E989</x:f>
        <x:v>0</x:v>
      </x:c>
      <x:c r="L64" s="10" t="n">
        <x:f>'店长明细'!$D989</x:f>
        <x:v>0</x:v>
      </x:c>
      <x:c r="M64" s="10" t="n">
        <x:f>'店长明细'!$E1221</x:f>
        <x:v>44</x:v>
      </x:c>
      <x:c r="N64" s="10" t="n">
        <x:f>'店长明细'!$D1221</x:f>
        <x:v>42</x:v>
      </x:c>
      <x:c r="O64" s="10" t="n">
        <x:f>'店长明细'!$E1453</x:f>
        <x:v>1088</x:v>
      </x:c>
      <x:c r="P64" s="10" t="n">
        <x:f>'店长明细'!$D1453</x:f>
        <x:v>898</x:v>
      </x:c>
      <x:c r="Q64" s="10" t="n">
        <x:f>'店长明细'!$E1685</x:f>
        <x:v>59</x:v>
      </x:c>
      <x:c r="R64" s="10" t="n">
        <x:f>'店长明细'!$D1685</x:f>
        <x:v>31</x:v>
      </x:c>
      <x:c r="S64" s="10" t="n">
        <x:f>'店长明细'!$E1917</x:f>
        <x:v>14</x:v>
      </x:c>
      <x:c r="T64" s="10" t="n">
        <x:f>'店长明细'!$D1917</x:f>
        <x:v>13</x:v>
      </x:c>
      <x:c r="U64" s="10" t="n">
        <x:f>'店长明细'!$E2149</x:f>
        <x:v>316</x:v>
      </x:c>
      <x:c r="V64" s="10" t="n">
        <x:f>'店长明细'!$D2149</x:f>
        <x:v>186</x:v>
      </x:c>
      <x:c r="W64" s="11" t="n">
        <x:f>'店长明细'!$F61</x:f>
        <x:v>760.81</x:v>
      </x:c>
      <x:c r="X64" s="11" t="n">
        <x:f>'店长明细'!$F293</x:f>
        <x:v>17233.38</x:v>
      </x:c>
      <x:c r="Y64" s="11" t="n">
        <x:f>'店长明细'!$F525</x:f>
        <x:v>14275.65</x:v>
      </x:c>
      <x:c r="Z64" s="11" t="n">
        <x:f>'店长明细'!$F757</x:f>
        <x:v>8120.8</x:v>
      </x:c>
      <x:c r="AA64" s="11" t="n">
        <x:f>'店长明细'!$F989</x:f>
        <x:v>0</x:v>
      </x:c>
      <x:c r="AB64" s="11" t="n">
        <x:f>'店长明细'!$F1221</x:f>
        <x:v>611.39</x:v>
      </x:c>
      <x:c r="AC64" s="11" t="n">
        <x:f>'店长明细'!$F1453</x:f>
        <x:v>11892.32</x:v>
      </x:c>
      <x:c r="AD64" s="11" t="n">
        <x:f>'店长明细'!$F1685</x:f>
        <x:v>642.69</x:v>
      </x:c>
      <x:c r="AE64" s="11" t="n">
        <x:f>'店长明细'!$F1917</x:f>
        <x:v>460.34</x:v>
      </x:c>
      <x:c r="AF64" s="11" t="n">
        <x:f>'店长明细'!$F2149</x:f>
        <x:v>3624.98</x:v>
      </x:c>
    </x:row>
    <x:row r="65">
      <x:c r="A65" t="str">
        <x:f>TEXT($B65,"mm-dd")</x:f>
        <x:v>03-02</x:v>
      </x:c>
      <x:c r="B65" s="9" t="n">
        <x:f>'店长明细'!$C62</x:f>
        <x:v>46083</x:v>
      </x:c>
      <x:c r="C65" s="10" t="n">
        <x:f>'店长明细'!$E62</x:f>
        <x:v>78</x:v>
      </x:c>
      <x:c r="D65" s="10" t="n">
        <x:f>'店长明细'!$D62</x:f>
        <x:v>46</x:v>
      </x:c>
      <x:c r="E65" s="10" t="n">
        <x:f>'店长明细'!$E294</x:f>
        <x:v>1712</x:v>
      </x:c>
      <x:c r="F65" s="10" t="n">
        <x:f>'店长明细'!$D294</x:f>
        <x:v>1133</x:v>
      </x:c>
      <x:c r="G65" s="10" t="n">
        <x:f>'店长明细'!$E526</x:f>
        <x:v>1719</x:v>
      </x:c>
      <x:c r="H65" s="10" t="n">
        <x:f>'店长明细'!$D526</x:f>
        <x:v>832</x:v>
      </x:c>
      <x:c r="I65" s="10" t="n">
        <x:f>'店长明细'!$E758</x:f>
        <x:v>697</x:v>
      </x:c>
      <x:c r="J65" s="10" t="n">
        <x:f>'店长明细'!$D758</x:f>
        <x:v>510</x:v>
      </x:c>
      <x:c r="K65" s="10" t="n">
        <x:f>'店长明细'!$E990</x:f>
        <x:v>0</x:v>
      </x:c>
      <x:c r="L65" s="10" t="n">
        <x:f>'店长明细'!$D990</x:f>
        <x:v>0</x:v>
      </x:c>
      <x:c r="M65" s="10" t="n">
        <x:f>'店长明细'!$E1222</x:f>
        <x:v>60</x:v>
      </x:c>
      <x:c r="N65" s="10" t="n">
        <x:f>'店长明细'!$D1222</x:f>
        <x:v>41</x:v>
      </x:c>
      <x:c r="O65" s="10" t="n">
        <x:f>'店长明细'!$E1454</x:f>
        <x:v>1096</x:v>
      </x:c>
      <x:c r="P65" s="10" t="n">
        <x:f>'店长明细'!$D1454</x:f>
        <x:v>913</x:v>
      </x:c>
      <x:c r="Q65" s="10" t="n">
        <x:f>'店长明细'!$E1686</x:f>
        <x:v>46</x:v>
      </x:c>
      <x:c r="R65" s="10" t="n">
        <x:f>'店长明细'!$D1686</x:f>
        <x:v>28</x:v>
      </x:c>
      <x:c r="S65" s="10" t="n">
        <x:f>'店长明细'!$E1918</x:f>
        <x:v>32</x:v>
      </x:c>
      <x:c r="T65" s="10" t="n">
        <x:f>'店长明细'!$D1918</x:f>
        <x:v>21</x:v>
      </x:c>
      <x:c r="U65" s="10" t="n">
        <x:f>'店长明细'!$E2150</x:f>
        <x:v>314</x:v>
      </x:c>
      <x:c r="V65" s="10" t="n">
        <x:f>'店长明细'!$D2150</x:f>
        <x:v>165</x:v>
      </x:c>
      <x:c r="W65" s="11" t="n">
        <x:f>'店长明细'!$F62</x:f>
        <x:v>647.52</x:v>
      </x:c>
      <x:c r="X65" s="11" t="n">
        <x:f>'店长明细'!$F294</x:f>
        <x:v>16602.36</x:v>
      </x:c>
      <x:c r="Y65" s="11" t="n">
        <x:f>'店长明细'!$F526</x:f>
        <x:v>11043.2</x:v>
      </x:c>
      <x:c r="Z65" s="11" t="n">
        <x:f>'店长明细'!$F758</x:f>
        <x:v>8185.1</x:v>
      </x:c>
      <x:c r="AA65" s="11" t="n">
        <x:f>'店长明细'!$F990</x:f>
        <x:v>0</x:v>
      </x:c>
      <x:c r="AB65" s="11" t="n">
        <x:f>'店长明细'!$F1222</x:f>
        <x:v>885.28</x:v>
      </x:c>
      <x:c r="AC65" s="11" t="n">
        <x:f>'店长明细'!$F1454</x:f>
        <x:v>11955.12</x:v>
      </x:c>
      <x:c r="AD65" s="11" t="n">
        <x:f>'店长明细'!$F1686</x:f>
        <x:v>667.92</x:v>
      </x:c>
      <x:c r="AE65" s="11" t="n">
        <x:f>'店长明细'!$F1918</x:f>
        <x:v>1280.63</x:v>
      </x:c>
      <x:c r="AF65" s="11" t="n">
        <x:f>'店长明细'!$F2150</x:f>
        <x:v>3527.72</x:v>
      </x:c>
    </x:row>
    <x:row r="66">
      <x:c r="A66" t="str">
        <x:f>TEXT($B66,"mm-dd")</x:f>
        <x:v>03-03</x:v>
      </x:c>
      <x:c r="B66" s="9" t="n">
        <x:f>'店长明细'!$C63</x:f>
        <x:v>46084</x:v>
      </x:c>
      <x:c r="C66" s="10" t="n">
        <x:f>'店长明细'!$E63</x:f>
        <x:v>405</x:v>
      </x:c>
      <x:c r="D66" s="10" t="n">
        <x:f>'店长明细'!$D63</x:f>
        <x:v>297</x:v>
      </x:c>
      <x:c r="E66" s="10" t="n">
        <x:f>'店长明细'!$E295</x:f>
        <x:v>1922</x:v>
      </x:c>
      <x:c r="F66" s="10" t="n">
        <x:f>'店长明细'!$D295</x:f>
        <x:v>1292</x:v>
      </x:c>
      <x:c r="G66" s="10" t="n">
        <x:f>'店长明细'!$E527</x:f>
        <x:v>1865</x:v>
      </x:c>
      <x:c r="H66" s="10" t="n">
        <x:f>'店长明细'!$D527</x:f>
        <x:v>904</x:v>
      </x:c>
      <x:c r="I66" s="10" t="n">
        <x:f>'店长明细'!$E759</x:f>
        <x:v>765</x:v>
      </x:c>
      <x:c r="J66" s="10" t="n">
        <x:f>'店长明细'!$D759</x:f>
        <x:v>563</x:v>
      </x:c>
      <x:c r="K66" s="10" t="n">
        <x:f>'店长明细'!$E991</x:f>
        <x:v>0</x:v>
      </x:c>
      <x:c r="L66" s="10" t="n">
        <x:f>'店长明细'!$D991</x:f>
        <x:v>0</x:v>
      </x:c>
      <x:c r="M66" s="10" t="n">
        <x:f>'店长明细'!$E1223</x:f>
        <x:v>56</x:v>
      </x:c>
      <x:c r="N66" s="10" t="n">
        <x:f>'店长明细'!$D1223</x:f>
        <x:v>45</x:v>
      </x:c>
      <x:c r="O66" s="10" t="n">
        <x:f>'店长明细'!$E1455</x:f>
        <x:v>820</x:v>
      </x:c>
      <x:c r="P66" s="10" t="n">
        <x:f>'店长明细'!$D1455</x:f>
        <x:v>703</x:v>
      </x:c>
      <x:c r="Q66" s="10" t="n">
        <x:f>'店长明细'!$E1687</x:f>
        <x:v>67</x:v>
      </x:c>
      <x:c r="R66" s="10" t="n">
        <x:f>'店长明细'!$D1687</x:f>
        <x:v>37</x:v>
      </x:c>
      <x:c r="S66" s="10" t="n">
        <x:f>'店长明细'!$E1919</x:f>
        <x:v>41</x:v>
      </x:c>
      <x:c r="T66" s="10" t="n">
        <x:f>'店长明细'!$D1919</x:f>
        <x:v>27</x:v>
      </x:c>
      <x:c r="U66" s="10" t="n">
        <x:f>'店长明细'!$E2151</x:f>
        <x:v>312</x:v>
      </x:c>
      <x:c r="V66" s="10" t="n">
        <x:f>'店长明细'!$D2151</x:f>
        <x:v>173</x:v>
      </x:c>
      <x:c r="W66" s="11" t="n">
        <x:f>'店长明细'!$F63</x:f>
        <x:v>4137.32</x:v>
      </x:c>
      <x:c r="X66" s="11" t="n">
        <x:f>'店长明细'!$F295</x:f>
        <x:v>17874.15</x:v>
      </x:c>
      <x:c r="Y66" s="11" t="n">
        <x:f>'店长明细'!$F527</x:f>
        <x:v>11880.05</x:v>
      </x:c>
      <x:c r="Z66" s="11" t="n">
        <x:f>'店长明细'!$F759</x:f>
        <x:v>9564.26</x:v>
      </x:c>
      <x:c r="AA66" s="11" t="n">
        <x:f>'店长明细'!$F991</x:f>
        <x:v>0</x:v>
      </x:c>
      <x:c r="AB66" s="11" t="n">
        <x:f>'店长明细'!$F1223</x:f>
        <x:v>818.88</x:v>
      </x:c>
      <x:c r="AC66" s="11" t="n">
        <x:f>'店长明细'!$F1455</x:f>
        <x:v>10298.32</x:v>
      </x:c>
      <x:c r="AD66" s="11" t="n">
        <x:f>'店长明细'!$F1687</x:f>
        <x:v>1126.88</x:v>
      </x:c>
      <x:c r="AE66" s="11" t="n">
        <x:f>'店长明细'!$F1919</x:f>
        <x:v>1577.83</x:v>
      </x:c>
      <x:c r="AF66" s="11" t="n">
        <x:f>'店长明细'!$F2151</x:f>
        <x:v>3404.7</x:v>
      </x:c>
    </x:row>
    <x:row r="67">
      <x:c r="A67" t="str">
        <x:f>TEXT($B67,"mm-dd")</x:f>
        <x:v>03-04</x:v>
      </x:c>
      <x:c r="B67" s="9" t="n">
        <x:f>'店长明细'!$C64</x:f>
        <x:v>46085</x:v>
      </x:c>
      <x:c r="C67" s="10" t="n">
        <x:f>'店长明细'!$E64</x:f>
        <x:v>245</x:v>
      </x:c>
      <x:c r="D67" s="10" t="n">
        <x:f>'店长明细'!$D64</x:f>
        <x:v>145</x:v>
      </x:c>
      <x:c r="E67" s="10" t="n">
        <x:f>'店长明细'!$E296</x:f>
        <x:v>1944</x:v>
      </x:c>
      <x:c r="F67" s="10" t="n">
        <x:f>'店长明细'!$D296</x:f>
        <x:v>1202</x:v>
      </x:c>
      <x:c r="G67" s="10" t="n">
        <x:f>'店长明细'!$E528</x:f>
        <x:v>1774</x:v>
      </x:c>
      <x:c r="H67" s="10" t="n">
        <x:f>'店长明细'!$D528</x:f>
        <x:v>878</x:v>
      </x:c>
      <x:c r="I67" s="10" t="n">
        <x:f>'店长明细'!$E760</x:f>
        <x:v>735</x:v>
      </x:c>
      <x:c r="J67" s="10" t="n">
        <x:f>'店长明细'!$D760</x:f>
        <x:v>502</x:v>
      </x:c>
      <x:c r="K67" s="10" t="n">
        <x:f>'店长明细'!$E992</x:f>
        <x:v>0</x:v>
      </x:c>
      <x:c r="L67" s="10" t="n">
        <x:f>'店长明细'!$D992</x:f>
        <x:v>0</x:v>
      </x:c>
      <x:c r="M67" s="10" t="n">
        <x:f>'店长明细'!$E1224</x:f>
        <x:v>51</x:v>
      </x:c>
      <x:c r="N67" s="10" t="n">
        <x:f>'店长明细'!$D1224</x:f>
        <x:v>43</x:v>
      </x:c>
      <x:c r="O67" s="10" t="n">
        <x:f>'店长明细'!$E1456</x:f>
        <x:v>877</x:v>
      </x:c>
      <x:c r="P67" s="10" t="n">
        <x:f>'店长明细'!$D1456</x:f>
        <x:v>752</x:v>
      </x:c>
      <x:c r="Q67" s="10" t="n">
        <x:f>'店长明细'!$E1688</x:f>
        <x:v>62</x:v>
      </x:c>
      <x:c r="R67" s="10" t="n">
        <x:f>'店长明细'!$D1688</x:f>
        <x:v>36</x:v>
      </x:c>
      <x:c r="S67" s="10" t="n">
        <x:f>'店长明细'!$E1920</x:f>
        <x:v>41</x:v>
      </x:c>
      <x:c r="T67" s="10" t="n">
        <x:f>'店长明细'!$D1920</x:f>
        <x:v>23</x:v>
      </x:c>
      <x:c r="U67" s="10" t="n">
        <x:f>'店长明细'!$E2152</x:f>
        <x:v>344</x:v>
      </x:c>
      <x:c r="V67" s="10" t="n">
        <x:f>'店长明细'!$D2152</x:f>
        <x:v>197</x:v>
      </x:c>
      <x:c r="W67" s="11" t="n">
        <x:f>'店长明细'!$F64</x:f>
        <x:v>1953</x:v>
      </x:c>
      <x:c r="X67" s="11" t="n">
        <x:f>'店长明细'!$F296</x:f>
        <x:v>17898.6</x:v>
      </x:c>
      <x:c r="Y67" s="11" t="n">
        <x:f>'店长明细'!$F528</x:f>
        <x:v>12432.33</x:v>
      </x:c>
      <x:c r="Z67" s="11" t="n">
        <x:f>'店长明细'!$F760</x:f>
        <x:v>8705.78</x:v>
      </x:c>
      <x:c r="AA67" s="11" t="n">
        <x:f>'店长明细'!$F992</x:f>
        <x:v>0</x:v>
      </x:c>
      <x:c r="AB67" s="11" t="n">
        <x:f>'店长明细'!$F1224</x:f>
        <x:v>685.61</x:v>
      </x:c>
      <x:c r="AC67" s="11" t="n">
        <x:f>'店长明细'!$F1456</x:f>
        <x:v>11394.52</x:v>
      </x:c>
      <x:c r="AD67" s="11" t="n">
        <x:f>'店长明细'!$F1688</x:f>
        <x:v>679.55</x:v>
      </x:c>
      <x:c r="AE67" s="11" t="n">
        <x:f>'店长明细'!$F1920</x:f>
        <x:v>1486.24</x:v>
      </x:c>
      <x:c r="AF67" s="11" t="n">
        <x:f>'店长明细'!$F2152</x:f>
        <x:v>3938.09</x:v>
      </x:c>
    </x:row>
    <x:row r="68">
      <x:c r="A68" t="str">
        <x:f>TEXT($B68,"mm-dd")</x:f>
        <x:v>03-05</x:v>
      </x:c>
      <x:c r="B68" s="9" t="n">
        <x:f>'店长明细'!$C65</x:f>
        <x:v>46086</x:v>
      </x:c>
      <x:c r="C68" s="10" t="n">
        <x:f>'店长明细'!$E65</x:f>
        <x:v>196</x:v>
      </x:c>
      <x:c r="D68" s="10" t="n">
        <x:f>'店长明细'!$D65</x:f>
        <x:v>125</x:v>
      </x:c>
      <x:c r="E68" s="10" t="n">
        <x:f>'店长明细'!$E297</x:f>
        <x:v>1752</x:v>
      </x:c>
      <x:c r="F68" s="10" t="n">
        <x:f>'店长明细'!$D297</x:f>
        <x:v>1152</x:v>
      </x:c>
      <x:c r="G68" s="10" t="n">
        <x:f>'店长明细'!$E529</x:f>
        <x:v>1507</x:v>
      </x:c>
      <x:c r="H68" s="10" t="n">
        <x:f>'店长明细'!$D529</x:f>
        <x:v>734</x:v>
      </x:c>
      <x:c r="I68" s="10" t="n">
        <x:f>'店长明细'!$E761</x:f>
        <x:v>794</x:v>
      </x:c>
      <x:c r="J68" s="10" t="n">
        <x:f>'店长明细'!$D761</x:f>
        <x:v>501</x:v>
      </x:c>
      <x:c r="K68" s="10" t="n">
        <x:f>'店长明细'!$E993</x:f>
        <x:v>2</x:v>
      </x:c>
      <x:c r="L68" s="10" t="n">
        <x:f>'店长明细'!$D993</x:f>
        <x:v>1</x:v>
      </x:c>
      <x:c r="M68" s="10" t="n">
        <x:f>'店长明细'!$E1225</x:f>
        <x:v>53</x:v>
      </x:c>
      <x:c r="N68" s="10" t="n">
        <x:f>'店长明细'!$D1225</x:f>
        <x:v>45</x:v>
      </x:c>
      <x:c r="O68" s="10" t="n">
        <x:f>'店长明细'!$E1457</x:f>
        <x:v>915</x:v>
      </x:c>
      <x:c r="P68" s="10" t="n">
        <x:f>'店长明细'!$D1457</x:f>
        <x:v>729</x:v>
      </x:c>
      <x:c r="Q68" s="10" t="n">
        <x:f>'店长明细'!$E1689</x:f>
        <x:v>60</x:v>
      </x:c>
      <x:c r="R68" s="10" t="n">
        <x:f>'店长明细'!$D1689</x:f>
        <x:v>34</x:v>
      </x:c>
      <x:c r="S68" s="10" t="n">
        <x:f>'店长明细'!$E1921</x:f>
        <x:v>30</x:v>
      </x:c>
      <x:c r="T68" s="10" t="n">
        <x:f>'店长明细'!$D1921</x:f>
        <x:v>25</x:v>
      </x:c>
      <x:c r="U68" s="10" t="n">
        <x:f>'店长明细'!$E2153</x:f>
        <x:v>306</x:v>
      </x:c>
      <x:c r="V68" s="10" t="n">
        <x:f>'店长明细'!$D2153</x:f>
        <x:v>174</x:v>
      </x:c>
      <x:c r="W68" s="11" t="n">
        <x:f>'店长明细'!$F65</x:f>
        <x:v>1595.05</x:v>
      </x:c>
      <x:c r="X68" s="11" t="n">
        <x:f>'店长明细'!$F297</x:f>
        <x:v>16633.85</x:v>
      </x:c>
      <x:c r="Y68" s="11" t="n">
        <x:f>'店长明细'!$F529</x:f>
        <x:v>9571.63</x:v>
      </x:c>
      <x:c r="Z68" s="11" t="n">
        <x:f>'店长明细'!$F761</x:f>
        <x:v>9217.38</x:v>
      </x:c>
      <x:c r="AA68" s="11" t="n">
        <x:f>'店长明细'!$F993</x:f>
        <x:v>12.28</x:v>
      </x:c>
      <x:c r="AB68" s="11" t="n">
        <x:f>'店长明细'!$F1225</x:f>
        <x:v>698.09</x:v>
      </x:c>
      <x:c r="AC68" s="11" t="n">
        <x:f>'店长明细'!$F1457</x:f>
        <x:v>11570.65</x:v>
      </x:c>
      <x:c r="AD68" s="11" t="n">
        <x:f>'店长明细'!$F1689</x:f>
        <x:v>1153.7</x:v>
      </x:c>
      <x:c r="AE68" s="11" t="n">
        <x:f>'店长明细'!$F1921</x:f>
        <x:v>926.92</x:v>
      </x:c>
      <x:c r="AF68" s="11" t="n">
        <x:f>'店长明细'!$F2153</x:f>
        <x:v>3507.61</x:v>
      </x:c>
    </x:row>
    <x:row r="69">
      <x:c r="A69" t="str">
        <x:f>TEXT($B69,"mm-dd")</x:f>
        <x:v>03-06</x:v>
      </x:c>
      <x:c r="B69" s="9" t="n">
        <x:f>'店长明细'!$C66</x:f>
        <x:v>46087</x:v>
      </x:c>
      <x:c r="C69" s="10" t="n">
        <x:f>'店长明细'!$E66</x:f>
        <x:v>287</x:v>
      </x:c>
      <x:c r="D69" s="10" t="n">
        <x:f>'店长明细'!$D66</x:f>
        <x:v>182</x:v>
      </x:c>
      <x:c r="E69" s="10" t="n">
        <x:f>'店长明细'!$E298</x:f>
        <x:v>1771</x:v>
      </x:c>
      <x:c r="F69" s="10" t="n">
        <x:f>'店长明细'!$D298</x:f>
        <x:v>1226</x:v>
      </x:c>
      <x:c r="G69" s="10" t="n">
        <x:f>'店长明细'!$E530</x:f>
        <x:v>1580</x:v>
      </x:c>
      <x:c r="H69" s="10" t="n">
        <x:f>'店长明细'!$D530</x:f>
        <x:v>770</x:v>
      </x:c>
      <x:c r="I69" s="10" t="n">
        <x:f>'店长明细'!$E762</x:f>
        <x:v>650</x:v>
      </x:c>
      <x:c r="J69" s="10" t="n">
        <x:f>'店长明细'!$D762</x:f>
        <x:v>402</x:v>
      </x:c>
      <x:c r="K69" s="10" t="n">
        <x:f>'店长明细'!$E994</x:f>
        <x:v>2</x:v>
      </x:c>
      <x:c r="L69" s="10" t="n">
        <x:f>'店长明细'!$D994</x:f>
        <x:v>1</x:v>
      </x:c>
      <x:c r="M69" s="10" t="n">
        <x:f>'店长明细'!$E1226</x:f>
        <x:v>57</x:v>
      </x:c>
      <x:c r="N69" s="10" t="n">
        <x:f>'店长明细'!$D1226</x:f>
        <x:v>49</x:v>
      </x:c>
      <x:c r="O69" s="10" t="n">
        <x:f>'店长明细'!$E1458</x:f>
        <x:v>807</x:v>
      </x:c>
      <x:c r="P69" s="10" t="n">
        <x:f>'店长明细'!$D1458</x:f>
        <x:v>713</x:v>
      </x:c>
      <x:c r="Q69" s="10" t="n">
        <x:f>'店长明细'!$E1690</x:f>
        <x:v>35</x:v>
      </x:c>
      <x:c r="R69" s="10" t="n">
        <x:f>'店长明细'!$D1690</x:f>
        <x:v>22</x:v>
      </x:c>
      <x:c r="S69" s="10" t="n">
        <x:f>'店长明细'!$E1922</x:f>
        <x:v>24</x:v>
      </x:c>
      <x:c r="T69" s="10" t="n">
        <x:f>'店长明细'!$D1922</x:f>
        <x:v>15</x:v>
      </x:c>
      <x:c r="U69" s="10" t="n">
        <x:f>'店长明细'!$E2154</x:f>
        <x:v>350</x:v>
      </x:c>
      <x:c r="V69" s="10" t="n">
        <x:f>'店长明细'!$D2154</x:f>
        <x:v>189</x:v>
      </x:c>
      <x:c r="W69" s="11" t="n">
        <x:f>'店长明细'!$F66</x:f>
        <x:v>2609.93</x:v>
      </x:c>
      <x:c r="X69" s="11" t="n">
        <x:f>'店长明细'!$F298</x:f>
        <x:v>17109.7</x:v>
      </x:c>
      <x:c r="Y69" s="11" t="n">
        <x:f>'店长明细'!$F530</x:f>
        <x:v>10409.61</x:v>
      </x:c>
      <x:c r="Z69" s="11" t="n">
        <x:f>'店长明细'!$F762</x:f>
        <x:v>7494.9</x:v>
      </x:c>
      <x:c r="AA69" s="11" t="n">
        <x:f>'店长明细'!$F994</x:f>
        <x:v>29.84</x:v>
      </x:c>
      <x:c r="AB69" s="11" t="n">
        <x:f>'店长明细'!$F1226</x:f>
        <x:v>768.32</x:v>
      </x:c>
      <x:c r="AC69" s="11" t="n">
        <x:f>'店长明细'!$F1458</x:f>
        <x:v>9969.94</x:v>
      </x:c>
      <x:c r="AD69" s="11" t="n">
        <x:f>'店长明细'!$F1690</x:f>
        <x:v>544.56</x:v>
      </x:c>
      <x:c r="AE69" s="11" t="n">
        <x:f>'店长明细'!$F1922</x:f>
        <x:v>913.08</x:v>
      </x:c>
      <x:c r="AF69" s="11" t="n">
        <x:f>'店长明细'!$F2154</x:f>
        <x:v>4104.2</x:v>
      </x:c>
    </x:row>
    <x:row r="70">
      <x:c r="A70" t="str">
        <x:f>TEXT($B70,"mm-dd")</x:f>
        <x:v>03-07</x:v>
      </x:c>
      <x:c r="B70" s="9" t="n">
        <x:f>'店长明细'!$C67</x:f>
        <x:v>46088</x:v>
      </x:c>
      <x:c r="C70" s="10" t="n">
        <x:f>'店长明细'!$E67</x:f>
        <x:v>234</x:v>
      </x:c>
      <x:c r="D70" s="10" t="n">
        <x:f>'店长明细'!$D67</x:f>
        <x:v>160</x:v>
      </x:c>
      <x:c r="E70" s="10" t="n">
        <x:f>'店长明细'!$E299</x:f>
        <x:v>1712</x:v>
      </x:c>
      <x:c r="F70" s="10" t="n">
        <x:f>'店长明细'!$D299</x:f>
        <x:v>1197</x:v>
      </x:c>
      <x:c r="G70" s="10" t="n">
        <x:f>'店长明细'!$E531</x:f>
        <x:v>1479</x:v>
      </x:c>
      <x:c r="H70" s="10" t="n">
        <x:f>'店长明细'!$D531</x:f>
        <x:v>717</x:v>
      </x:c>
      <x:c r="I70" s="10" t="n">
        <x:f>'店长明细'!$E763</x:f>
        <x:v>529</x:v>
      </x:c>
      <x:c r="J70" s="10" t="n">
        <x:f>'店长明细'!$D763</x:f>
        <x:v>366</x:v>
      </x:c>
      <x:c r="K70" s="10" t="n">
        <x:f>'店长明细'!$E995</x:f>
        <x:v>5</x:v>
      </x:c>
      <x:c r="L70" s="10" t="n">
        <x:f>'店长明细'!$D995</x:f>
        <x:v>3</x:v>
      </x:c>
      <x:c r="M70" s="10" t="n">
        <x:f>'店长明细'!$E1227</x:f>
        <x:v>39</x:v>
      </x:c>
      <x:c r="N70" s="10" t="n">
        <x:f>'店长明细'!$D1227</x:f>
        <x:v>32</x:v>
      </x:c>
      <x:c r="O70" s="10" t="n">
        <x:f>'店长明细'!$E1459</x:f>
        <x:v>852</x:v>
      </x:c>
      <x:c r="P70" s="10" t="n">
        <x:f>'店长明细'!$D1459</x:f>
        <x:v>725</x:v>
      </x:c>
      <x:c r="Q70" s="10" t="n">
        <x:f>'店长明细'!$E1691</x:f>
        <x:v>56</x:v>
      </x:c>
      <x:c r="R70" s="10" t="n">
        <x:f>'店长明细'!$D1691</x:f>
        <x:v>34</x:v>
      </x:c>
      <x:c r="S70" s="10" t="n">
        <x:f>'店长明细'!$E1923</x:f>
        <x:v>3</x:v>
      </x:c>
      <x:c r="T70" s="10" t="n">
        <x:f>'店长明细'!$D1923</x:f>
        <x:v>3</x:v>
      </x:c>
      <x:c r="U70" s="10" t="n">
        <x:f>'店长明细'!$E2155</x:f>
        <x:v>301</x:v>
      </x:c>
      <x:c r="V70" s="10" t="n">
        <x:f>'店长明细'!$D2155</x:f>
        <x:v>180</x:v>
      </x:c>
      <x:c r="W70" s="11" t="n">
        <x:f>'店长明细'!$F67</x:f>
        <x:v>2283.15</x:v>
      </x:c>
      <x:c r="X70" s="11" t="n">
        <x:f>'店长明细'!$F299</x:f>
        <x:v>17858.15</x:v>
      </x:c>
      <x:c r="Y70" s="11" t="n">
        <x:f>'店长明细'!$F531</x:f>
        <x:v>9052.98</x:v>
      </x:c>
      <x:c r="Z70" s="11" t="n">
        <x:f>'店长明细'!$F763</x:f>
        <x:v>6620.78</x:v>
      </x:c>
      <x:c r="AA70" s="11" t="n">
        <x:f>'店长明细'!$F995</x:f>
        <x:v>45.82</x:v>
      </x:c>
      <x:c r="AB70" s="11" t="n">
        <x:f>'店长明细'!$F1227</x:f>
        <x:v>495.03</x:v>
      </x:c>
      <x:c r="AC70" s="11" t="n">
        <x:f>'店长明细'!$F1459</x:f>
        <x:v>9635.06</x:v>
      </x:c>
      <x:c r="AD70" s="11" t="n">
        <x:f>'店长明细'!$F1691</x:f>
        <x:v>793.84</x:v>
      </x:c>
      <x:c r="AE70" s="11" t="n">
        <x:f>'店长明细'!$F1923</x:f>
        <x:v>135.19</x:v>
      </x:c>
      <x:c r="AF70" s="11" t="n">
        <x:f>'店长明细'!$F2155</x:f>
        <x:v>3643.19</x:v>
      </x:c>
    </x:row>
    <x:row r="71">
      <x:c r="A71" t="str">
        <x:f>TEXT($B71,"mm-dd")</x:f>
        <x:v>03-08</x:v>
      </x:c>
      <x:c r="B71" s="9" t="n">
        <x:f>'店长明细'!$C68</x:f>
        <x:v>46089</x:v>
      </x:c>
      <x:c r="C71" s="10" t="n">
        <x:f>'店长明细'!$E68</x:f>
        <x:v>253</x:v>
      </x:c>
      <x:c r="D71" s="10" t="n">
        <x:f>'店长明细'!$D68</x:f>
        <x:v>144</x:v>
      </x:c>
      <x:c r="E71" s="10" t="n">
        <x:f>'店长明细'!$E300</x:f>
        <x:v>1889</x:v>
      </x:c>
      <x:c r="F71" s="10" t="n">
        <x:f>'店长明细'!$D300</x:f>
        <x:v>1118</x:v>
      </x:c>
      <x:c r="G71" s="10" t="n">
        <x:f>'店长明细'!$E532</x:f>
        <x:v>1659</x:v>
      </x:c>
      <x:c r="H71" s="10" t="n">
        <x:f>'店长明细'!$D532</x:f>
        <x:v>809</x:v>
      </x:c>
      <x:c r="I71" s="10" t="n">
        <x:f>'店长明细'!$E764</x:f>
        <x:v>431</x:v>
      </x:c>
      <x:c r="J71" s="10" t="n">
        <x:f>'店长明细'!$D764</x:f>
        <x:v>283</x:v>
      </x:c>
      <x:c r="K71" s="10" t="n">
        <x:f>'店长明细'!$E996</x:f>
        <x:v>2</x:v>
      </x:c>
      <x:c r="L71" s="10" t="n">
        <x:f>'店长明细'!$D996</x:f>
        <x:v>1</x:v>
      </x:c>
      <x:c r="M71" s="10" t="n">
        <x:f>'店长明细'!$E1228</x:f>
        <x:v>46</x:v>
      </x:c>
      <x:c r="N71" s="10" t="n">
        <x:f>'店长明细'!$D1228</x:f>
        <x:v>39</x:v>
      </x:c>
      <x:c r="O71" s="10" t="n">
        <x:f>'店长明细'!$E1460</x:f>
        <x:v>950</x:v>
      </x:c>
      <x:c r="P71" s="10" t="n">
        <x:f>'店长明细'!$D1460</x:f>
        <x:v>793</x:v>
      </x:c>
      <x:c r="Q71" s="10" t="n">
        <x:f>'店长明细'!$E1692</x:f>
        <x:v>64</x:v>
      </x:c>
      <x:c r="R71" s="10" t="n">
        <x:f>'店长明细'!$D1692</x:f>
        <x:v>36</x:v>
      </x:c>
      <x:c r="S71" s="10" t="n">
        <x:f>'店长明细'!$E1924</x:f>
        <x:v>7</x:v>
      </x:c>
      <x:c r="T71" s="10" t="n">
        <x:f>'店长明细'!$D1924</x:f>
        <x:v>7</x:v>
      </x:c>
      <x:c r="U71" s="10" t="n">
        <x:f>'店长明细'!$E2156</x:f>
        <x:v>249</x:v>
      </x:c>
      <x:c r="V71" s="10" t="n">
        <x:f>'店长明细'!$D2156</x:f>
        <x:v>149</x:v>
      </x:c>
      <x:c r="W71" s="11" t="n">
        <x:f>'店长明细'!$F68</x:f>
        <x:v>2047.67</x:v>
      </x:c>
      <x:c r="X71" s="11" t="n">
        <x:f>'店长明细'!$F300</x:f>
        <x:v>17136.41</x:v>
      </x:c>
      <x:c r="Y71" s="11" t="n">
        <x:f>'店长明细'!$F532</x:f>
        <x:v>11079.39</x:v>
      </x:c>
      <x:c r="Z71" s="11" t="n">
        <x:f>'店长明细'!$F764</x:f>
        <x:v>5079.11</x:v>
      </x:c>
      <x:c r="AA71" s="11" t="n">
        <x:f>'店长明细'!$F996</x:f>
        <x:v>16.12</x:v>
      </x:c>
      <x:c r="AB71" s="11" t="n">
        <x:f>'店长明细'!$F1228</x:f>
        <x:v>549.74</x:v>
      </x:c>
      <x:c r="AC71" s="11" t="n">
        <x:f>'店长明细'!$F1460</x:f>
        <x:v>10730.82</x:v>
      </x:c>
      <x:c r="AD71" s="11" t="n">
        <x:f>'店长明细'!$F1692</x:f>
        <x:v>884.91</x:v>
      </x:c>
      <x:c r="AE71" s="11" t="n">
        <x:f>'店长明细'!$F1924</x:f>
        <x:v>253.45</x:v>
      </x:c>
      <x:c r="AF71" s="11" t="n">
        <x:f>'店长明细'!$F2156</x:f>
        <x:v>3109.72</x:v>
      </x:c>
    </x:row>
    <x:row r="72">
      <x:c r="A72" t="str">
        <x:f>TEXT($B72,"mm-dd")</x:f>
        <x:v>03-09</x:v>
      </x:c>
      <x:c r="B72" s="9" t="n">
        <x:f>'店长明细'!$C69</x:f>
        <x:v>46090</x:v>
      </x:c>
      <x:c r="C72" s="10" t="n">
        <x:f>'店长明细'!$E69</x:f>
        <x:v>214</x:v>
      </x:c>
      <x:c r="D72" s="10" t="n">
        <x:f>'店长明细'!$D69</x:f>
        <x:v>142</x:v>
      </x:c>
      <x:c r="E72" s="10" t="n">
        <x:f>'店长明细'!$E301</x:f>
        <x:v>1923</x:v>
      </x:c>
      <x:c r="F72" s="10" t="n">
        <x:f>'店长明细'!$D301</x:f>
        <x:v>886</x:v>
      </x:c>
      <x:c r="G72" s="10" t="n">
        <x:f>'店长明细'!$E533</x:f>
        <x:v>1206</x:v>
      </x:c>
      <x:c r="H72" s="10" t="n">
        <x:f>'店长明细'!$D533</x:f>
        <x:v>585</x:v>
      </x:c>
      <x:c r="I72" s="10" t="n">
        <x:f>'店长明细'!$E765</x:f>
        <x:v>439</x:v>
      </x:c>
      <x:c r="J72" s="10" t="n">
        <x:f>'店长明细'!$D765</x:f>
        <x:v>324</x:v>
      </x:c>
      <x:c r="K72" s="10" t="n">
        <x:f>'店长明细'!$E997</x:f>
        <x:v>1</x:v>
      </x:c>
      <x:c r="L72" s="10" t="n">
        <x:f>'店长明细'!$D997</x:f>
        <x:v>1</x:v>
      </x:c>
      <x:c r="M72" s="10" t="n">
        <x:f>'店长明细'!$E1229</x:f>
        <x:v>43</x:v>
      </x:c>
      <x:c r="N72" s="10" t="n">
        <x:f>'店长明细'!$D1229</x:f>
        <x:v>40</x:v>
      </x:c>
      <x:c r="O72" s="10" t="n">
        <x:f>'店长明细'!$E1461</x:f>
        <x:v>924</x:v>
      </x:c>
      <x:c r="P72" s="10" t="n">
        <x:f>'店长明细'!$D1461</x:f>
        <x:v>770</x:v>
      </x:c>
      <x:c r="Q72" s="10" t="n">
        <x:f>'店长明细'!$E1693</x:f>
        <x:v>88</x:v>
      </x:c>
      <x:c r="R72" s="10" t="n">
        <x:f>'店长明细'!$D1693</x:f>
        <x:v>52</x:v>
      </x:c>
      <x:c r="S72" s="10" t="n">
        <x:f>'店长明细'!$E1925</x:f>
        <x:v>11</x:v>
      </x:c>
      <x:c r="T72" s="10" t="n">
        <x:f>'店长明细'!$D1925</x:f>
        <x:v>11</x:v>
      </x:c>
      <x:c r="U72" s="10" t="n">
        <x:f>'店长明细'!$E2157</x:f>
        <x:v>332</x:v>
      </x:c>
      <x:c r="V72" s="10" t="n">
        <x:f>'店长明细'!$D2157</x:f>
        <x:v>195</x:v>
      </x:c>
      <x:c r="W72" s="11" t="n">
        <x:f>'店长明细'!$F69</x:f>
        <x:v>2186.95</x:v>
      </x:c>
      <x:c r="X72" s="11" t="n">
        <x:f>'店长明细'!$F301</x:f>
        <x:v>16884.36</x:v>
      </x:c>
      <x:c r="Y72" s="11" t="n">
        <x:f>'店长明细'!$F533</x:f>
        <x:v>7461.53</x:v>
      </x:c>
      <x:c r="Z72" s="11" t="n">
        <x:f>'店长明细'!$F765</x:f>
        <x:v>6617.39</x:v>
      </x:c>
      <x:c r="AA72" s="11" t="n">
        <x:f>'店长明细'!$F997</x:f>
        <x:v>13.06</x:v>
      </x:c>
      <x:c r="AB72" s="11" t="n">
        <x:f>'店长明细'!$F1229</x:f>
        <x:v>810.68</x:v>
      </x:c>
      <x:c r="AC72" s="11" t="n">
        <x:f>'店长明细'!$F1461</x:f>
        <x:v>10916.27</x:v>
      </x:c>
      <x:c r="AD72" s="11" t="n">
        <x:f>'店长明细'!$F1693</x:f>
        <x:v>1127.82</x:v>
      </x:c>
      <x:c r="AE72" s="11" t="n">
        <x:f>'店长明细'!$F1925</x:f>
        <x:v>651.84</x:v>
      </x:c>
      <x:c r="AF72" s="11" t="n">
        <x:f>'店长明细'!$F2157</x:f>
        <x:v>4193.15</x:v>
      </x:c>
    </x:row>
    <x:row r="73">
      <x:c r="A73" t="str">
        <x:f>TEXT($B73,"mm-dd")</x:f>
        <x:v>03-10</x:v>
      </x:c>
      <x:c r="B73" s="9" t="n">
        <x:f>'店长明细'!$C70</x:f>
        <x:v>46091</x:v>
      </x:c>
      <x:c r="C73" s="10" t="n">
        <x:f>'店长明细'!$E70</x:f>
        <x:v>260</x:v>
      </x:c>
      <x:c r="D73" s="10" t="n">
        <x:f>'店长明细'!$D70</x:f>
        <x:v>158</x:v>
      </x:c>
      <x:c r="E73" s="10" t="n">
        <x:f>'店长明细'!$E302</x:f>
        <x:v>1736</x:v>
      </x:c>
      <x:c r="F73" s="10" t="n">
        <x:f>'店长明细'!$D302</x:f>
        <x:v>1013</x:v>
      </x:c>
      <x:c r="G73" s="10" t="n">
        <x:f>'店长明细'!$E534</x:f>
        <x:v>1433</x:v>
      </x:c>
      <x:c r="H73" s="10" t="n">
        <x:f>'店长明细'!$D534</x:f>
        <x:v>708</x:v>
      </x:c>
      <x:c r="I73" s="10" t="n">
        <x:f>'店长明细'!$E766</x:f>
        <x:v>823</x:v>
      </x:c>
      <x:c r="J73" s="10" t="n">
        <x:f>'店长明细'!$D766</x:f>
        <x:v>466</x:v>
      </x:c>
      <x:c r="K73" s="10" t="n">
        <x:f>'店长明细'!$E998</x:f>
        <x:v>0</x:v>
      </x:c>
      <x:c r="L73" s="10" t="n">
        <x:f>'店长明细'!$D998</x:f>
        <x:v>0</x:v>
      </x:c>
      <x:c r="M73" s="10" t="n">
        <x:f>'店长明细'!$E1230</x:f>
        <x:v>38</x:v>
      </x:c>
      <x:c r="N73" s="10" t="n">
        <x:f>'店长明细'!$D1230</x:f>
        <x:v>32</x:v>
      </x:c>
      <x:c r="O73" s="10" t="n">
        <x:f>'店长明细'!$E1462</x:f>
        <x:v>880</x:v>
      </x:c>
      <x:c r="P73" s="10" t="n">
        <x:f>'店长明细'!$D1462</x:f>
        <x:v>727</x:v>
      </x:c>
      <x:c r="Q73" s="10" t="n">
        <x:f>'店长明细'!$E1694</x:f>
        <x:v>46</x:v>
      </x:c>
      <x:c r="R73" s="10" t="n">
        <x:f>'店长明细'!$D1694</x:f>
        <x:v>30</x:v>
      </x:c>
      <x:c r="S73" s="10" t="n">
        <x:f>'店长明细'!$E1926</x:f>
        <x:v>18</x:v>
      </x:c>
      <x:c r="T73" s="10" t="n">
        <x:f>'店长明细'!$D1926</x:f>
        <x:v>15</x:v>
      </x:c>
      <x:c r="U73" s="10" t="n">
        <x:f>'店长明细'!$E2158</x:f>
        <x:v>262</x:v>
      </x:c>
      <x:c r="V73" s="10" t="n">
        <x:f>'店长明细'!$D2158</x:f>
        <x:v>137</x:v>
      </x:c>
      <x:c r="W73" s="11" t="n">
        <x:f>'店长明细'!$F70</x:f>
        <x:v>2208.01</x:v>
      </x:c>
      <x:c r="X73" s="11" t="n">
        <x:f>'店长明细'!$F302</x:f>
        <x:v>16143.18</x:v>
      </x:c>
      <x:c r="Y73" s="11" t="n">
        <x:f>'店长明细'!$F534</x:f>
        <x:v>8839.68</x:v>
      </x:c>
      <x:c r="Z73" s="11" t="n">
        <x:f>'店长明细'!$F766</x:f>
        <x:v>7633.06</x:v>
      </x:c>
      <x:c r="AA73" s="11" t="n">
        <x:f>'店长明细'!$F998</x:f>
        <x:v>0</x:v>
      </x:c>
      <x:c r="AB73" s="11" t="n">
        <x:f>'店长明细'!$F1230</x:f>
        <x:v>612.45</x:v>
      </x:c>
      <x:c r="AC73" s="11" t="n">
        <x:f>'店长明细'!$F1462</x:f>
        <x:v>10123.5</x:v>
      </x:c>
      <x:c r="AD73" s="11" t="n">
        <x:f>'店长明细'!$F1694</x:f>
        <x:v>899.28</x:v>
      </x:c>
      <x:c r="AE73" s="11" t="n">
        <x:f>'店长明细'!$F1926</x:f>
        <x:v>795.2</x:v>
      </x:c>
      <x:c r="AF73" s="11" t="n">
        <x:f>'店长明细'!$F2158</x:f>
        <x:v>2910.86</x:v>
      </x:c>
    </x:row>
    <x:row r="74">
      <x:c r="A74" t="str">
        <x:f>TEXT($B74,"mm-dd")</x:f>
        <x:v>03-11</x:v>
      </x:c>
      <x:c r="B74" s="9" t="n">
        <x:f>'店长明细'!$C71</x:f>
        <x:v>46092</x:v>
      </x:c>
      <x:c r="C74" s="10" t="n">
        <x:f>'店长明细'!$E71</x:f>
        <x:v>286</x:v>
      </x:c>
      <x:c r="D74" s="10" t="n">
        <x:f>'店长明细'!$D71</x:f>
        <x:v>171</x:v>
      </x:c>
      <x:c r="E74" s="10" t="n">
        <x:f>'店长明细'!$E303</x:f>
        <x:v>1370</x:v>
      </x:c>
      <x:c r="F74" s="10" t="n">
        <x:f>'店长明细'!$D303</x:f>
        <x:v>863</x:v>
      </x:c>
      <x:c r="G74" s="10" t="n">
        <x:f>'店长明细'!$E535</x:f>
        <x:v>1300</x:v>
      </x:c>
      <x:c r="H74" s="10" t="n">
        <x:f>'店长明细'!$D535</x:f>
        <x:v>652</x:v>
      </x:c>
      <x:c r="I74" s="10" t="n">
        <x:f>'店长明细'!$E767</x:f>
        <x:v>1106</x:v>
      </x:c>
      <x:c r="J74" s="10" t="n">
        <x:f>'店长明细'!$D767</x:f>
        <x:v>500</x:v>
      </x:c>
      <x:c r="K74" s="10" t="n">
        <x:f>'店长明细'!$E999</x:f>
        <x:v>2</x:v>
      </x:c>
      <x:c r="L74" s="10" t="n">
        <x:f>'店长明细'!$D999</x:f>
        <x:v>1</x:v>
      </x:c>
      <x:c r="M74" s="10" t="n">
        <x:f>'店长明细'!$E1231</x:f>
        <x:v>59</x:v>
      </x:c>
      <x:c r="N74" s="10" t="n">
        <x:f>'店长明细'!$D1231</x:f>
        <x:v>44</x:v>
      </x:c>
      <x:c r="O74" s="10" t="n">
        <x:f>'店长明细'!$E1463</x:f>
        <x:v>543</x:v>
      </x:c>
      <x:c r="P74" s="10" t="n">
        <x:f>'店长明细'!$D1463</x:f>
        <x:v>444</x:v>
      </x:c>
      <x:c r="Q74" s="10" t="n">
        <x:f>'店长明细'!$E1695</x:f>
        <x:v>28</x:v>
      </x:c>
      <x:c r="R74" s="10" t="n">
        <x:f>'店长明细'!$D1695</x:f>
        <x:v>20</x:v>
      </x:c>
      <x:c r="S74" s="10" t="n">
        <x:f>'店长明细'!$E1927</x:f>
        <x:v>14</x:v>
      </x:c>
      <x:c r="T74" s="10" t="n">
        <x:f>'店长明细'!$D1927</x:f>
        <x:v>12</x:v>
      </x:c>
      <x:c r="U74" s="10" t="n">
        <x:f>'店长明细'!$E2159</x:f>
        <x:v>350</x:v>
      </x:c>
      <x:c r="V74" s="10" t="n">
        <x:f>'店长明细'!$D2159</x:f>
        <x:v>169</x:v>
      </x:c>
      <x:c r="W74" s="11" t="n">
        <x:f>'店长明细'!$F71</x:f>
        <x:v>2204.21</x:v>
      </x:c>
      <x:c r="X74" s="11" t="n">
        <x:f>'店长明细'!$F303</x:f>
        <x:v>12514.65</x:v>
      </x:c>
      <x:c r="Y74" s="11" t="n">
        <x:f>'店长明细'!$F535</x:f>
        <x:v>7747.02</x:v>
      </x:c>
      <x:c r="Z74" s="11" t="n">
        <x:f>'店长明细'!$F767</x:f>
        <x:v>10148.85</x:v>
      </x:c>
      <x:c r="AA74" s="11" t="n">
        <x:f>'店长明细'!$F999</x:f>
        <x:v>23.16</x:v>
      </x:c>
      <x:c r="AB74" s="11" t="n">
        <x:f>'店长明细'!$F1231</x:f>
        <x:v>940.29</x:v>
      </x:c>
      <x:c r="AC74" s="11" t="n">
        <x:f>'店长明细'!$F1463</x:f>
        <x:v>7099.18</x:v>
      </x:c>
      <x:c r="AD74" s="11" t="n">
        <x:f>'店长明细'!$F1695</x:f>
        <x:v>527.78</x:v>
      </x:c>
      <x:c r="AE74" s="11" t="n">
        <x:f>'店长明细'!$F1927</x:f>
        <x:v>566.42</x:v>
      </x:c>
      <x:c r="AF74" s="11" t="n">
        <x:f>'店长明细'!$F2159</x:f>
        <x:v>3479.84</x:v>
      </x:c>
    </x:row>
    <x:row r="75">
      <x:c r="A75" t="str">
        <x:f>TEXT($B75,"mm-dd")</x:f>
        <x:v>03-12</x:v>
      </x:c>
      <x:c r="B75" s="9" t="n">
        <x:f>'店长明细'!$C72</x:f>
        <x:v>46093</x:v>
      </x:c>
      <x:c r="C75" s="10" t="n">
        <x:f>'店长明细'!$E72</x:f>
        <x:v>280</x:v>
      </x:c>
      <x:c r="D75" s="10" t="n">
        <x:f>'店长明细'!$D72</x:f>
        <x:v>171</x:v>
      </x:c>
      <x:c r="E75" s="10" t="n">
        <x:f>'店长明细'!$E304</x:f>
        <x:v>1193</x:v>
      </x:c>
      <x:c r="F75" s="10" t="n">
        <x:f>'店长明细'!$D304</x:f>
        <x:v>775</x:v>
      </x:c>
      <x:c r="G75" s="10" t="n">
        <x:f>'店长明细'!$E536</x:f>
        <x:v>1245</x:v>
      </x:c>
      <x:c r="H75" s="10" t="n">
        <x:f>'店长明细'!$D536</x:f>
        <x:v>617</x:v>
      </x:c>
      <x:c r="I75" s="10" t="n">
        <x:f>'店长明细'!$E768</x:f>
        <x:v>1413</x:v>
      </x:c>
      <x:c r="J75" s="10" t="n">
        <x:f>'店长明细'!$D768</x:f>
        <x:v>682</x:v>
      </x:c>
      <x:c r="K75" s="10" t="n">
        <x:f>'店长明细'!$E1000</x:f>
        <x:v>3</x:v>
      </x:c>
      <x:c r="L75" s="10" t="n">
        <x:f>'店长明细'!$D1000</x:f>
        <x:v>3</x:v>
      </x:c>
      <x:c r="M75" s="10" t="n">
        <x:f>'店长明细'!$E1232</x:f>
        <x:v>45</x:v>
      </x:c>
      <x:c r="N75" s="10" t="n">
        <x:f>'店长明细'!$D1232</x:f>
        <x:v>37</x:v>
      </x:c>
      <x:c r="O75" s="10" t="n">
        <x:f>'店长明细'!$E1464</x:f>
        <x:v>524</x:v>
      </x:c>
      <x:c r="P75" s="10" t="n">
        <x:f>'店长明细'!$D1464</x:f>
        <x:v>400</x:v>
      </x:c>
      <x:c r="Q75" s="10" t="n">
        <x:f>'店长明细'!$E1696</x:f>
        <x:v>53</x:v>
      </x:c>
      <x:c r="R75" s="10" t="n">
        <x:f>'店长明细'!$D1696</x:f>
        <x:v>28</x:v>
      </x:c>
      <x:c r="S75" s="10" t="n">
        <x:f>'店长明细'!$E1928</x:f>
        <x:v>4</x:v>
      </x:c>
      <x:c r="T75" s="10" t="n">
        <x:f>'店长明细'!$D1928</x:f>
        <x:v>4</x:v>
      </x:c>
      <x:c r="U75" s="10" t="n">
        <x:f>'店长明细'!$E2160</x:f>
        <x:v>282</x:v>
      </x:c>
      <x:c r="V75" s="10" t="n">
        <x:f>'店长明细'!$D2160</x:f>
        <x:v>154</x:v>
      </x:c>
      <x:c r="W75" s="11" t="n">
        <x:f>'店长明细'!$F72</x:f>
        <x:v>2269.32</x:v>
      </x:c>
      <x:c r="X75" s="11" t="n">
        <x:f>'店长明细'!$F304</x:f>
        <x:v>11128.73</x:v>
      </x:c>
      <x:c r="Y75" s="11" t="n">
        <x:f>'店长明细'!$F536</x:f>
        <x:v>7870.33</x:v>
      </x:c>
      <x:c r="Z75" s="11" t="n">
        <x:f>'店长明细'!$F768</x:f>
        <x:v>11921.16</x:v>
      </x:c>
      <x:c r="AA75" s="11" t="n">
        <x:f>'店长明细'!$F1000</x:f>
        <x:v>39.94</x:v>
      </x:c>
      <x:c r="AB75" s="11" t="n">
        <x:f>'店长明细'!$F1232</x:f>
        <x:v>673.22</x:v>
      </x:c>
      <x:c r="AC75" s="11" t="n">
        <x:f>'店长明细'!$F1464</x:f>
        <x:v>7052.6</x:v>
      </x:c>
      <x:c r="AD75" s="11" t="n">
        <x:f>'店长明细'!$F1696</x:f>
        <x:v>617.07</x:v>
      </x:c>
      <x:c r="AE75" s="11" t="n">
        <x:f>'店长明细'!$F1928</x:f>
        <x:v>189.18</x:v>
      </x:c>
      <x:c r="AF75" s="11" t="n">
        <x:f>'店长明细'!$F2160</x:f>
        <x:v>2903.64</x:v>
      </x:c>
    </x:row>
    <x:row r="76">
      <x:c r="A76" t="str">
        <x:f>TEXT($B76,"mm-dd")</x:f>
        <x:v>03-13</x:v>
      </x:c>
      <x:c r="B76" s="9" t="n">
        <x:f>'店长明细'!$C73</x:f>
        <x:v>46094</x:v>
      </x:c>
      <x:c r="C76" s="10" t="n">
        <x:f>'店长明细'!$E73</x:f>
        <x:v>340</x:v>
      </x:c>
      <x:c r="D76" s="10" t="n">
        <x:f>'店长明细'!$D73</x:f>
        <x:v>205</x:v>
      </x:c>
      <x:c r="E76" s="10" t="n">
        <x:f>'店长明细'!$E305</x:f>
        <x:v>1250</x:v>
      </x:c>
      <x:c r="F76" s="10" t="n">
        <x:f>'店长明细'!$D305</x:f>
        <x:v>685</x:v>
      </x:c>
      <x:c r="G76" s="10" t="n">
        <x:f>'店长明细'!$E537</x:f>
        <x:v>1136</x:v>
      </x:c>
      <x:c r="H76" s="10" t="n">
        <x:f>'店长明细'!$D537</x:f>
        <x:v>559</x:v>
      </x:c>
      <x:c r="I76" s="10" t="n">
        <x:f>'店长明细'!$E769</x:f>
        <x:v>1077</x:v>
      </x:c>
      <x:c r="J76" s="10" t="n">
        <x:f>'店长明细'!$D769</x:f>
        <x:v>597</x:v>
      </x:c>
      <x:c r="K76" s="10" t="n">
        <x:f>'店长明细'!$E1001</x:f>
        <x:v>4</x:v>
      </x:c>
      <x:c r="L76" s="10" t="n">
        <x:f>'店长明细'!$D1001</x:f>
        <x:v>2</x:v>
      </x:c>
      <x:c r="M76" s="10" t="n">
        <x:f>'店长明细'!$E1233</x:f>
        <x:v>56</x:v>
      </x:c>
      <x:c r="N76" s="10" t="n">
        <x:f>'店长明细'!$D1233</x:f>
        <x:v>43</x:v>
      </x:c>
      <x:c r="O76" s="10" t="n">
        <x:f>'店长明细'!$E1465</x:f>
        <x:v>430</x:v>
      </x:c>
      <x:c r="P76" s="10" t="n">
        <x:f>'店长明细'!$D1465</x:f>
        <x:v>357</x:v>
      </x:c>
      <x:c r="Q76" s="10" t="n">
        <x:f>'店长明细'!$E1697</x:f>
        <x:v>60</x:v>
      </x:c>
      <x:c r="R76" s="10" t="n">
        <x:f>'店长明细'!$D1697</x:f>
        <x:v>35</x:v>
      </x:c>
      <x:c r="S76" s="10" t="n">
        <x:f>'店长明细'!$E1929</x:f>
        <x:v>7</x:v>
      </x:c>
      <x:c r="T76" s="10" t="n">
        <x:f>'店长明细'!$D1929</x:f>
        <x:v>6</x:v>
      </x:c>
      <x:c r="U76" s="10" t="n">
        <x:f>'店长明细'!$E2161</x:f>
        <x:v>222</x:v>
      </x:c>
      <x:c r="V76" s="10" t="n">
        <x:f>'店长明细'!$D2161</x:f>
        <x:v>140</x:v>
      </x:c>
      <x:c r="W76" s="11" t="n">
        <x:f>'店长明细'!$F73</x:f>
        <x:v>2737.9</x:v>
      </x:c>
      <x:c r="X76" s="11" t="n">
        <x:f>'店长明细'!$F305</x:f>
        <x:v>10711.94</x:v>
      </x:c>
      <x:c r="Y76" s="11" t="n">
        <x:f>'店长明细'!$F537</x:f>
        <x:v>7508.45</x:v>
      </x:c>
      <x:c r="Z76" s="11" t="n">
        <x:f>'店长明细'!$F769</x:f>
        <x:v>10523.18</x:v>
      </x:c>
      <x:c r="AA76" s="11" t="n">
        <x:f>'店长明细'!$F1001</x:f>
        <x:v>25.92</x:v>
      </x:c>
      <x:c r="AB76" s="11" t="n">
        <x:f>'店长明细'!$F1233</x:f>
        <x:v>728.9</x:v>
      </x:c>
      <x:c r="AC76" s="11" t="n">
        <x:f>'店长明细'!$F1465</x:f>
        <x:v>5988.16</x:v>
      </x:c>
      <x:c r="AD76" s="11" t="n">
        <x:f>'店长明细'!$F1697</x:f>
        <x:v>923.15</x:v>
      </x:c>
      <x:c r="AE76" s="11" t="n">
        <x:f>'店长明细'!$F1929</x:f>
        <x:v>408.1</x:v>
      </x:c>
      <x:c r="AF76" s="11" t="n">
        <x:f>'店长明细'!$F2161</x:f>
        <x:v>2566.19</x:v>
      </x:c>
    </x:row>
    <x:row r="77">
      <x:c r="A77" t="str">
        <x:f>TEXT($B77,"mm-dd")</x:f>
        <x:v>03-14</x:v>
      </x:c>
      <x:c r="B77" s="9" t="n">
        <x:f>'店长明细'!$C74</x:f>
        <x:v>46095</x:v>
      </x:c>
      <x:c r="C77" s="10" t="n">
        <x:f>'店长明细'!$E74</x:f>
        <x:v>269</x:v>
      </x:c>
      <x:c r="D77" s="10" t="n">
        <x:f>'店长明细'!$D74</x:f>
        <x:v>198</x:v>
      </x:c>
      <x:c r="E77" s="10" t="n">
        <x:f>'店长明细'!$E306</x:f>
        <x:v>1064</x:v>
      </x:c>
      <x:c r="F77" s="10" t="n">
        <x:f>'店长明细'!$D306</x:f>
        <x:v>707</x:v>
      </x:c>
      <x:c r="G77" s="10" t="n">
        <x:f>'店长明细'!$E538</x:f>
        <x:v>928</x:v>
      </x:c>
      <x:c r="H77" s="10" t="n">
        <x:f>'店长明细'!$D538</x:f>
        <x:v>440</x:v>
      </x:c>
      <x:c r="I77" s="10" t="n">
        <x:f>'店长明细'!$E770</x:f>
        <x:v>1272</x:v>
      </x:c>
      <x:c r="J77" s="10" t="n">
        <x:f>'店长明细'!$D770</x:f>
        <x:v>628</x:v>
      </x:c>
      <x:c r="K77" s="10" t="n">
        <x:f>'店长明细'!$E1002</x:f>
        <x:v>1</x:v>
      </x:c>
      <x:c r="L77" s="10" t="n">
        <x:f>'店长明细'!$D1002</x:f>
        <x:v>1</x:v>
      </x:c>
      <x:c r="M77" s="10" t="n">
        <x:f>'店长明细'!$E1234</x:f>
        <x:v>38</x:v>
      </x:c>
      <x:c r="N77" s="10" t="n">
        <x:f>'店长明细'!$D1234</x:f>
        <x:v>32</x:v>
      </x:c>
      <x:c r="O77" s="10" t="n">
        <x:f>'店长明细'!$E1466</x:f>
        <x:v>590</x:v>
      </x:c>
      <x:c r="P77" s="10" t="n">
        <x:f>'店长明细'!$D1466</x:f>
        <x:v>384</x:v>
      </x:c>
      <x:c r="Q77" s="10" t="n">
        <x:f>'店长明细'!$E1698</x:f>
        <x:v>41</x:v>
      </x:c>
      <x:c r="R77" s="10" t="n">
        <x:f>'店长明细'!$D1698</x:f>
        <x:v>22</x:v>
      </x:c>
      <x:c r="S77" s="10" t="n">
        <x:f>'店长明细'!$E1930</x:f>
        <x:v>14</x:v>
      </x:c>
      <x:c r="T77" s="10" t="n">
        <x:f>'店长明细'!$D1930</x:f>
        <x:v>13</x:v>
      </x:c>
      <x:c r="U77" s="10" t="n">
        <x:f>'店长明细'!$E2162</x:f>
        <x:v>293</x:v>
      </x:c>
      <x:c r="V77" s="10" t="n">
        <x:f>'店长明细'!$D2162</x:f>
        <x:v>177</x:v>
      </x:c>
      <x:c r="W77" s="11" t="n">
        <x:f>'店长明细'!$F74</x:f>
        <x:v>2416.96</x:v>
      </x:c>
      <x:c r="X77" s="11" t="n">
        <x:f>'店长明细'!$F306</x:f>
        <x:v>8897.14</x:v>
      </x:c>
      <x:c r="Y77" s="11" t="n">
        <x:f>'店长明细'!$F538</x:f>
        <x:v>5414.38</x:v>
      </x:c>
      <x:c r="Z77" s="11" t="n">
        <x:f>'店长明细'!$F770</x:f>
        <x:v>11597.79</x:v>
      </x:c>
      <x:c r="AA77" s="11" t="n">
        <x:f>'店长明细'!$F1002</x:f>
        <x:v>8.51</x:v>
      </x:c>
      <x:c r="AB77" s="11" t="n">
        <x:f>'店长明细'!$F1234</x:f>
        <x:v>437.28</x:v>
      </x:c>
      <x:c r="AC77" s="11" t="n">
        <x:f>'店长明细'!$F1466</x:f>
        <x:v>7313.42</x:v>
      </x:c>
      <x:c r="AD77" s="11" t="n">
        <x:f>'店长明细'!$F1698</x:f>
        <x:v>542.06</x:v>
      </x:c>
      <x:c r="AE77" s="11" t="n">
        <x:f>'店长明细'!$F1930</x:f>
        <x:v>551.6</x:v>
      </x:c>
      <x:c r="AF77" s="11" t="n">
        <x:f>'店长明细'!$F2162</x:f>
        <x:v>3800.16</x:v>
      </x:c>
    </x:row>
    <x:row r="78">
      <x:c r="A78" t="str">
        <x:f>TEXT($B78,"mm-dd")</x:f>
        <x:v>03-15</x:v>
      </x:c>
      <x:c r="B78" s="9" t="n">
        <x:f>'店长明细'!$C75</x:f>
        <x:v>46096</x:v>
      </x:c>
      <x:c r="C78" s="10" t="n">
        <x:f>'店长明细'!$E75</x:f>
        <x:v>297</x:v>
      </x:c>
      <x:c r="D78" s="10" t="n">
        <x:f>'店长明细'!$D75</x:f>
        <x:v>193</x:v>
      </x:c>
      <x:c r="E78" s="10" t="n">
        <x:f>'店长明细'!$E307</x:f>
        <x:v>1148</x:v>
      </x:c>
      <x:c r="F78" s="10" t="n">
        <x:f>'店长明细'!$D307</x:f>
        <x:v>731</x:v>
      </x:c>
      <x:c r="G78" s="10" t="n">
        <x:f>'店长明细'!$E539</x:f>
        <x:v>1124</x:v>
      </x:c>
      <x:c r="H78" s="10" t="n">
        <x:f>'店长明细'!$D539</x:f>
        <x:v>528</x:v>
      </x:c>
      <x:c r="I78" s="10" t="n">
        <x:f>'店长明细'!$E771</x:f>
        <x:v>1243</x:v>
      </x:c>
      <x:c r="J78" s="10" t="n">
        <x:f>'店长明细'!$D771</x:f>
        <x:v>698</x:v>
      </x:c>
      <x:c r="K78" s="10" t="n">
        <x:f>'店长明细'!$E1003</x:f>
        <x:v>0</x:v>
      </x:c>
      <x:c r="L78" s="10" t="n">
        <x:f>'店长明细'!$D1003</x:f>
        <x:v>0</x:v>
      </x:c>
      <x:c r="M78" s="10" t="n">
        <x:f>'店长明细'!$E1235</x:f>
        <x:v>39</x:v>
      </x:c>
      <x:c r="N78" s="10" t="n">
        <x:f>'店长明细'!$D1235</x:f>
        <x:v>33</x:v>
      </x:c>
      <x:c r="O78" s="10" t="n">
        <x:f>'店长明细'!$E1467</x:f>
        <x:v>621</x:v>
      </x:c>
      <x:c r="P78" s="10" t="n">
        <x:f>'店长明细'!$D1467</x:f>
        <x:v>430</x:v>
      </x:c>
      <x:c r="Q78" s="10" t="n">
        <x:f>'店长明细'!$E1699</x:f>
        <x:v>16</x:v>
      </x:c>
      <x:c r="R78" s="10" t="n">
        <x:f>'店长明细'!$D1699</x:f>
        <x:v>10</x:v>
      </x:c>
      <x:c r="S78" s="10" t="n">
        <x:f>'店长明细'!$E1931</x:f>
        <x:v>5</x:v>
      </x:c>
      <x:c r="T78" s="10" t="n">
        <x:f>'店长明细'!$D1931</x:f>
        <x:v>5</x:v>
      </x:c>
      <x:c r="U78" s="10" t="n">
        <x:f>'店长明细'!$E2163</x:f>
        <x:v>266</x:v>
      </x:c>
      <x:c r="V78" s="10" t="n">
        <x:f>'店长明细'!$D2163</x:f>
        <x:v>146</x:v>
      </x:c>
      <x:c r="W78" s="11" t="n">
        <x:f>'店长明细'!$F75</x:f>
        <x:v>2570.9</x:v>
      </x:c>
      <x:c r="X78" s="11" t="n">
        <x:f>'店长明细'!$F307</x:f>
        <x:v>10088.38</x:v>
      </x:c>
      <x:c r="Y78" s="11" t="n">
        <x:f>'店长明细'!$F539</x:f>
        <x:v>7361.28</x:v>
      </x:c>
      <x:c r="Z78" s="11" t="n">
        <x:f>'店长明细'!$F771</x:f>
        <x:v>12036.55</x:v>
      </x:c>
      <x:c r="AA78" s="11" t="n">
        <x:f>'店长明细'!$F1003</x:f>
        <x:v>0</x:v>
      </x:c>
      <x:c r="AB78" s="11" t="n">
        <x:f>'店长明细'!$F1235</x:f>
        <x:v>564.78</x:v>
      </x:c>
      <x:c r="AC78" s="11" t="n">
        <x:f>'店长明细'!$F1467</x:f>
        <x:v>7706.01</x:v>
      </x:c>
      <x:c r="AD78" s="11" t="n">
        <x:f>'店长明细'!$F1699</x:f>
        <x:v>309.35</x:v>
      </x:c>
      <x:c r="AE78" s="11" t="n">
        <x:f>'店长明细'!$F1931</x:f>
        <x:v>168.44</x:v>
      </x:c>
      <x:c r="AF78" s="11" t="n">
        <x:f>'店长明细'!$F2163</x:f>
        <x:v>3486.05</x:v>
      </x:c>
    </x:row>
    <x:row r="79">
      <x:c r="A79" t="str">
        <x:f>TEXT($B79,"mm-dd")</x:f>
        <x:v>03-16</x:v>
      </x:c>
      <x:c r="B79" s="9" t="n">
        <x:f>'店长明细'!$C76</x:f>
        <x:v>46097</x:v>
      </x:c>
      <x:c r="C79" s="10" t="n">
        <x:f>'店长明细'!$E76</x:f>
        <x:v>263</x:v>
      </x:c>
      <x:c r="D79" s="10" t="n">
        <x:f>'店长明细'!$D76</x:f>
        <x:v>188</x:v>
      </x:c>
      <x:c r="E79" s="10" t="n">
        <x:f>'店长明细'!$E308</x:f>
        <x:v>1316</x:v>
      </x:c>
      <x:c r="F79" s="10" t="n">
        <x:f>'店长明细'!$D308</x:f>
        <x:v>715</x:v>
      </x:c>
      <x:c r="G79" s="10" t="n">
        <x:f>'店长明细'!$E540</x:f>
        <x:v>990</x:v>
      </x:c>
      <x:c r="H79" s="10" t="n">
        <x:f>'店长明细'!$D540</x:f>
        <x:v>456</x:v>
      </x:c>
      <x:c r="I79" s="10" t="n">
        <x:f>'店长明细'!$E772</x:f>
        <x:v>1504</x:v>
      </x:c>
      <x:c r="J79" s="10" t="n">
        <x:f>'店长明细'!$D772</x:f>
        <x:v>863</x:v>
      </x:c>
      <x:c r="K79" s="10" t="n">
        <x:f>'店长明细'!$E1004</x:f>
        <x:v>7</x:v>
      </x:c>
      <x:c r="L79" s="10" t="n">
        <x:f>'店长明细'!$D1004</x:f>
        <x:v>2</x:v>
      </x:c>
      <x:c r="M79" s="10" t="n">
        <x:f>'店长明细'!$E1236</x:f>
        <x:v>48</x:v>
      </x:c>
      <x:c r="N79" s="10" t="n">
        <x:f>'店长明细'!$D1236</x:f>
        <x:v>40</x:v>
      </x:c>
      <x:c r="O79" s="10" t="n">
        <x:f>'店长明细'!$E1468</x:f>
        <x:v>640</x:v>
      </x:c>
      <x:c r="P79" s="10" t="n">
        <x:f>'店长明细'!$D1468</x:f>
        <x:v>439</x:v>
      </x:c>
      <x:c r="Q79" s="10" t="n">
        <x:f>'店长明细'!$E1700</x:f>
        <x:v>34</x:v>
      </x:c>
      <x:c r="R79" s="10" t="n">
        <x:f>'店长明细'!$D1700</x:f>
        <x:v>18</x:v>
      </x:c>
      <x:c r="S79" s="10" t="n">
        <x:f>'店长明细'!$E1932</x:f>
        <x:v>6</x:v>
      </x:c>
      <x:c r="T79" s="10" t="n">
        <x:f>'店长明细'!$D1932</x:f>
        <x:v>4</x:v>
      </x:c>
      <x:c r="U79" s="10" t="n">
        <x:f>'店长明细'!$E2164</x:f>
        <x:v>263</x:v>
      </x:c>
      <x:c r="V79" s="10" t="n">
        <x:f>'店长明细'!$D2164</x:f>
        <x:v>131</x:v>
      </x:c>
      <x:c r="W79" s="11" t="n">
        <x:f>'店长明细'!$F76</x:f>
        <x:v>2171.18</x:v>
      </x:c>
      <x:c r="X79" s="11" t="n">
        <x:f>'店长明细'!$F308</x:f>
        <x:v>10253.81</x:v>
      </x:c>
      <x:c r="Y79" s="11" t="n">
        <x:f>'店长明细'!$F540</x:f>
        <x:v>5405.42</x:v>
      </x:c>
      <x:c r="Z79" s="11" t="n">
        <x:f>'店长明细'!$F772</x:f>
        <x:v>14714.45</x:v>
      </x:c>
      <x:c r="AA79" s="11" t="n">
        <x:f>'店长明细'!$F1004</x:f>
        <x:v>57.34</x:v>
      </x:c>
      <x:c r="AB79" s="11" t="n">
        <x:f>'店长明细'!$F1236</x:f>
        <x:v>576.44</x:v>
      </x:c>
      <x:c r="AC79" s="11" t="n">
        <x:f>'店长明细'!$F1468</x:f>
        <x:v>7403.58</x:v>
      </x:c>
      <x:c r="AD79" s="11" t="n">
        <x:f>'店长明细'!$F1700</x:f>
        <x:v>543.88</x:v>
      </x:c>
      <x:c r="AE79" s="11" t="n">
        <x:f>'店长明细'!$F1932</x:f>
        <x:v>251.04</x:v>
      </x:c>
      <x:c r="AF79" s="11" t="n">
        <x:f>'店长明细'!$F2164</x:f>
        <x:v>2995.66</x:v>
      </x:c>
    </x:row>
    <x:row r="80">
      <x:c r="A80" t="str">
        <x:f>TEXT($B80,"mm-dd")</x:f>
        <x:v>03-17</x:v>
      </x:c>
      <x:c r="B80" s="9" t="n">
        <x:f>'店长明细'!$C77</x:f>
        <x:v>46098</x:v>
      </x:c>
      <x:c r="C80" s="10" t="n">
        <x:f>'店长明细'!$E77</x:f>
        <x:v>241</x:v>
      </x:c>
      <x:c r="D80" s="10" t="n">
        <x:f>'店长明细'!$D77</x:f>
        <x:v>164</x:v>
      </x:c>
      <x:c r="E80" s="10" t="n">
        <x:f>'店长明细'!$E309</x:f>
        <x:v>965</x:v>
      </x:c>
      <x:c r="F80" s="10" t="n">
        <x:f>'店长明细'!$D309</x:f>
        <x:v>610</x:v>
      </x:c>
      <x:c r="G80" s="10" t="n">
        <x:f>'店长明细'!$E541</x:f>
        <x:v>1103</x:v>
      </x:c>
      <x:c r="H80" s="10" t="n">
        <x:f>'店长明细'!$D541</x:f>
        <x:v>496</x:v>
      </x:c>
      <x:c r="I80" s="10" t="n">
        <x:f>'店长明细'!$E773</x:f>
        <x:v>1717</x:v>
      </x:c>
      <x:c r="J80" s="10" t="n">
        <x:f>'店长明细'!$D773</x:f>
        <x:v>950</x:v>
      </x:c>
      <x:c r="K80" s="10" t="n">
        <x:f>'店长明细'!$E1005</x:f>
        <x:v>4</x:v>
      </x:c>
      <x:c r="L80" s="10" t="n">
        <x:f>'店长明细'!$D1005</x:f>
        <x:v>3</x:v>
      </x:c>
      <x:c r="M80" s="10" t="n">
        <x:f>'店长明细'!$E1237</x:f>
        <x:v>50</x:v>
      </x:c>
      <x:c r="N80" s="10" t="n">
        <x:f>'店长明细'!$D1237</x:f>
        <x:v>36</x:v>
      </x:c>
      <x:c r="O80" s="10" t="n">
        <x:f>'店长明细'!$E1469</x:f>
        <x:v>612</x:v>
      </x:c>
      <x:c r="P80" s="10" t="n">
        <x:f>'店长明细'!$D1469</x:f>
        <x:v>411</x:v>
      </x:c>
      <x:c r="Q80" s="10" t="n">
        <x:f>'店长明细'!$E1701</x:f>
        <x:v>27</x:v>
      </x:c>
      <x:c r="R80" s="10" t="n">
        <x:f>'店长明细'!$D1701</x:f>
        <x:v>10</x:v>
      </x:c>
      <x:c r="S80" s="10" t="n">
        <x:f>'店长明细'!$E1933</x:f>
        <x:v>7</x:v>
      </x:c>
      <x:c r="T80" s="10" t="n">
        <x:f>'店长明细'!$D1933</x:f>
        <x:v>7</x:v>
      </x:c>
      <x:c r="U80" s="10" t="n">
        <x:f>'店长明细'!$E2165</x:f>
        <x:v>262</x:v>
      </x:c>
      <x:c r="V80" s="10" t="n">
        <x:f>'店长明细'!$D2165</x:f>
        <x:v>146</x:v>
      </x:c>
      <x:c r="W80" s="11" t="n">
        <x:f>'店长明细'!$F77</x:f>
        <x:v>1946.67</x:v>
      </x:c>
      <x:c r="X80" s="11" t="n">
        <x:f>'店长明细'!$F309</x:f>
        <x:v>7962.78</x:v>
      </x:c>
      <x:c r="Y80" s="11" t="n">
        <x:f>'店长明细'!$F541</x:f>
        <x:v>6861.9</x:v>
      </x:c>
      <x:c r="Z80" s="11" t="n">
        <x:f>'店长明细'!$F773</x:f>
        <x:v>17288.79</x:v>
      </x:c>
      <x:c r="AA80" s="11" t="n">
        <x:f>'店长明细'!$F1005</x:f>
        <x:v>28.72</x:v>
      </x:c>
      <x:c r="AB80" s="11" t="n">
        <x:f>'店长明细'!$F1237</x:f>
        <x:v>627.27</x:v>
      </x:c>
      <x:c r="AC80" s="11" t="n">
        <x:f>'店长明细'!$F1469</x:f>
        <x:v>7430.92</x:v>
      </x:c>
      <x:c r="AD80" s="11" t="n">
        <x:f>'店长明细'!$F1701</x:f>
        <x:v>503.05</x:v>
      </x:c>
      <x:c r="AE80" s="11" t="n">
        <x:f>'店长明细'!$F1933</x:f>
        <x:v>334.17</x:v>
      </x:c>
      <x:c r="AF80" s="11" t="n">
        <x:f>'店长明细'!$F2165</x:f>
        <x:v>3207.34</x:v>
      </x:c>
    </x:row>
    <x:row r="81">
      <x:c r="A81" t="str">
        <x:f>TEXT($B81,"mm-dd")</x:f>
        <x:v>03-18</x:v>
      </x:c>
      <x:c r="B81" s="9" t="n">
        <x:f>'店长明细'!$C78</x:f>
        <x:v>46099</x:v>
      </x:c>
      <x:c r="C81" s="10" t="n">
        <x:f>'店长明细'!$E78</x:f>
        <x:v>221</x:v>
      </x:c>
      <x:c r="D81" s="10" t="n">
        <x:f>'店长明细'!$D78</x:f>
        <x:v>137</x:v>
      </x:c>
      <x:c r="E81" s="10" t="n">
        <x:f>'店长明细'!$E310</x:f>
        <x:v>849</x:v>
      </x:c>
      <x:c r="F81" s="10" t="n">
        <x:f>'店长明细'!$D310</x:f>
        <x:v>430</x:v>
      </x:c>
      <x:c r="G81" s="10" t="n">
        <x:f>'店长明细'!$E542</x:f>
        <x:v>1014</x:v>
      </x:c>
      <x:c r="H81" s="10" t="n">
        <x:f>'店长明细'!$D542</x:f>
        <x:v>451</x:v>
      </x:c>
      <x:c r="I81" s="10" t="n">
        <x:f>'店长明细'!$E774</x:f>
        <x:v>1401</x:v>
      </x:c>
      <x:c r="J81" s="10" t="n">
        <x:f>'店长明细'!$D774</x:f>
        <x:v>745</x:v>
      </x:c>
      <x:c r="K81" s="10" t="n">
        <x:f>'店长明细'!$E1006</x:f>
        <x:v>2</x:v>
      </x:c>
      <x:c r="L81" s="10" t="n">
        <x:f>'店长明细'!$D1006</x:f>
        <x:v>1</x:v>
      </x:c>
      <x:c r="M81" s="10" t="n">
        <x:f>'店长明细'!$E1238</x:f>
        <x:v>62</x:v>
      </x:c>
      <x:c r="N81" s="10" t="n">
        <x:f>'店长明细'!$D1238</x:f>
        <x:v>44</x:v>
      </x:c>
      <x:c r="O81" s="10" t="n">
        <x:f>'店长明细'!$E1470</x:f>
        <x:v>693</x:v>
      </x:c>
      <x:c r="P81" s="10" t="n">
        <x:f>'店长明细'!$D1470</x:f>
        <x:v>507</x:v>
      </x:c>
      <x:c r="Q81" s="10" t="n">
        <x:f>'店长明细'!$E1702</x:f>
        <x:v>38</x:v>
      </x:c>
      <x:c r="R81" s="10" t="n">
        <x:f>'店长明细'!$D1702</x:f>
        <x:v>21</x:v>
      </x:c>
      <x:c r="S81" s="10" t="n">
        <x:f>'店长明细'!$E1934</x:f>
        <x:v>29</x:v>
      </x:c>
      <x:c r="T81" s="10" t="n">
        <x:f>'店长明细'!$D1934</x:f>
        <x:v>23</x:v>
      </x:c>
      <x:c r="U81" s="10" t="n">
        <x:f>'店长明细'!$E2166</x:f>
        <x:v>290</x:v>
      </x:c>
      <x:c r="V81" s="10" t="n">
        <x:f>'店长明细'!$D2166</x:f>
        <x:v>148</x:v>
      </x:c>
      <x:c r="W81" s="11" t="n">
        <x:f>'店长明细'!$F78</x:f>
        <x:v>1704.72</x:v>
      </x:c>
      <x:c r="X81" s="11" t="n">
        <x:f>'店长明细'!$F310</x:f>
        <x:v>6218.9</x:v>
      </x:c>
      <x:c r="Y81" s="11" t="n">
        <x:f>'店长明细'!$F542</x:f>
        <x:v>5668.05</x:v>
      </x:c>
      <x:c r="Z81" s="11" t="n">
        <x:f>'店长明细'!$F774</x:f>
        <x:v>12644.29</x:v>
      </x:c>
      <x:c r="AA81" s="11" t="n">
        <x:f>'店长明细'!$F1006</x:f>
        <x:v>18.7</x:v>
      </x:c>
      <x:c r="AB81" s="11" t="n">
        <x:f>'店长明细'!$F1238</x:f>
        <x:v>899.81</x:v>
      </x:c>
      <x:c r="AC81" s="11" t="n">
        <x:f>'店长明细'!$F1470</x:f>
        <x:v>8421.1</x:v>
      </x:c>
      <x:c r="AD81" s="11" t="n">
        <x:f>'店长明细'!$F1702</x:f>
        <x:v>502.09</x:v>
      </x:c>
      <x:c r="AE81" s="11" t="n">
        <x:f>'店长明细'!$F1934</x:f>
        <x:v>1352.61</x:v>
      </x:c>
      <x:c r="AF81" s="11" t="n">
        <x:f>'店长明细'!$F2166</x:f>
        <x:v>3499.39</x:v>
      </x:c>
    </x:row>
    <x:row r="82">
      <x:c r="A82" t="str">
        <x:f>TEXT($B82,"mm-dd")</x:f>
        <x:v>03-19</x:v>
      </x:c>
      <x:c r="B82" s="9" t="n">
        <x:f>'店长明细'!$C79</x:f>
        <x:v>46100</x:v>
      </x:c>
      <x:c r="C82" s="10" t="n">
        <x:f>'店长明细'!$E79</x:f>
        <x:v>212</x:v>
      </x:c>
      <x:c r="D82" s="10" t="n">
        <x:f>'店长明细'!$D79</x:f>
        <x:v>131</x:v>
      </x:c>
      <x:c r="E82" s="10" t="n">
        <x:f>'店长明细'!$E311</x:f>
        <x:v>672</x:v>
      </x:c>
      <x:c r="F82" s="10" t="n">
        <x:f>'店长明细'!$D311</x:f>
        <x:v>343</x:v>
      </x:c>
      <x:c r="G82" s="10" t="n">
        <x:f>'店长明细'!$E543</x:f>
        <x:v>883</x:v>
      </x:c>
      <x:c r="H82" s="10" t="n">
        <x:f>'店长明细'!$D543</x:f>
        <x:v>389</x:v>
      </x:c>
      <x:c r="I82" s="10" t="n">
        <x:f>'店长明细'!$E775</x:f>
        <x:v>1419</x:v>
      </x:c>
      <x:c r="J82" s="10" t="n">
        <x:f>'店长明细'!$D775</x:f>
        <x:v>752</x:v>
      </x:c>
      <x:c r="K82" s="10" t="n">
        <x:f>'店长明细'!$E1007</x:f>
        <x:v>4</x:v>
      </x:c>
      <x:c r="L82" s="10" t="n">
        <x:f>'店长明细'!$D1007</x:f>
        <x:v>2</x:v>
      </x:c>
      <x:c r="M82" s="10" t="n">
        <x:f>'店长明细'!$E1239</x:f>
        <x:v>78</x:v>
      </x:c>
      <x:c r="N82" s="10" t="n">
        <x:f>'店长明细'!$D1239</x:f>
        <x:v>51</x:v>
      </x:c>
      <x:c r="O82" s="10" t="n">
        <x:f>'店长明细'!$E1471</x:f>
        <x:v>665</x:v>
      </x:c>
      <x:c r="P82" s="10" t="n">
        <x:f>'店长明细'!$D1471</x:f>
        <x:v>421</x:v>
      </x:c>
      <x:c r="Q82" s="10" t="n">
        <x:f>'店长明细'!$E1703</x:f>
        <x:v>33</x:v>
      </x:c>
      <x:c r="R82" s="10" t="n">
        <x:f>'店长明细'!$D1703</x:f>
        <x:v>21</x:v>
      </x:c>
      <x:c r="S82" s="10" t="n">
        <x:f>'店长明细'!$E1935</x:f>
        <x:v>8</x:v>
      </x:c>
      <x:c r="T82" s="10" t="n">
        <x:f>'店长明细'!$D1935</x:f>
        <x:v>8</x:v>
      </x:c>
      <x:c r="U82" s="10" t="n">
        <x:f>'店长明细'!$E2167</x:f>
        <x:v>232</x:v>
      </x:c>
      <x:c r="V82" s="10" t="n">
        <x:f>'店长明细'!$D2167</x:f>
        <x:v>126</x:v>
      </x:c>
      <x:c r="W82" s="11" t="n">
        <x:f>'店长明细'!$F79</x:f>
        <x:v>1629.13</x:v>
      </x:c>
      <x:c r="X82" s="11" t="n">
        <x:f>'店长明细'!$F311</x:f>
        <x:v>5527.82</x:v>
      </x:c>
      <x:c r="Y82" s="11" t="n">
        <x:f>'店长明细'!$F543</x:f>
        <x:v>4833.54</x:v>
      </x:c>
      <x:c r="Z82" s="11" t="n">
        <x:f>'店长明细'!$F775</x:f>
        <x:v>13875.08</x:v>
      </x:c>
      <x:c r="AA82" s="11" t="n">
        <x:f>'店长明细'!$F1007</x:f>
        <x:v>37.33</x:v>
      </x:c>
      <x:c r="AB82" s="11" t="n">
        <x:f>'店长明细'!$F1239</x:f>
        <x:v>858.38</x:v>
      </x:c>
      <x:c r="AC82" s="11" t="n">
        <x:f>'店长明细'!$F1471</x:f>
        <x:v>7898.61</x:v>
      </x:c>
      <x:c r="AD82" s="11" t="n">
        <x:f>'店长明细'!$F1703</x:f>
        <x:v>595.67</x:v>
      </x:c>
      <x:c r="AE82" s="11" t="n">
        <x:f>'店长明细'!$F1935</x:f>
        <x:v>321.79</x:v>
      </x:c>
      <x:c r="AF82" s="11" t="n">
        <x:f>'店长明细'!$F2167</x:f>
        <x:v>2650.99</x:v>
      </x:c>
    </x:row>
    <x:row r="83">
      <x:c r="A83" t="str">
        <x:f>TEXT($B83,"mm-dd")</x:f>
        <x:v>03-20</x:v>
      </x:c>
      <x:c r="B83" s="9" t="n">
        <x:f>'店长明细'!$C80</x:f>
        <x:v>46101</x:v>
      </x:c>
      <x:c r="C83" s="10" t="n">
        <x:f>'店长明细'!$E80</x:f>
        <x:v>315</x:v>
      </x:c>
      <x:c r="D83" s="10" t="n">
        <x:f>'店长明细'!$D80</x:f>
        <x:v>197</x:v>
      </x:c>
      <x:c r="E83" s="10" t="n">
        <x:f>'店长明细'!$E312</x:f>
        <x:v>555</x:v>
      </x:c>
      <x:c r="F83" s="10" t="n">
        <x:f>'店长明细'!$D312</x:f>
        <x:v>314</x:v>
      </x:c>
      <x:c r="G83" s="10" t="n">
        <x:f>'店长明细'!$E544</x:f>
        <x:v>1097</x:v>
      </x:c>
      <x:c r="H83" s="10" t="n">
        <x:f>'店长明细'!$D544</x:f>
        <x:v>488</x:v>
      </x:c>
      <x:c r="I83" s="10" t="n">
        <x:f>'店长明细'!$E776</x:f>
        <x:v>1518</x:v>
      </x:c>
      <x:c r="J83" s="10" t="n">
        <x:f>'店长明细'!$D776</x:f>
        <x:v>840</x:v>
      </x:c>
      <x:c r="K83" s="10" t="n">
        <x:f>'店长明细'!$E1008</x:f>
        <x:v>2</x:v>
      </x:c>
      <x:c r="L83" s="10" t="n">
        <x:f>'店长明细'!$D1008</x:f>
        <x:v>2</x:v>
      </x:c>
      <x:c r="M83" s="10" t="n">
        <x:f>'店长明细'!$E1240</x:f>
        <x:v>57</x:v>
      </x:c>
      <x:c r="N83" s="10" t="n">
        <x:f>'店长明细'!$D1240</x:f>
        <x:v>49</x:v>
      </x:c>
      <x:c r="O83" s="10" t="n">
        <x:f>'店长明细'!$E1472</x:f>
        <x:v>718</x:v>
      </x:c>
      <x:c r="P83" s="10" t="n">
        <x:f>'店长明细'!$D1472</x:f>
        <x:v>457</x:v>
      </x:c>
      <x:c r="Q83" s="10" t="n">
        <x:f>'店长明细'!$E1704</x:f>
        <x:v>28</x:v>
      </x:c>
      <x:c r="R83" s="10" t="n">
        <x:f>'店长明细'!$D1704</x:f>
        <x:v>19</x:v>
      </x:c>
      <x:c r="S83" s="10" t="n">
        <x:f>'店长明细'!$E1936</x:f>
        <x:v>10</x:v>
      </x:c>
      <x:c r="T83" s="10" t="n">
        <x:f>'店长明细'!$D1936</x:f>
        <x:v>9</x:v>
      </x:c>
      <x:c r="U83" s="10" t="n">
        <x:f>'店长明细'!$E2168</x:f>
        <x:v>292</x:v>
      </x:c>
      <x:c r="V83" s="10" t="n">
        <x:f>'店长明细'!$D2168</x:f>
        <x:v>139</x:v>
      </x:c>
      <x:c r="W83" s="11" t="n">
        <x:f>'店长明细'!$F80</x:f>
        <x:v>2436.42</x:v>
      </x:c>
      <x:c r="X83" s="11" t="n">
        <x:f>'店长明细'!$F312</x:f>
        <x:v>4531.18</x:v>
      </x:c>
      <x:c r="Y83" s="11" t="n">
        <x:f>'店长明细'!$F544</x:f>
        <x:v>6017.37</x:v>
      </x:c>
      <x:c r="Z83" s="11" t="n">
        <x:f>'店长明细'!$F776</x:f>
        <x:v>13751.88</x:v>
      </x:c>
      <x:c r="AA83" s="11" t="n">
        <x:f>'店长明细'!$F1008</x:f>
        <x:v>27.34</x:v>
      </x:c>
      <x:c r="AB83" s="11" t="n">
        <x:f>'店长明细'!$F1240</x:f>
        <x:v>673.63</x:v>
      </x:c>
      <x:c r="AC83" s="11" t="n">
        <x:f>'店长明细'!$F1472</x:f>
        <x:v>8526.58</x:v>
      </x:c>
      <x:c r="AD83" s="11" t="n">
        <x:f>'店长明细'!$F1704</x:f>
        <x:v>649.56</x:v>
      </x:c>
      <x:c r="AE83" s="11" t="n">
        <x:f>'店长明细'!$F1936</x:f>
        <x:v>413.99</x:v>
      </x:c>
      <x:c r="AF83" s="11" t="n">
        <x:f>'店长明细'!$F2168</x:f>
        <x:v>3405.31</x:v>
      </x:c>
    </x:row>
    <x:row r="84">
      <x:c r="A84" t="str">
        <x:f>TEXT($B84,"mm-dd")</x:f>
        <x:v>03-21</x:v>
      </x:c>
      <x:c r="B84" s="9" t="n">
        <x:f>'店长明细'!$C81</x:f>
        <x:v>46102</x:v>
      </x:c>
      <x:c r="C84" s="10" t="n">
        <x:f>'店长明细'!$E81</x:f>
        <x:v>441</x:v>
      </x:c>
      <x:c r="D84" s="10" t="n">
        <x:f>'店长明细'!$D81</x:f>
        <x:v>271</x:v>
      </x:c>
      <x:c r="E84" s="10" t="n">
        <x:f>'店长明细'!$E313</x:f>
        <x:v>585</x:v>
      </x:c>
      <x:c r="F84" s="10" t="n">
        <x:f>'店长明细'!$D313</x:f>
        <x:v>341</x:v>
      </x:c>
      <x:c r="G84" s="10" t="n">
        <x:f>'店长明细'!$E545</x:f>
        <x:v>945</x:v>
      </x:c>
      <x:c r="H84" s="10" t="n">
        <x:f>'店长明细'!$D545</x:f>
        <x:v>457</x:v>
      </x:c>
      <x:c r="I84" s="10" t="n">
        <x:f>'店长明细'!$E777</x:f>
        <x:v>1291</x:v>
      </x:c>
      <x:c r="J84" s="10" t="n">
        <x:f>'店长明细'!$D777</x:f>
        <x:v>719</x:v>
      </x:c>
      <x:c r="K84" s="10" t="n">
        <x:f>'店长明细'!$E1009</x:f>
        <x:v>0</x:v>
      </x:c>
      <x:c r="L84" s="10" t="n">
        <x:f>'店长明细'!$D1009</x:f>
        <x:v>0</x:v>
      </x:c>
      <x:c r="M84" s="10" t="n">
        <x:f>'店长明细'!$E1241</x:f>
        <x:v>51</x:v>
      </x:c>
      <x:c r="N84" s="10" t="n">
        <x:f>'店长明细'!$D1241</x:f>
        <x:v>41</x:v>
      </x:c>
      <x:c r="O84" s="10" t="n">
        <x:f>'店长明细'!$E1473</x:f>
        <x:v>603</x:v>
      </x:c>
      <x:c r="P84" s="10" t="n">
        <x:f>'店长明细'!$D1473</x:f>
        <x:v>450</x:v>
      </x:c>
      <x:c r="Q84" s="10" t="n">
        <x:f>'店长明细'!$E1705</x:f>
        <x:v>32</x:v>
      </x:c>
      <x:c r="R84" s="10" t="n">
        <x:f>'店长明细'!$D1705</x:f>
        <x:v>25</x:v>
      </x:c>
      <x:c r="S84" s="10" t="n">
        <x:f>'店长明细'!$E1937</x:f>
        <x:v>16</x:v>
      </x:c>
      <x:c r="T84" s="10" t="n">
        <x:f>'店长明细'!$D1937</x:f>
        <x:v>15</x:v>
      </x:c>
      <x:c r="U84" s="10" t="n">
        <x:f>'店长明细'!$E2169</x:f>
        <x:v>239</x:v>
      </x:c>
      <x:c r="V84" s="10" t="n">
        <x:f>'店长明细'!$D2169</x:f>
        <x:v>125</x:v>
      </x:c>
      <x:c r="W84" s="11" t="n">
        <x:f>'店长明细'!$F81</x:f>
        <x:v>3423.13</x:v>
      </x:c>
      <x:c r="X84" s="11" t="n">
        <x:f>'店长明细'!$F313</x:f>
        <x:v>4632.25</x:v>
      </x:c>
      <x:c r="Y84" s="11" t="n">
        <x:f>'店长明细'!$F545</x:f>
        <x:v>5522.18</x:v>
      </x:c>
      <x:c r="Z84" s="11" t="n">
        <x:f>'店长明细'!$F777</x:f>
        <x:v>12338.93</x:v>
      </x:c>
      <x:c r="AA84" s="11" t="n">
        <x:f>'店长明细'!$F1009</x:f>
        <x:v>0</x:v>
      </x:c>
      <x:c r="AB84" s="11" t="n">
        <x:f>'店长明细'!$F1241</x:f>
        <x:v>537.46</x:v>
      </x:c>
      <x:c r="AC84" s="11" t="n">
        <x:f>'店长明细'!$F1473</x:f>
        <x:v>7745.18</x:v>
      </x:c>
      <x:c r="AD84" s="11" t="n">
        <x:f>'店长明细'!$F1705</x:f>
        <x:v>1027.48</x:v>
      </x:c>
      <x:c r="AE84" s="11" t="n">
        <x:f>'店长明细'!$F1937</x:f>
        <x:v>168.6</x:v>
      </x:c>
      <x:c r="AF84" s="11" t="n">
        <x:f>'店长明细'!$F2169</x:f>
        <x:v>2863.66</x:v>
      </x:c>
    </x:row>
    <x:row r="85">
      <x:c r="A85" t="str">
        <x:f>TEXT($B85,"mm-dd")</x:f>
        <x:v>03-22</x:v>
      </x:c>
      <x:c r="B85" s="9" t="n">
        <x:f>'店长明细'!$C82</x:f>
        <x:v>46103</x:v>
      </x:c>
      <x:c r="C85" s="10" t="n">
        <x:f>'店长明细'!$E82</x:f>
        <x:v>3982</x:v>
      </x:c>
      <x:c r="D85" s="10" t="n">
        <x:f>'店长明细'!$D82</x:f>
        <x:v>3777</x:v>
      </x:c>
      <x:c r="E85" s="10" t="n">
        <x:f>'店长明细'!$E314</x:f>
        <x:v>866</x:v>
      </x:c>
      <x:c r="F85" s="10" t="n">
        <x:f>'店长明细'!$D314</x:f>
        <x:v>521</x:v>
      </x:c>
      <x:c r="G85" s="10" t="n">
        <x:f>'店长明细'!$E546</x:f>
        <x:v>1127</x:v>
      </x:c>
      <x:c r="H85" s="10" t="n">
        <x:f>'店长明细'!$D546</x:f>
        <x:v>599</x:v>
      </x:c>
      <x:c r="I85" s="10" t="n">
        <x:f>'店长明细'!$E778</x:f>
        <x:v>1148</x:v>
      </x:c>
      <x:c r="J85" s="10" t="n">
        <x:f>'店长明细'!$D778</x:f>
        <x:v>631</x:v>
      </x:c>
      <x:c r="K85" s="10" t="n">
        <x:f>'店长明细'!$E1010</x:f>
        <x:v>0</x:v>
      </x:c>
      <x:c r="L85" s="10" t="n">
        <x:f>'店长明细'!$D1010</x:f>
        <x:v>0</x:v>
      </x:c>
      <x:c r="M85" s="10" t="n">
        <x:f>'店长明细'!$E1242</x:f>
        <x:v>48</x:v>
      </x:c>
      <x:c r="N85" s="10" t="n">
        <x:f>'店长明细'!$D1242</x:f>
        <x:v>34</x:v>
      </x:c>
      <x:c r="O85" s="10" t="n">
        <x:f>'店长明细'!$E1474</x:f>
        <x:v>508</x:v>
      </x:c>
      <x:c r="P85" s="10" t="n">
        <x:f>'店长明细'!$D1474</x:f>
        <x:v>315</x:v>
      </x:c>
      <x:c r="Q85" s="10" t="n">
        <x:f>'店长明细'!$E1706</x:f>
        <x:v>47</x:v>
      </x:c>
      <x:c r="R85" s="10" t="n">
        <x:f>'店长明细'!$D1706</x:f>
        <x:v>26</x:v>
      </x:c>
      <x:c r="S85" s="10" t="n">
        <x:f>'店长明细'!$E1938</x:f>
        <x:v>1</x:v>
      </x:c>
      <x:c r="T85" s="10" t="n">
        <x:f>'店长明细'!$D1938</x:f>
        <x:v>1</x:v>
      </x:c>
      <x:c r="U85" s="10" t="n">
        <x:f>'店长明细'!$E2170</x:f>
        <x:v>272</x:v>
      </x:c>
      <x:c r="V85" s="10" t="n">
        <x:f>'店长明细'!$D2170</x:f>
        <x:v>150</x:v>
      </x:c>
      <x:c r="W85" s="11" t="n">
        <x:f>'店长明细'!$F82</x:f>
        <x:v>29962.27</x:v>
      </x:c>
      <x:c r="X85" s="11" t="n">
        <x:f>'店长明细'!$F314</x:f>
        <x:v>6573.92</x:v>
      </x:c>
      <x:c r="Y85" s="11" t="n">
        <x:f>'店长明细'!$F546</x:f>
        <x:v>6956.42</x:v>
      </x:c>
      <x:c r="Z85" s="11" t="n">
        <x:f>'店长明细'!$F778</x:f>
        <x:v>11253.94</x:v>
      </x:c>
      <x:c r="AA85" s="11" t="n">
        <x:f>'店长明细'!$F1010</x:f>
        <x:v>0</x:v>
      </x:c>
      <x:c r="AB85" s="11" t="n">
        <x:f>'店长明细'!$F1242</x:f>
        <x:v>528.71</x:v>
      </x:c>
      <x:c r="AC85" s="11" t="n">
        <x:f>'店长明细'!$F1474</x:f>
        <x:v>5737.13</x:v>
      </x:c>
      <x:c r="AD85" s="11" t="n">
        <x:f>'店长明细'!$F1706</x:f>
        <x:v>1017.59</x:v>
      </x:c>
      <x:c r="AE85" s="11" t="n">
        <x:f>'店长明细'!$F1938</x:f>
        <x:v>48.1</x:v>
      </x:c>
      <x:c r="AF85" s="11" t="n">
        <x:f>'店长明细'!$F2170</x:f>
        <x:v>3109.21</x:v>
      </x:c>
    </x:row>
    <x:row r="86">
      <x:c r="A86" t="str">
        <x:f>TEXT($B86,"mm-dd")</x:f>
        <x:v>03-23</x:v>
      </x:c>
      <x:c r="B86" s="9" t="n">
        <x:f>'店长明细'!$C83</x:f>
        <x:v>46104</x:v>
      </x:c>
      <x:c r="C86" s="10" t="n">
        <x:f>'店长明细'!$E83</x:f>
        <x:v>3899</x:v>
      </x:c>
      <x:c r="D86" s="10" t="n">
        <x:f>'店长明细'!$D83</x:f>
        <x:v>3705</x:v>
      </x:c>
      <x:c r="E86" s="10" t="n">
        <x:f>'店长明细'!$E315</x:f>
        <x:v>1313</x:v>
      </x:c>
      <x:c r="F86" s="10" t="n">
        <x:f>'店长明细'!$D315</x:f>
        <x:v>861</x:v>
      </x:c>
      <x:c r="G86" s="10" t="n">
        <x:f>'店长明细'!$E547</x:f>
        <x:v>1785</x:v>
      </x:c>
      <x:c r="H86" s="10" t="n">
        <x:f>'店长明细'!$D547</x:f>
        <x:v>818</x:v>
      </x:c>
      <x:c r="I86" s="10" t="n">
        <x:f>'店长明细'!$E779</x:f>
        <x:v>1088</x:v>
      </x:c>
      <x:c r="J86" s="10" t="n">
        <x:f>'店长明细'!$D779</x:f>
        <x:v>628</x:v>
      </x:c>
      <x:c r="K86" s="10" t="n">
        <x:f>'店长明细'!$E1011</x:f>
        <x:v>4</x:v>
      </x:c>
      <x:c r="L86" s="10" t="n">
        <x:f>'店长明细'!$D1011</x:f>
        <x:v>4</x:v>
      </x:c>
      <x:c r="M86" s="10" t="n">
        <x:f>'店长明细'!$E1243</x:f>
        <x:v>67</x:v>
      </x:c>
      <x:c r="N86" s="10" t="n">
        <x:f>'店长明细'!$D1243</x:f>
        <x:v>51</x:v>
      </x:c>
      <x:c r="O86" s="10" t="n">
        <x:f>'店长明细'!$E1475</x:f>
        <x:v>779</x:v>
      </x:c>
      <x:c r="P86" s="10" t="n">
        <x:f>'店长明细'!$D1475</x:f>
        <x:v>454</x:v>
      </x:c>
      <x:c r="Q86" s="10" t="n">
        <x:f>'店长明细'!$E1707</x:f>
        <x:v>31</x:v>
      </x:c>
      <x:c r="R86" s="10" t="n">
        <x:f>'店长明细'!$D1707</x:f>
        <x:v>24</x:v>
      </x:c>
      <x:c r="S86" s="10" t="n">
        <x:f>'店长明细'!$E1939</x:f>
        <x:v>8</x:v>
      </x:c>
      <x:c r="T86" s="10" t="n">
        <x:f>'店长明细'!$D1939</x:f>
        <x:v>6</x:v>
      </x:c>
      <x:c r="U86" s="10" t="n">
        <x:f>'店长明细'!$E2171</x:f>
        <x:v>320</x:v>
      </x:c>
      <x:c r="V86" s="10" t="n">
        <x:f>'店长明细'!$D2171</x:f>
        <x:v>207</x:v>
      </x:c>
      <x:c r="W86" s="11" t="n">
        <x:f>'店长明细'!$F83</x:f>
        <x:v>32826.26</x:v>
      </x:c>
      <x:c r="X86" s="11" t="n">
        <x:f>'店长明细'!$F315</x:f>
        <x:v>10880.09</x:v>
      </x:c>
      <x:c r="Y86" s="11" t="n">
        <x:f>'店长明细'!$F547</x:f>
        <x:v>9597.82</x:v>
      </x:c>
      <x:c r="Z86" s="11" t="n">
        <x:f>'店长明细'!$F779</x:f>
        <x:v>10843.62</x:v>
      </x:c>
      <x:c r="AA86" s="11" t="n">
        <x:f>'店长明细'!$F1011</x:f>
        <x:v>49.53</x:v>
      </x:c>
      <x:c r="AB86" s="11" t="n">
        <x:f>'店长明细'!$F1243</x:f>
        <x:v>780.78</x:v>
      </x:c>
      <x:c r="AC86" s="11" t="n">
        <x:f>'店长明细'!$F1475</x:f>
        <x:v>9247.02</x:v>
      </x:c>
      <x:c r="AD86" s="11" t="n">
        <x:f>'店长明细'!$F1707</x:f>
        <x:v>852.57</x:v>
      </x:c>
      <x:c r="AE86" s="11" t="n">
        <x:f>'店长明细'!$F1939</x:f>
        <x:v>547.42</x:v>
      </x:c>
      <x:c r="AF86" s="11" t="n">
        <x:f>'店长明细'!$F2171</x:f>
        <x:v>3539.35</x:v>
      </x:c>
    </x:row>
    <x:row r="87">
      <x:c r="A87" t="str">
        <x:f>TEXT($B87,"mm-dd")</x:f>
        <x:v>03-24</x:v>
      </x:c>
      <x:c r="B87" s="9" t="n">
        <x:f>'店长明细'!$C84</x:f>
        <x:v>46105</x:v>
      </x:c>
      <x:c r="C87" s="10" t="n">
        <x:f>'店长明细'!$E84</x:f>
        <x:v>2084</x:v>
      </x:c>
      <x:c r="D87" s="10" t="n">
        <x:f>'店长明细'!$D84</x:f>
        <x:v>1913</x:v>
      </x:c>
      <x:c r="E87" s="10" t="n">
        <x:f>'店长明细'!$E316</x:f>
        <x:v>2017</x:v>
      </x:c>
      <x:c r="F87" s="10" t="n">
        <x:f>'店长明细'!$D316</x:f>
        <x:v>1327</x:v>
      </x:c>
      <x:c r="G87" s="10" t="n">
        <x:f>'店长明细'!$E548</x:f>
        <x:v>1705</x:v>
      </x:c>
      <x:c r="H87" s="10" t="n">
        <x:f>'店长明细'!$D548</x:f>
        <x:v>795</x:v>
      </x:c>
      <x:c r="I87" s="10" t="n">
        <x:f>'店长明细'!$E780</x:f>
        <x:v>1294</x:v>
      </x:c>
      <x:c r="J87" s="10" t="n">
        <x:f>'店长明细'!$D780</x:f>
        <x:v>644</x:v>
      </x:c>
      <x:c r="K87" s="10" t="n">
        <x:f>'店长明细'!$E1012</x:f>
        <x:v>2</x:v>
      </x:c>
      <x:c r="L87" s="10" t="n">
        <x:f>'店长明细'!$D1012</x:f>
        <x:v>1</x:v>
      </x:c>
      <x:c r="M87" s="10" t="n">
        <x:f>'店长明细'!$E1244</x:f>
        <x:v>71</x:v>
      </x:c>
      <x:c r="N87" s="10" t="n">
        <x:f>'店长明细'!$D1244</x:f>
        <x:v>52</x:v>
      </x:c>
      <x:c r="O87" s="10" t="n">
        <x:f>'店长明细'!$E1476</x:f>
        <x:v>740</x:v>
      </x:c>
      <x:c r="P87" s="10" t="n">
        <x:f>'店长明细'!$D1476</x:f>
        <x:v>583</x:v>
      </x:c>
      <x:c r="Q87" s="10" t="n">
        <x:f>'店长明细'!$E1708</x:f>
        <x:v>75</x:v>
      </x:c>
      <x:c r="R87" s="10" t="n">
        <x:f>'店长明细'!$D1708</x:f>
        <x:v>63</x:v>
      </x:c>
      <x:c r="S87" s="10" t="n">
        <x:f>'店长明细'!$E1940</x:f>
        <x:v>26</x:v>
      </x:c>
      <x:c r="T87" s="10" t="n">
        <x:f>'店长明细'!$D1940</x:f>
        <x:v>24</x:v>
      </x:c>
      <x:c r="U87" s="10" t="n">
        <x:f>'店长明细'!$E2172</x:f>
        <x:v>264</x:v>
      </x:c>
      <x:c r="V87" s="10" t="n">
        <x:f>'店长明细'!$D2172</x:f>
        <x:v>135</x:v>
      </x:c>
      <x:c r="W87" s="11" t="n">
        <x:f>'店长明细'!$F84</x:f>
        <x:v>17948.22</x:v>
      </x:c>
      <x:c r="X87" s="11" t="n">
        <x:f>'店长明细'!$F316</x:f>
        <x:v>16372.34</x:v>
      </x:c>
      <x:c r="Y87" s="11" t="n">
        <x:f>'店长明细'!$F548</x:f>
        <x:v>9003.1</x:v>
      </x:c>
      <x:c r="Z87" s="11" t="n">
        <x:f>'店长明细'!$F780</x:f>
        <x:v>11008.38</x:v>
      </x:c>
      <x:c r="AA87" s="11" t="n">
        <x:f>'店长明细'!$F1012</x:f>
        <x:v>13.57</x:v>
      </x:c>
      <x:c r="AB87" s="11" t="n">
        <x:f>'店长明细'!$F1244</x:f>
        <x:v>849.99</x:v>
      </x:c>
      <x:c r="AC87" s="11" t="n">
        <x:f>'店长明细'!$F1476</x:f>
        <x:v>9092.19</x:v>
      </x:c>
      <x:c r="AD87" s="11" t="n">
        <x:f>'店长明细'!$F1708</x:f>
        <x:v>2405.03</x:v>
      </x:c>
      <x:c r="AE87" s="11" t="n">
        <x:f>'店长明细'!$F1940</x:f>
        <x:v>651.16</x:v>
      </x:c>
      <x:c r="AF87" s="11" t="n">
        <x:f>'店长明细'!$F2172</x:f>
        <x:v>2889.3</x:v>
      </x:c>
    </x:row>
    <x:row r="88">
      <x:c r="A88" t="str">
        <x:f>TEXT($B88,"mm-dd")</x:f>
        <x:v>03-25</x:v>
      </x:c>
      <x:c r="B88" s="9" t="n">
        <x:f>'店长明细'!$C85</x:f>
        <x:v>46106</x:v>
      </x:c>
      <x:c r="C88" s="10" t="n">
        <x:f>'店长明细'!$E85</x:f>
        <x:v>3083</x:v>
      </x:c>
      <x:c r="D88" s="10" t="n">
        <x:f>'店长明细'!$D85</x:f>
        <x:v>2901</x:v>
      </x:c>
      <x:c r="E88" s="10" t="n">
        <x:f>'店长明细'!$E317</x:f>
        <x:v>2961</x:v>
      </x:c>
      <x:c r="F88" s="10" t="n">
        <x:f>'店长明细'!$D317</x:f>
        <x:v>1950</x:v>
      </x:c>
      <x:c r="G88" s="10" t="n">
        <x:f>'店长明细'!$E549</x:f>
        <x:v>1650</x:v>
      </x:c>
      <x:c r="H88" s="10" t="n">
        <x:f>'店长明细'!$D549</x:f>
        <x:v>798</x:v>
      </x:c>
      <x:c r="I88" s="10" t="n">
        <x:f>'店长明细'!$E781</x:f>
        <x:v>1372</x:v>
      </x:c>
      <x:c r="J88" s="10" t="n">
        <x:f>'店长明细'!$D781</x:f>
        <x:v>643</x:v>
      </x:c>
      <x:c r="K88" s="10" t="n">
        <x:f>'店长明细'!$E1013</x:f>
        <x:v>2</x:v>
      </x:c>
      <x:c r="L88" s="10" t="n">
        <x:f>'店长明细'!$D1013</x:f>
        <x:v>1</x:v>
      </x:c>
      <x:c r="M88" s="10" t="n">
        <x:f>'店长明细'!$E1245</x:f>
        <x:v>119</x:v>
      </x:c>
      <x:c r="N88" s="10" t="n">
        <x:f>'店长明细'!$D1245</x:f>
        <x:v>92</x:v>
      </x:c>
      <x:c r="O88" s="10" t="n">
        <x:f>'店长明细'!$E1477</x:f>
        <x:v>859</x:v>
      </x:c>
      <x:c r="P88" s="10" t="n">
        <x:f>'店长明细'!$D1477</x:f>
        <x:v>647</x:v>
      </x:c>
      <x:c r="Q88" s="10" t="n">
        <x:f>'店长明细'!$E1709</x:f>
        <x:v>9</x:v>
      </x:c>
      <x:c r="R88" s="10" t="n">
        <x:f>'店长明细'!$D1709</x:f>
        <x:v>4</x:v>
      </x:c>
      <x:c r="S88" s="10" t="n">
        <x:f>'店长明细'!$E1941</x:f>
        <x:v>0</x:v>
      </x:c>
      <x:c r="T88" s="10" t="n">
        <x:f>'店长明细'!$D1941</x:f>
        <x:v>0</x:v>
      </x:c>
      <x:c r="U88" s="10" t="n">
        <x:f>'店长明细'!$E2173</x:f>
        <x:v>163</x:v>
      </x:c>
      <x:c r="V88" s="10" t="n">
        <x:f>'店长明细'!$D2173</x:f>
        <x:v>119</x:v>
      </x:c>
      <x:c r="W88" s="11" t="n">
        <x:f>'店长明细'!$F85</x:f>
        <x:v>27155.09</x:v>
      </x:c>
      <x:c r="X88" s="11" t="n">
        <x:f>'店长明细'!$F317</x:f>
        <x:v>24998.28</x:v>
      </x:c>
      <x:c r="Y88" s="11" t="n">
        <x:f>'店长明细'!$F549</x:f>
        <x:v>8894.24</x:v>
      </x:c>
      <x:c r="Z88" s="11" t="n">
        <x:f>'店长明细'!$F781</x:f>
        <x:v>10773.35</x:v>
      </x:c>
      <x:c r="AA88" s="11" t="n">
        <x:f>'店长明细'!$F1013</x:f>
        <x:v>7.84</x:v>
      </x:c>
      <x:c r="AB88" s="11" t="n">
        <x:f>'店长明细'!$F1245</x:f>
        <x:v>1309.86</x:v>
      </x:c>
      <x:c r="AC88" s="11" t="n">
        <x:f>'店长明细'!$F1477</x:f>
        <x:v>10314.81</x:v>
      </x:c>
      <x:c r="AD88" s="11" t="n">
        <x:f>'店长明细'!$F1709</x:f>
        <x:v>79.34</x:v>
      </x:c>
      <x:c r="AE88" s="11" t="n">
        <x:f>'店长明细'!$F1941</x:f>
        <x:v>0</x:v>
      </x:c>
      <x:c r="AF88" s="11" t="n">
        <x:f>'店长明细'!$F2173</x:f>
        <x:v>1829.46</x:v>
      </x:c>
    </x:row>
    <x:row r="89">
      <x:c r="A89" t="str">
        <x:f>TEXT($B89,"mm-dd")</x:f>
        <x:v>03-26</x:v>
      </x:c>
      <x:c r="B89" s="9" t="n">
        <x:f>'店长明细'!$C86</x:f>
        <x:v>46107</x:v>
      </x:c>
      <x:c r="C89" s="10" t="n">
        <x:f>'店长明细'!$E86</x:f>
        <x:v>2276</x:v>
      </x:c>
      <x:c r="D89" s="10" t="n">
        <x:f>'店长明细'!$D86</x:f>
        <x:v>2109</x:v>
      </x:c>
      <x:c r="E89" s="10" t="n">
        <x:f>'店长明细'!$E318</x:f>
        <x:v>2402</x:v>
      </x:c>
      <x:c r="F89" s="10" t="n">
        <x:f>'店长明细'!$D318</x:f>
        <x:v>1715</x:v>
      </x:c>
      <x:c r="G89" s="10" t="n">
        <x:f>'店长明细'!$E550</x:f>
        <x:v>1726</x:v>
      </x:c>
      <x:c r="H89" s="10" t="n">
        <x:f>'店长明细'!$D550</x:f>
        <x:v>811</x:v>
      </x:c>
      <x:c r="I89" s="10" t="n">
        <x:f>'店长明细'!$E782</x:f>
        <x:v>1081</x:v>
      </x:c>
      <x:c r="J89" s="10" t="n">
        <x:f>'店长明细'!$D782</x:f>
        <x:v>631</x:v>
      </x:c>
      <x:c r="K89" s="10" t="n">
        <x:f>'店长明细'!$E1014</x:f>
        <x:v>0</x:v>
      </x:c>
      <x:c r="L89" s="10" t="n">
        <x:f>'店长明细'!$D1014</x:f>
        <x:v>0</x:v>
      </x:c>
      <x:c r="M89" s="10" t="n">
        <x:f>'店长明细'!$E1246</x:f>
        <x:v>80</x:v>
      </x:c>
      <x:c r="N89" s="10" t="n">
        <x:f>'店长明细'!$D1246</x:f>
        <x:v>62</x:v>
      </x:c>
      <x:c r="O89" s="10" t="n">
        <x:f>'店长明细'!$E1478</x:f>
        <x:v>846</x:v>
      </x:c>
      <x:c r="P89" s="10" t="n">
        <x:f>'店长明细'!$D1478</x:f>
        <x:v>640</x:v>
      </x:c>
      <x:c r="Q89" s="10" t="n">
        <x:f>'店长明细'!$E1710</x:f>
        <x:v>84</x:v>
      </x:c>
      <x:c r="R89" s="10" t="n">
        <x:f>'店长明细'!$D1710</x:f>
        <x:v>64</x:v>
      </x:c>
      <x:c r="S89" s="10" t="n">
        <x:f>'店长明细'!$E1942</x:f>
        <x:v>43</x:v>
      </x:c>
      <x:c r="T89" s="10" t="n">
        <x:f>'店长明细'!$D1942</x:f>
        <x:v>34</x:v>
      </x:c>
      <x:c r="U89" s="10" t="n">
        <x:f>'店长明细'!$E2174</x:f>
        <x:v>180</x:v>
      </x:c>
      <x:c r="V89" s="10" t="n">
        <x:f>'店长明细'!$D2174</x:f>
        <x:v>108</x:v>
      </x:c>
      <x:c r="W89" s="11" t="n">
        <x:f>'店长明细'!$F86</x:f>
        <x:v>19983.78</x:v>
      </x:c>
      <x:c r="X89" s="11" t="n">
        <x:f>'店长明细'!$F318</x:f>
        <x:v>20072.44</x:v>
      </x:c>
      <x:c r="Y89" s="11" t="n">
        <x:f>'店长明细'!$F550</x:f>
        <x:v>8993.45</x:v>
      </x:c>
      <x:c r="Z89" s="11" t="n">
        <x:f>'店长明细'!$F782</x:f>
        <x:v>11304.9</x:v>
      </x:c>
      <x:c r="AA89" s="11" t="n">
        <x:f>'店长明细'!$F1014</x:f>
        <x:v>0</x:v>
      </x:c>
      <x:c r="AB89" s="11" t="n">
        <x:f>'店长明细'!$F1246</x:f>
        <x:v>962.88</x:v>
      </x:c>
      <x:c r="AC89" s="11" t="n">
        <x:f>'店长明细'!$F1478</x:f>
        <x:v>9423.04</x:v>
      </x:c>
      <x:c r="AD89" s="11" t="n">
        <x:f>'店长明细'!$F1710</x:f>
        <x:v>2439.23</x:v>
      </x:c>
      <x:c r="AE89" s="11" t="n">
        <x:f>'店长明细'!$F1942</x:f>
        <x:v>1713.79</x:v>
      </x:c>
      <x:c r="AF89" s="11" t="n">
        <x:f>'店长明细'!$F2174</x:f>
        <x:v>1736.79</x:v>
      </x:c>
    </x:row>
    <x:row r="90">
      <x:c r="A90" t="str">
        <x:f>TEXT($B90,"mm-dd")</x:f>
        <x:v>03-27</x:v>
      </x:c>
      <x:c r="B90" s="9" t="n">
        <x:f>'店长明细'!$C87</x:f>
        <x:v>46108</x:v>
      </x:c>
      <x:c r="C90" s="10" t="n">
        <x:f>'店长明细'!$E87</x:f>
        <x:v>1714</x:v>
      </x:c>
      <x:c r="D90" s="10" t="n">
        <x:f>'店长明细'!$D87</x:f>
        <x:v>1578</x:v>
      </x:c>
      <x:c r="E90" s="10" t="n">
        <x:f>'店长明细'!$E319</x:f>
        <x:v>2079</x:v>
      </x:c>
      <x:c r="F90" s="10" t="n">
        <x:f>'店长明细'!$D319</x:f>
        <x:v>1304</x:v>
      </x:c>
      <x:c r="G90" s="10" t="n">
        <x:f>'店长明细'!$E551</x:f>
        <x:v>1594</x:v>
      </x:c>
      <x:c r="H90" s="10" t="n">
        <x:f>'店长明细'!$D551</x:f>
        <x:v>756</x:v>
      </x:c>
      <x:c r="I90" s="10" t="n">
        <x:f>'店长明细'!$E783</x:f>
        <x:v>911</x:v>
      </x:c>
      <x:c r="J90" s="10" t="n">
        <x:f>'店长明细'!$D783</x:f>
        <x:v>537</x:v>
      </x:c>
      <x:c r="K90" s="10" t="n">
        <x:f>'店长明细'!$E1015</x:f>
        <x:v>0</x:v>
      </x:c>
      <x:c r="L90" s="10" t="n">
        <x:f>'店长明细'!$D1015</x:f>
        <x:v>0</x:v>
      </x:c>
      <x:c r="M90" s="10" t="n">
        <x:f>'店长明细'!$E1247</x:f>
        <x:v>90</x:v>
      </x:c>
      <x:c r="N90" s="10" t="n">
        <x:f>'店长明细'!$D1247</x:f>
        <x:v>61</x:v>
      </x:c>
      <x:c r="O90" s="10" t="n">
        <x:f>'店长明细'!$E1479</x:f>
        <x:v>581</x:v>
      </x:c>
      <x:c r="P90" s="10" t="n">
        <x:f>'店长明细'!$D1479</x:f>
        <x:v>372</x:v>
      </x:c>
      <x:c r="Q90" s="10" t="n">
        <x:f>'店长明细'!$E1711</x:f>
        <x:v>44</x:v>
      </x:c>
      <x:c r="R90" s="10" t="n">
        <x:f>'店长明细'!$D1711</x:f>
        <x:v>31</x:v>
      </x:c>
      <x:c r="S90" s="10" t="n">
        <x:f>'店长明细'!$E1943</x:f>
        <x:v>16</x:v>
      </x:c>
      <x:c r="T90" s="10" t="n">
        <x:f>'店长明细'!$D1943</x:f>
        <x:v>16</x:v>
      </x:c>
      <x:c r="U90" s="10" t="n">
        <x:f>'店长明细'!$E2175</x:f>
        <x:v>154</x:v>
      </x:c>
      <x:c r="V90" s="10" t="n">
        <x:f>'店长明细'!$D2175</x:f>
        <x:v>107</x:v>
      </x:c>
      <x:c r="W90" s="11" t="n">
        <x:f>'店长明细'!$F87</x:f>
        <x:v>15045.63</x:v>
      </x:c>
      <x:c r="X90" s="11" t="n">
        <x:f>'店长明细'!$F319</x:f>
        <x:v>16420.29</x:v>
      </x:c>
      <x:c r="Y90" s="11" t="n">
        <x:f>'店长明细'!$F551</x:f>
        <x:v>9155.23</x:v>
      </x:c>
      <x:c r="Z90" s="11" t="n">
        <x:f>'店长明细'!$F783</x:f>
        <x:v>9338.19</x:v>
      </x:c>
      <x:c r="AA90" s="11" t="n">
        <x:f>'店长明细'!$F1015</x:f>
        <x:v>0</x:v>
      </x:c>
      <x:c r="AB90" s="11" t="n">
        <x:f>'店长明细'!$F1247</x:f>
        <x:v>874.24</x:v>
      </x:c>
      <x:c r="AC90" s="11" t="n">
        <x:f>'店长明细'!$F1479</x:f>
        <x:v>6402.91</x:v>
      </x:c>
      <x:c r="AD90" s="11" t="n">
        <x:f>'店长明细'!$F1711</x:f>
        <x:v>991.87</x:v>
      </x:c>
      <x:c r="AE90" s="11" t="n">
        <x:f>'店长明细'!$F1943</x:f>
        <x:v>540.27</x:v>
      </x:c>
      <x:c r="AF90" s="11" t="n">
        <x:f>'店长明细'!$F2175</x:f>
        <x:v>1631.56</x:v>
      </x:c>
    </x:row>
    <x:row r="91">
      <x:c r="A91" t="str">
        <x:f>TEXT($B91,"mm-dd")</x:f>
        <x:v>03-28</x:v>
      </x:c>
      <x:c r="B91" s="9" t="n">
        <x:f>'店长明细'!$C88</x:f>
        <x:v>46109</x:v>
      </x:c>
      <x:c r="C91" s="10" t="n">
        <x:f>'店长明细'!$E88</x:f>
        <x:v>318</x:v>
      </x:c>
      <x:c r="D91" s="10" t="n">
        <x:f>'店长明细'!$D88</x:f>
        <x:v>198</x:v>
      </x:c>
      <x:c r="E91" s="10" t="n">
        <x:f>'店长明细'!$E320</x:f>
        <x:v>1515</x:v>
      </x:c>
      <x:c r="F91" s="10" t="n">
        <x:f>'店长明细'!$D320</x:f>
        <x:v>859</x:v>
      </x:c>
      <x:c r="G91" s="10" t="n">
        <x:f>'店长明细'!$E552</x:f>
        <x:v>1342</x:v>
      </x:c>
      <x:c r="H91" s="10" t="n">
        <x:f>'店长明细'!$D552</x:f>
        <x:v>651</x:v>
      </x:c>
      <x:c r="I91" s="10" t="n">
        <x:f>'店长明细'!$E784</x:f>
        <x:v>1006</x:v>
      </x:c>
      <x:c r="J91" s="10" t="n">
        <x:f>'店长明细'!$D784</x:f>
        <x:v>563</x:v>
      </x:c>
      <x:c r="K91" s="10" t="n">
        <x:f>'店长明细'!$E1016</x:f>
        <x:v>0</x:v>
      </x:c>
      <x:c r="L91" s="10" t="n">
        <x:f>'店长明细'!$D1016</x:f>
        <x:v>0</x:v>
      </x:c>
      <x:c r="M91" s="10" t="n">
        <x:f>'店长明细'!$E1248</x:f>
        <x:v>70</x:v>
      </x:c>
      <x:c r="N91" s="10" t="n">
        <x:f>'店长明细'!$D1248</x:f>
        <x:v>62</x:v>
      </x:c>
      <x:c r="O91" s="10" t="n">
        <x:f>'店长明细'!$E1480</x:f>
        <x:v>349</x:v>
      </x:c>
      <x:c r="P91" s="10" t="n">
        <x:f>'店长明细'!$D1480</x:f>
        <x:v>234</x:v>
      </x:c>
      <x:c r="Q91" s="10" t="n">
        <x:f>'店长明细'!$E1712</x:f>
        <x:v>64</x:v>
      </x:c>
      <x:c r="R91" s="10" t="n">
        <x:f>'店长明细'!$D1712</x:f>
        <x:v>47</x:v>
      </x:c>
      <x:c r="S91" s="10" t="n">
        <x:f>'店长明细'!$E1944</x:f>
        <x:v>13</x:v>
      </x:c>
      <x:c r="T91" s="10" t="n">
        <x:f>'店长明细'!$D1944</x:f>
        <x:v>13</x:v>
      </x:c>
      <x:c r="U91" s="10" t="n">
        <x:f>'店长明细'!$E2176</x:f>
        <x:v>128</x:v>
      </x:c>
      <x:c r="V91" s="10" t="n">
        <x:f>'店长明细'!$D2176</x:f>
        <x:v>64</x:v>
      </x:c>
      <x:c r="W91" s="11" t="n">
        <x:f>'店长明细'!$F88</x:f>
        <x:v>2541.94</x:v>
      </x:c>
      <x:c r="X91" s="11" t="n">
        <x:f>'店长明细'!$F320</x:f>
        <x:v>11665.1</x:v>
      </x:c>
      <x:c r="Y91" s="11" t="n">
        <x:f>'店长明细'!$F552</x:f>
        <x:v>7592.56</x:v>
      </x:c>
      <x:c r="Z91" s="11" t="n">
        <x:f>'店长明细'!$F784</x:f>
        <x:v>9366.34</x:v>
      </x:c>
      <x:c r="AA91" s="11" t="n">
        <x:f>'店长明细'!$F1016</x:f>
        <x:v>0</x:v>
      </x:c>
      <x:c r="AB91" s="11" t="n">
        <x:f>'店长明细'!$F1248</x:f>
        <x:v>580.74</x:v>
      </x:c>
      <x:c r="AC91" s="11" t="n">
        <x:f>'店长明细'!$F1480</x:f>
        <x:v>3978.85</x:v>
      </x:c>
      <x:c r="AD91" s="11" t="n">
        <x:f>'店长明细'!$F1712</x:f>
        <x:v>1175.53</x:v>
      </x:c>
      <x:c r="AE91" s="11" t="n">
        <x:f>'店长明细'!$F1944</x:f>
        <x:v>489.89</x:v>
      </x:c>
      <x:c r="AF91" s="11" t="n">
        <x:f>'店长明细'!$F2176</x:f>
        <x:v>1359.61</x:v>
      </x:c>
    </x:row>
    <x:row r="92">
      <x:c r="A92" t="str">
        <x:f>TEXT($B92,"mm-dd")</x:f>
        <x:v>03-29</x:v>
      </x:c>
      <x:c r="B92" s="9" t="n">
        <x:f>'店长明细'!$C89</x:f>
        <x:v>46110</x:v>
      </x:c>
      <x:c r="C92" s="10" t="n">
        <x:f>'店长明细'!$E89</x:f>
        <x:v>2625</x:v>
      </x:c>
      <x:c r="D92" s="10" t="n">
        <x:f>'店长明细'!$D89</x:f>
        <x:v>2507</x:v>
      </x:c>
      <x:c r="E92" s="10" t="n">
        <x:f>'店长明细'!$E321</x:f>
        <x:v>2506</x:v>
      </x:c>
      <x:c r="F92" s="10" t="n">
        <x:f>'店长明细'!$D321</x:f>
        <x:v>1729</x:v>
      </x:c>
      <x:c r="G92" s="10" t="n">
        <x:f>'店长明细'!$E553</x:f>
        <x:v>1690</x:v>
      </x:c>
      <x:c r="H92" s="10" t="n">
        <x:f>'店长明细'!$D553</x:f>
        <x:v>858</x:v>
      </x:c>
      <x:c r="I92" s="10" t="n">
        <x:f>'店长明细'!$E785</x:f>
        <x:v>1093</x:v>
      </x:c>
      <x:c r="J92" s="10" t="n">
        <x:f>'店长明细'!$D785</x:f>
        <x:v>600</x:v>
      </x:c>
      <x:c r="K92" s="10" t="n">
        <x:f>'店长明细'!$E1017</x:f>
        <x:v>60</x:v>
      </x:c>
      <x:c r="L92" s="10" t="n">
        <x:f>'店长明细'!$D1017</x:f>
        <x:v>1</x:v>
      </x:c>
      <x:c r="M92" s="10" t="n">
        <x:f>'店长明细'!$E1249</x:f>
        <x:v>317</x:v>
      </x:c>
      <x:c r="N92" s="10" t="n">
        <x:f>'店长明细'!$D1249</x:f>
        <x:v>95</x:v>
      </x:c>
      <x:c r="O92" s="10" t="n">
        <x:f>'店长明细'!$E1481</x:f>
        <x:v>604</x:v>
      </x:c>
      <x:c r="P92" s="10" t="n">
        <x:f>'店长明细'!$D1481</x:f>
        <x:v>431</x:v>
      </x:c>
      <x:c r="Q92" s="10" t="n">
        <x:f>'店长明细'!$E1713</x:f>
        <x:v>38</x:v>
      </x:c>
      <x:c r="R92" s="10" t="n">
        <x:f>'店长明细'!$D1713</x:f>
        <x:v>27</x:v>
      </x:c>
      <x:c r="S92" s="10" t="n">
        <x:f>'店长明细'!$E1945</x:f>
        <x:v>10</x:v>
      </x:c>
      <x:c r="T92" s="10" t="n">
        <x:f>'店长明细'!$D1945</x:f>
        <x:v>8</x:v>
      </x:c>
      <x:c r="U92" s="10" t="n">
        <x:f>'店长明细'!$E2177</x:f>
        <x:v>157</x:v>
      </x:c>
      <x:c r="V92" s="10" t="n">
        <x:f>'店长明细'!$D2177</x:f>
        <x:v>117</x:v>
      </x:c>
      <x:c r="W92" s="11" t="n">
        <x:f>'店长明细'!$F89</x:f>
        <x:v>23934.06</x:v>
      </x:c>
      <x:c r="X92" s="11" t="n">
        <x:f>'店长明细'!$F321</x:f>
        <x:v>19683.46</x:v>
      </x:c>
      <x:c r="Y92" s="11" t="n">
        <x:f>'店长明细'!$F553</x:f>
        <x:v>9539.74</x:v>
      </x:c>
      <x:c r="Z92" s="11" t="n">
        <x:f>'店长明细'!$F785</x:f>
        <x:v>10832.89</x:v>
      </x:c>
      <x:c r="AA92" s="11" t="n">
        <x:f>'店长明细'!$F1017</x:f>
        <x:v>17.88</x:v>
      </x:c>
      <x:c r="AB92" s="11" t="n">
        <x:f>'店长明细'!$F1249</x:f>
        <x:v>3007.05</x:v>
      </x:c>
      <x:c r="AC92" s="11" t="n">
        <x:f>'店长明细'!$F1481</x:f>
        <x:v>6151.61</x:v>
      </x:c>
      <x:c r="AD92" s="11" t="n">
        <x:f>'店长明细'!$F1713</x:f>
        <x:v>879.09</x:v>
      </x:c>
      <x:c r="AE92" s="11" t="n">
        <x:f>'店长明细'!$F1945</x:f>
        <x:v>315.44</x:v>
      </x:c>
      <x:c r="AF92" s="11" t="n">
        <x:f>'店长明细'!$F2177</x:f>
        <x:v>1455.03</x:v>
      </x:c>
    </x:row>
    <x:row r="93">
      <x:c r="A93" t="str">
        <x:f>TEXT($B93,"mm-dd")</x:f>
        <x:v>03-30</x:v>
      </x:c>
      <x:c r="B93" s="9" t="n">
        <x:f>'店长明细'!$C90</x:f>
        <x:v>46111</x:v>
      </x:c>
      <x:c r="C93" s="10" t="n">
        <x:f>'店长明细'!$E90</x:f>
        <x:v>2558</x:v>
      </x:c>
      <x:c r="D93" s="10" t="n">
        <x:f>'店长明细'!$D90</x:f>
        <x:v>2442</x:v>
      </x:c>
      <x:c r="E93" s="10" t="n">
        <x:f>'店长明细'!$E322</x:f>
        <x:v>2120</x:v>
      </x:c>
      <x:c r="F93" s="10" t="n">
        <x:f>'店长明细'!$D322</x:f>
        <x:v>1500</x:v>
      </x:c>
      <x:c r="G93" s="10" t="n">
        <x:f>'店长明细'!$E554</x:f>
        <x:v>1365</x:v>
      </x:c>
      <x:c r="H93" s="10" t="n">
        <x:f>'店长明细'!$D554</x:f>
        <x:v>895</x:v>
      </x:c>
      <x:c r="I93" s="10" t="n">
        <x:f>'店长明细'!$E786</x:f>
        <x:v>1156</x:v>
      </x:c>
      <x:c r="J93" s="10" t="n">
        <x:f>'店长明细'!$D786</x:f>
        <x:v>606</x:v>
      </x:c>
      <x:c r="K93" s="10" t="n">
        <x:f>'店长明细'!$E1018</x:f>
        <x:v>0</x:v>
      </x:c>
      <x:c r="L93" s="10" t="n">
        <x:f>'店长明细'!$D1018</x:f>
        <x:v>0</x:v>
      </x:c>
      <x:c r="M93" s="10" t="n">
        <x:f>'店长明细'!$E1250</x:f>
        <x:v>117</x:v>
      </x:c>
      <x:c r="N93" s="10" t="n">
        <x:f>'店长明细'!$D1250</x:f>
        <x:v>96</x:v>
      </x:c>
      <x:c r="O93" s="10" t="n">
        <x:f>'店长明细'!$E1482</x:f>
        <x:v>583</x:v>
      </x:c>
      <x:c r="P93" s="10" t="n">
        <x:f>'店长明细'!$D1482</x:f>
        <x:v>375</x:v>
      </x:c>
      <x:c r="Q93" s="10" t="n">
        <x:f>'店长明细'!$E1714</x:f>
        <x:v>34</x:v>
      </x:c>
      <x:c r="R93" s="10" t="n">
        <x:f>'店长明细'!$D1714</x:f>
        <x:v>26</x:v>
      </x:c>
      <x:c r="S93" s="10" t="n">
        <x:f>'店长明细'!$E1946</x:f>
        <x:v>18</x:v>
      </x:c>
      <x:c r="T93" s="10" t="n">
        <x:f>'店长明细'!$D1946</x:f>
        <x:v>17</x:v>
      </x:c>
      <x:c r="U93" s="10" t="n">
        <x:f>'店长明细'!$E2178</x:f>
        <x:v>127</x:v>
      </x:c>
      <x:c r="V93" s="10" t="n">
        <x:f>'店长明细'!$D2178</x:f>
        <x:v>89</x:v>
      </x:c>
      <x:c r="W93" s="11" t="n">
        <x:f>'店长明细'!$F90</x:f>
        <x:v>23363.36</x:v>
      </x:c>
      <x:c r="X93" s="11" t="n">
        <x:f>'店长明细'!$F322</x:f>
        <x:v>18661.11</x:v>
      </x:c>
      <x:c r="Y93" s="11" t="n">
        <x:f>'店长明细'!$F554</x:f>
        <x:v>10387.74</x:v>
      </x:c>
      <x:c r="Z93" s="11" t="n">
        <x:f>'店长明细'!$F786</x:f>
        <x:v>11000.97</x:v>
      </x:c>
      <x:c r="AA93" s="11" t="n">
        <x:f>'店长明细'!$F1018</x:f>
        <x:v>0</x:v>
      </x:c>
      <x:c r="AB93" s="11" t="n">
        <x:f>'店长明细'!$F1250</x:f>
        <x:v>1221.96</x:v>
      </x:c>
      <x:c r="AC93" s="11" t="n">
        <x:f>'店长明细'!$F1482</x:f>
        <x:v>5997.27</x:v>
      </x:c>
      <x:c r="AD93" s="11" t="n">
        <x:f>'店长明细'!$F1714</x:f>
        <x:v>881.24</x:v>
      </x:c>
      <x:c r="AE93" s="11" t="n">
        <x:f>'店长明细'!$F1946</x:f>
        <x:v>764.94</x:v>
      </x:c>
      <x:c r="AF93" s="11" t="n">
        <x:f>'店长明细'!$F2178</x:f>
        <x:v>1407</x:v>
      </x:c>
    </x:row>
    <x:row r="94">
      <x:c r="A94" t="str">
        <x:f>TEXT($B94,"mm-dd")</x:f>
        <x:v>03-31</x:v>
      </x:c>
      <x:c r="B94" s="9" t="n">
        <x:f>'店长明细'!$C91</x:f>
        <x:v>46112</x:v>
      </x:c>
      <x:c r="C94" s="10" t="n">
        <x:f>'店长明细'!$E91</x:f>
        <x:v>2414</x:v>
      </x:c>
      <x:c r="D94" s="10" t="n">
        <x:f>'店长明细'!$D91</x:f>
        <x:v>2080</x:v>
      </x:c>
      <x:c r="E94" s="10" t="n">
        <x:f>'店长明细'!$E323</x:f>
        <x:v>2628</x:v>
      </x:c>
      <x:c r="F94" s="10" t="n">
        <x:f>'店长明细'!$D323</x:f>
        <x:v>2067</x:v>
      </x:c>
      <x:c r="G94" s="10" t="n">
        <x:f>'店长明细'!$E555</x:f>
        <x:v>1252</x:v>
      </x:c>
      <x:c r="H94" s="10" t="n">
        <x:f>'店长明细'!$D555</x:f>
        <x:v>773</x:v>
      </x:c>
      <x:c r="I94" s="10" t="n">
        <x:f>'店长明细'!$E787</x:f>
        <x:v>1277</x:v>
      </x:c>
      <x:c r="J94" s="10" t="n">
        <x:f>'店长明细'!$D787</x:f>
        <x:v>653</x:v>
      </x:c>
      <x:c r="K94" s="10" t="n">
        <x:f>'店长明细'!$E1019</x:f>
        <x:v>0</x:v>
      </x:c>
      <x:c r="L94" s="10" t="n">
        <x:f>'店长明细'!$D1019</x:f>
        <x:v>0</x:v>
      </x:c>
      <x:c r="M94" s="10" t="n">
        <x:f>'店长明细'!$E1251</x:f>
        <x:v>117</x:v>
      </x:c>
      <x:c r="N94" s="10" t="n">
        <x:f>'店长明细'!$D1251</x:f>
        <x:v>84</x:v>
      </x:c>
      <x:c r="O94" s="10" t="n">
        <x:f>'店长明细'!$E1483</x:f>
        <x:v>589</x:v>
      </x:c>
      <x:c r="P94" s="10" t="n">
        <x:f>'店长明细'!$D1483</x:f>
        <x:v>413</x:v>
      </x:c>
      <x:c r="Q94" s="10" t="n">
        <x:f>'店长明细'!$E1715</x:f>
        <x:v>38</x:v>
      </x:c>
      <x:c r="R94" s="10" t="n">
        <x:f>'店长明细'!$D1715</x:f>
        <x:v>25</x:v>
      </x:c>
      <x:c r="S94" s="10" t="n">
        <x:f>'店长明细'!$E1947</x:f>
        <x:v>29</x:v>
      </x:c>
      <x:c r="T94" s="10" t="n">
        <x:f>'店长明细'!$D1947</x:f>
        <x:v>22</x:v>
      </x:c>
      <x:c r="U94" s="10" t="n">
        <x:f>'店长明细'!$E2179</x:f>
        <x:v>133</x:v>
      </x:c>
      <x:c r="V94" s="10" t="n">
        <x:f>'店长明细'!$D2179</x:f>
        <x:v>76</x:v>
      </x:c>
      <x:c r="W94" s="11" t="n">
        <x:f>'店长明细'!$F91</x:f>
        <x:v>20715.42</x:v>
      </x:c>
      <x:c r="X94" s="11" t="n">
        <x:f>'店长明细'!$F323</x:f>
        <x:v>23303.35</x:v>
      </x:c>
      <x:c r="Y94" s="11" t="n">
        <x:f>'店长明细'!$F555</x:f>
        <x:v>9567.28</x:v>
      </x:c>
      <x:c r="Z94" s="11" t="n">
        <x:f>'店长明细'!$F787</x:f>
        <x:v>11554.72</x:v>
      </x:c>
      <x:c r="AA94" s="11" t="n">
        <x:f>'店长明细'!$F1019</x:f>
        <x:v>0</x:v>
      </x:c>
      <x:c r="AB94" s="11" t="n">
        <x:f>'店长明细'!$F1251</x:f>
        <x:v>1166.29</x:v>
      </x:c>
      <x:c r="AC94" s="11" t="n">
        <x:f>'店长明细'!$F1483</x:f>
        <x:v>5950.53</x:v>
      </x:c>
      <x:c r="AD94" s="11" t="n">
        <x:f>'店长明细'!$F1715</x:f>
        <x:v>846.4</x:v>
      </x:c>
      <x:c r="AE94" s="11" t="n">
        <x:f>'店长明细'!$F1947</x:f>
        <x:v>-746.01</x:v>
      </x:c>
      <x:c r="AF94" s="11" t="n">
        <x:f>'店长明细'!$F2179</x:f>
        <x:v>1462.6</x:v>
      </x:c>
    </x:row>
    <x:row r="95">
      <x:c r="A95" t="str">
        <x:f>TEXT($B95,"mm-dd")</x:f>
        <x:v>04-01</x:v>
      </x:c>
      <x:c r="B95" s="9" t="n">
        <x:f>'店长明细'!$C92</x:f>
        <x:v>46113</x:v>
      </x:c>
      <x:c r="C95" s="10" t="n">
        <x:f>'店长明细'!$E92</x:f>
        <x:v>1209</x:v>
      </x:c>
      <x:c r="D95" s="10" t="n">
        <x:f>'店长明细'!$D92</x:f>
        <x:v>1128</x:v>
      </x:c>
      <x:c r="E95" s="10" t="n">
        <x:f>'店长明细'!$E324</x:f>
        <x:v>2583</x:v>
      </x:c>
      <x:c r="F95" s="10" t="n">
        <x:f>'店长明细'!$D324</x:f>
        <x:v>1936</x:v>
      </x:c>
      <x:c r="G95" s="10" t="n">
        <x:f>'店长明细'!$E556</x:f>
        <x:v>1226</x:v>
      </x:c>
      <x:c r="H95" s="10" t="n">
        <x:f>'店长明细'!$D556</x:f>
        <x:v>813</x:v>
      </x:c>
      <x:c r="I95" s="10" t="n">
        <x:f>'店长明细'!$E788</x:f>
        <x:v>1293</x:v>
      </x:c>
      <x:c r="J95" s="10" t="n">
        <x:f>'店长明细'!$D788</x:f>
        <x:v>597</x:v>
      </x:c>
      <x:c r="K95" s="10" t="n">
        <x:f>'店长明细'!$E1020</x:f>
        <x:v>0</x:v>
      </x:c>
      <x:c r="L95" s="10" t="n">
        <x:f>'店长明细'!$D1020</x:f>
        <x:v>0</x:v>
      </x:c>
      <x:c r="M95" s="10" t="n">
        <x:f>'店长明细'!$E1252</x:f>
        <x:v>141</x:v>
      </x:c>
      <x:c r="N95" s="10" t="n">
        <x:f>'店长明细'!$D1252</x:f>
        <x:v>100</x:v>
      </x:c>
      <x:c r="O95" s="10" t="n">
        <x:f>'店长明细'!$E1484</x:f>
        <x:v>692</x:v>
      </x:c>
      <x:c r="P95" s="10" t="n">
        <x:f>'店长明细'!$D1484</x:f>
        <x:v>548</x:v>
      </x:c>
      <x:c r="Q95" s="10" t="n">
        <x:f>'店长明细'!$E1716</x:f>
        <x:v>52</x:v>
      </x:c>
      <x:c r="R95" s="10" t="n">
        <x:f>'店长明细'!$D1716</x:f>
        <x:v>43</x:v>
      </x:c>
      <x:c r="S95" s="10" t="n">
        <x:f>'店长明细'!$E1948</x:f>
        <x:v>18</x:v>
      </x:c>
      <x:c r="T95" s="10" t="n">
        <x:f>'店长明细'!$D1948</x:f>
        <x:v>16</x:v>
      </x:c>
      <x:c r="U95" s="10" t="n">
        <x:f>'店长明细'!$E2180</x:f>
        <x:v>100</x:v>
      </x:c>
      <x:c r="V95" s="10" t="n">
        <x:f>'店长明细'!$D2180</x:f>
        <x:v>67</x:v>
      </x:c>
      <x:c r="W95" s="11" t="n">
        <x:f>'店长明细'!$F92</x:f>
        <x:v>11252.24</x:v>
      </x:c>
      <x:c r="X95" s="11" t="n">
        <x:f>'店长明细'!$F324</x:f>
        <x:v>22940.02</x:v>
      </x:c>
      <x:c r="Y95" s="11" t="n">
        <x:f>'店长明细'!$F556</x:f>
        <x:v>9588.15</x:v>
      </x:c>
      <x:c r="Z95" s="11" t="n">
        <x:f>'店长明细'!$F788</x:f>
        <x:v>10043.75</x:v>
      </x:c>
      <x:c r="AA95" s="11" t="n">
        <x:f>'店长明细'!$F1020</x:f>
        <x:v>0</x:v>
      </x:c>
      <x:c r="AB95" s="11" t="n">
        <x:f>'店长明细'!$F1252</x:f>
        <x:v>1448.65</x:v>
      </x:c>
      <x:c r="AC95" s="11" t="n">
        <x:f>'店长明细'!$F1484</x:f>
        <x:v>7204.87</x:v>
      </x:c>
      <x:c r="AD95" s="11" t="n">
        <x:f>'店长明细'!$F1716</x:f>
        <x:v>1257.94</x:v>
      </x:c>
      <x:c r="AE95" s="11" t="n">
        <x:f>'店长明细'!$F1948</x:f>
        <x:v>488.4</x:v>
      </x:c>
      <x:c r="AF95" s="11" t="n">
        <x:f>'店长明细'!$F2180</x:f>
        <x:v>1310.28</x:v>
      </x:c>
    </x:row>
    <x:row r="96">
      <x:c r="A96" t="str">
        <x:f>TEXT($B96,"mm-dd")</x:f>
        <x:v>04-02</x:v>
      </x:c>
      <x:c r="B96" s="9" t="n">
        <x:f>'店长明细'!$C93</x:f>
        <x:v>46114</x:v>
      </x:c>
      <x:c r="C96" s="10" t="n">
        <x:f>'店长明细'!$E93</x:f>
        <x:v>999</x:v>
      </x:c>
      <x:c r="D96" s="10" t="n">
        <x:f>'店长明细'!$D93</x:f>
        <x:v>899</x:v>
      </x:c>
      <x:c r="E96" s="10" t="n">
        <x:f>'店长明细'!$E325</x:f>
        <x:v>2364</x:v>
      </x:c>
      <x:c r="F96" s="10" t="n">
        <x:f>'店长明细'!$D325</x:f>
        <x:v>1874</x:v>
      </x:c>
      <x:c r="G96" s="10" t="n">
        <x:f>'店长明细'!$E557</x:f>
        <x:v>744</x:v>
      </x:c>
      <x:c r="H96" s="10" t="n">
        <x:f>'店长明细'!$D557</x:f>
        <x:v>654</x:v>
      </x:c>
      <x:c r="I96" s="10" t="n">
        <x:f>'店长明细'!$E789</x:f>
        <x:v>317</x:v>
      </x:c>
      <x:c r="J96" s="10" t="n">
        <x:f>'店长明细'!$D789</x:f>
        <x:v>156</x:v>
      </x:c>
      <x:c r="K96" s="10" t="n">
        <x:f>'店长明细'!$E1021</x:f>
        <x:v>0</x:v>
      </x:c>
      <x:c r="L96" s="10" t="n">
        <x:f>'店长明细'!$D1021</x:f>
        <x:v>0</x:v>
      </x:c>
      <x:c r="M96" s="10" t="n">
        <x:f>'店长明细'!$E1253</x:f>
        <x:v>98</x:v>
      </x:c>
      <x:c r="N96" s="10" t="n">
        <x:f>'店长明细'!$D1253</x:f>
        <x:v>67</x:v>
      </x:c>
      <x:c r="O96" s="10" t="n">
        <x:f>'店长明细'!$E1485</x:f>
        <x:v>418</x:v>
      </x:c>
      <x:c r="P96" s="10" t="n">
        <x:f>'店长明细'!$D1485</x:f>
        <x:v>310</x:v>
      </x:c>
      <x:c r="Q96" s="10" t="n">
        <x:f>'店长明细'!$E1717</x:f>
        <x:v>53</x:v>
      </x:c>
      <x:c r="R96" s="10" t="n">
        <x:f>'店长明细'!$D1717</x:f>
        <x:v>36</x:v>
      </x:c>
      <x:c r="S96" s="10" t="n">
        <x:f>'店长明细'!$E1949</x:f>
        <x:v>32</x:v>
      </x:c>
      <x:c r="T96" s="10" t="n">
        <x:f>'店长明细'!$D1949</x:f>
        <x:v>25</x:v>
      </x:c>
      <x:c r="U96" s="10" t="n">
        <x:f>'店长明细'!$E2181</x:f>
        <x:v>48</x:v>
      </x:c>
      <x:c r="V96" s="10" t="n">
        <x:f>'店长明细'!$D2181</x:f>
        <x:v>45</x:v>
      </x:c>
      <x:c r="W96" s="11" t="n">
        <x:f>'店长明细'!$F93</x:f>
        <x:v>8867.85</x:v>
      </x:c>
      <x:c r="X96" s="11" t="n">
        <x:f>'店长明细'!$F325</x:f>
        <x:v>21400.45</x:v>
      </x:c>
      <x:c r="Y96" s="11" t="n">
        <x:f>'店长明细'!$F557</x:f>
        <x:v>6625.02</x:v>
      </x:c>
      <x:c r="Z96" s="11" t="n">
        <x:f>'店长明细'!$F789</x:f>
        <x:v>2401.53</x:v>
      </x:c>
      <x:c r="AA96" s="11" t="n">
        <x:f>'店长明细'!$F1021</x:f>
        <x:v>0</x:v>
      </x:c>
      <x:c r="AB96" s="11" t="n">
        <x:f>'店长明细'!$F1253</x:f>
        <x:v>1142.81</x:v>
      </x:c>
      <x:c r="AC96" s="11" t="n">
        <x:f>'店长明细'!$F1485</x:f>
        <x:v>3928.96</x:v>
      </x:c>
      <x:c r="AD96" s="11" t="n">
        <x:f>'店长明细'!$F1717</x:f>
        <x:v>1287.23</x:v>
      </x:c>
      <x:c r="AE96" s="11" t="n">
        <x:f>'店长明细'!$F1949</x:f>
        <x:v>851.72</x:v>
      </x:c>
      <x:c r="AF96" s="11" t="n">
        <x:f>'店长明细'!$F2181</x:f>
        <x:v>485.35</x:v>
      </x:c>
    </x:row>
    <x:row r="97">
      <x:c r="A97" t="str">
        <x:f>TEXT($B97,"mm-dd")</x:f>
        <x:v>04-03</x:v>
      </x:c>
      <x:c r="B97" s="9" t="n">
        <x:f>'店长明细'!$C94</x:f>
        <x:v>46115</x:v>
      </x:c>
      <x:c r="C97" s="10" t="n">
        <x:f>'店长明细'!$E94</x:f>
        <x:v>1284</x:v>
      </x:c>
      <x:c r="D97" s="10" t="n">
        <x:f>'店长明细'!$D94</x:f>
        <x:v>1184</x:v>
      </x:c>
      <x:c r="E97" s="10" t="n">
        <x:f>'店长明细'!$E326</x:f>
        <x:v>2027</x:v>
      </x:c>
      <x:c r="F97" s="10" t="n">
        <x:f>'店长明细'!$D326</x:f>
        <x:v>1489</x:v>
      </x:c>
      <x:c r="G97" s="10" t="n">
        <x:f>'店长明细'!$E558</x:f>
        <x:v>753</x:v>
      </x:c>
      <x:c r="H97" s="10" t="n">
        <x:f>'店长明细'!$D558</x:f>
        <x:v>661</x:v>
      </x:c>
      <x:c r="I97" s="10" t="n">
        <x:f>'店长明细'!$E790</x:f>
        <x:v>497</x:v>
      </x:c>
      <x:c r="J97" s="10" t="n">
        <x:f>'店长明细'!$D790</x:f>
        <x:v>235</x:v>
      </x:c>
      <x:c r="K97" s="10" t="n">
        <x:f>'店长明细'!$E1022</x:f>
        <x:v>0</x:v>
      </x:c>
      <x:c r="L97" s="10" t="n">
        <x:f>'店长明细'!$D1022</x:f>
        <x:v>0</x:v>
      </x:c>
      <x:c r="M97" s="10" t="n">
        <x:f>'店长明细'!$E1254</x:f>
        <x:v>57</x:v>
      </x:c>
      <x:c r="N97" s="10" t="n">
        <x:f>'店长明细'!$D1254</x:f>
        <x:v>43</x:v>
      </x:c>
      <x:c r="O97" s="10" t="n">
        <x:f>'店长明细'!$E1486</x:f>
        <x:v>253</x:v>
      </x:c>
      <x:c r="P97" s="10" t="n">
        <x:f>'店长明细'!$D1486</x:f>
        <x:v>203</x:v>
      </x:c>
      <x:c r="Q97" s="10" t="n">
        <x:f>'店长明细'!$E1718</x:f>
        <x:v>37</x:v>
      </x:c>
      <x:c r="R97" s="10" t="n">
        <x:f>'店长明细'!$D1718</x:f>
        <x:v>32</x:v>
      </x:c>
      <x:c r="S97" s="10" t="n">
        <x:f>'店长明细'!$E1950</x:f>
        <x:v>32</x:v>
      </x:c>
      <x:c r="T97" s="10" t="n">
        <x:f>'店长明细'!$D1950</x:f>
        <x:v>28</x:v>
      </x:c>
      <x:c r="U97" s="10" t="n">
        <x:f>'店长明细'!$E2182</x:f>
        <x:v>18</x:v>
      </x:c>
      <x:c r="V97" s="10" t="n">
        <x:f>'店长明细'!$D2182</x:f>
        <x:v>13</x:v>
      </x:c>
      <x:c r="W97" s="11" t="n">
        <x:f>'店长明细'!$F94</x:f>
        <x:v>11997.22</x:v>
      </x:c>
      <x:c r="X97" s="11" t="n">
        <x:f>'店长明细'!$F326</x:f>
        <x:v>17185.24</x:v>
      </x:c>
      <x:c r="Y97" s="11" t="n">
        <x:f>'店长明细'!$F558</x:f>
        <x:v>6752.18</x:v>
      </x:c>
      <x:c r="Z97" s="11" t="n">
        <x:f>'店长明细'!$F790</x:f>
        <x:v>3585.5</x:v>
      </x:c>
      <x:c r="AA97" s="11" t="n">
        <x:f>'店长明细'!$F1022</x:f>
        <x:v>0</x:v>
      </x:c>
      <x:c r="AB97" s="11" t="n">
        <x:f>'店长明细'!$F1254</x:f>
        <x:v>650.24</x:v>
      </x:c>
      <x:c r="AC97" s="11" t="n">
        <x:f>'店长明细'!$F1486</x:f>
        <x:v>2331.32</x:v>
      </x:c>
      <x:c r="AD97" s="11" t="n">
        <x:f>'店长明细'!$F1718</x:f>
        <x:v>858.04</x:v>
      </x:c>
      <x:c r="AE97" s="11" t="n">
        <x:f>'店长明细'!$F1950</x:f>
        <x:v>932.29</x:v>
      </x:c>
      <x:c r="AF97" s="11" t="n">
        <x:f>'店长明细'!$F2182</x:f>
        <x:v>183.78</x:v>
      </x:c>
    </x:row>
    <x:row r="98">
      <x:c r="A98" t="str">
        <x:f>TEXT($B98,"mm-dd")</x:f>
        <x:v>04-04</x:v>
      </x:c>
      <x:c r="B98" s="9" t="n">
        <x:f>'店长明细'!$C95</x:f>
        <x:v>46116</x:v>
      </x:c>
      <x:c r="C98" s="10" t="n">
        <x:f>'店长明细'!$E95</x:f>
        <x:v>2081</x:v>
      </x:c>
      <x:c r="D98" s="10" t="n">
        <x:f>'店长明细'!$D95</x:f>
        <x:v>1935</x:v>
      </x:c>
      <x:c r="E98" s="10" t="n">
        <x:f>'店长明细'!$E327</x:f>
        <x:v>2664</x:v>
      </x:c>
      <x:c r="F98" s="10" t="n">
        <x:f>'店长明细'!$D327</x:f>
        <x:v>2081</x:v>
      </x:c>
      <x:c r="G98" s="10" t="n">
        <x:f>'店长明细'!$E559</x:f>
        <x:v>2564</x:v>
      </x:c>
      <x:c r="H98" s="10" t="n">
        <x:f>'店长明细'!$D559</x:f>
        <x:v>1637</x:v>
      </x:c>
      <x:c r="I98" s="10" t="n">
        <x:f>'店长明细'!$E791</x:f>
        <x:v>2485</x:v>
      </x:c>
      <x:c r="J98" s="10" t="n">
        <x:f>'店长明细'!$D791</x:f>
        <x:v>1136</x:v>
      </x:c>
      <x:c r="K98" s="10" t="n">
        <x:f>'店长明细'!$E1023</x:f>
        <x:v>0</x:v>
      </x:c>
      <x:c r="L98" s="10" t="n">
        <x:f>'店长明细'!$D1023</x:f>
        <x:v>0</x:v>
      </x:c>
      <x:c r="M98" s="10" t="n">
        <x:f>'店长明细'!$E1255</x:f>
        <x:v>117</x:v>
      </x:c>
      <x:c r="N98" s="10" t="n">
        <x:f>'店长明细'!$D1255</x:f>
        <x:v>67</x:v>
      </x:c>
      <x:c r="O98" s="10" t="n">
        <x:f>'店长明细'!$E1487</x:f>
        <x:v>647</x:v>
      </x:c>
      <x:c r="P98" s="10" t="n">
        <x:f>'店长明细'!$D1487</x:f>
        <x:v>413</x:v>
      </x:c>
      <x:c r="Q98" s="10" t="n">
        <x:f>'店长明细'!$E1719</x:f>
        <x:v>22</x:v>
      </x:c>
      <x:c r="R98" s="10" t="n">
        <x:f>'店长明细'!$D1719</x:f>
        <x:v>17</x:v>
      </x:c>
      <x:c r="S98" s="10" t="n">
        <x:f>'店长明细'!$E1951</x:f>
        <x:v>19</x:v>
      </x:c>
      <x:c r="T98" s="10" t="n">
        <x:f>'店长明细'!$D1951</x:f>
        <x:v>16</x:v>
      </x:c>
      <x:c r="U98" s="10" t="n">
        <x:f>'店长明细'!$E2183</x:f>
        <x:v>282</x:v>
      </x:c>
      <x:c r="V98" s="10" t="n">
        <x:f>'店长明细'!$D2183</x:f>
        <x:v>157</x:v>
      </x:c>
      <x:c r="W98" s="11" t="n">
        <x:f>'店长明细'!$F95</x:f>
        <x:v>18927.58</x:v>
      </x:c>
      <x:c r="X98" s="11" t="n">
        <x:f>'店长明细'!$F327</x:f>
        <x:v>23139.25</x:v>
      </x:c>
      <x:c r="Y98" s="11" t="n">
        <x:f>'店长明细'!$F559</x:f>
        <x:v>23797.11</x:v>
      </x:c>
      <x:c r="Z98" s="11" t="n">
        <x:f>'店长明细'!$F791</x:f>
        <x:v>19190.5</x:v>
      </x:c>
      <x:c r="AA98" s="11" t="n">
        <x:f>'店长明细'!$F1023</x:f>
        <x:v>0</x:v>
      </x:c>
      <x:c r="AB98" s="11" t="n">
        <x:f>'店长明细'!$F1255</x:f>
        <x:v>1338.1</x:v>
      </x:c>
      <x:c r="AC98" s="11" t="n">
        <x:f>'店长明细'!$F1487</x:f>
        <x:v>9015.67</x:v>
      </x:c>
      <x:c r="AD98" s="11" t="n">
        <x:f>'店长明细'!$F1719</x:f>
        <x:v>612.55</x:v>
      </x:c>
      <x:c r="AE98" s="11" t="n">
        <x:f>'店长明细'!$F1951</x:f>
        <x:v>572.31</x:v>
      </x:c>
      <x:c r="AF98" s="11" t="n">
        <x:f>'店长明细'!$F2183</x:f>
        <x:v>2240.48</x:v>
      </x:c>
    </x:row>
    <x:row r="99">
      <x:c r="A99" t="str">
        <x:f>TEXT($B99,"mm-dd")</x:f>
        <x:v>04-05</x:v>
      </x:c>
      <x:c r="B99" s="9" t="n">
        <x:f>'店长明细'!$C96</x:f>
        <x:v>46117</x:v>
      </x:c>
      <x:c r="C99" s="10" t="n">
        <x:f>'店长明细'!$E96</x:f>
        <x:v>1978</x:v>
      </x:c>
      <x:c r="D99" s="10" t="n">
        <x:f>'店长明细'!$D96</x:f>
        <x:v>1805</x:v>
      </x:c>
      <x:c r="E99" s="10" t="n">
        <x:f>'店长明细'!$E328</x:f>
        <x:v>2480</x:v>
      </x:c>
      <x:c r="F99" s="10" t="n">
        <x:f>'店长明细'!$D328</x:f>
        <x:v>1839</x:v>
      </x:c>
      <x:c r="G99" s="10" t="n">
        <x:f>'店长明细'!$E560</x:f>
        <x:v>1588</x:v>
      </x:c>
      <x:c r="H99" s="10" t="n">
        <x:f>'店长明细'!$D560</x:f>
        <x:v>1216</x:v>
      </x:c>
      <x:c r="I99" s="10" t="n">
        <x:f>'店长明细'!$E792</x:f>
        <x:v>2062</x:v>
      </x:c>
      <x:c r="J99" s="10" t="n">
        <x:f>'店长明细'!$D792</x:f>
        <x:v>920</x:v>
      </x:c>
      <x:c r="K99" s="10" t="n">
        <x:f>'店长明细'!$E1024</x:f>
        <x:v>1</x:v>
      </x:c>
      <x:c r="L99" s="10" t="n">
        <x:f>'店长明细'!$D1024</x:f>
        <x:v>1</x:v>
      </x:c>
      <x:c r="M99" s="10" t="n">
        <x:f>'店长明细'!$E1256</x:f>
        <x:v>112</x:v>
      </x:c>
      <x:c r="N99" s="10" t="n">
        <x:f>'店长明细'!$D1256</x:f>
        <x:v>73</x:v>
      </x:c>
      <x:c r="O99" s="10" t="n">
        <x:f>'店长明细'!$E1488</x:f>
        <x:v>919</x:v>
      </x:c>
      <x:c r="P99" s="10" t="n">
        <x:f>'店长明细'!$D1488</x:f>
        <x:v>313</x:v>
      </x:c>
      <x:c r="Q99" s="10" t="n">
        <x:f>'店长明细'!$E1720</x:f>
        <x:v>23</x:v>
      </x:c>
      <x:c r="R99" s="10" t="n">
        <x:f>'店长明细'!$D1720</x:f>
        <x:v>16</x:v>
      </x:c>
      <x:c r="S99" s="10" t="n">
        <x:f>'店长明细'!$E1952</x:f>
        <x:v>2</x:v>
      </x:c>
      <x:c r="T99" s="10" t="n">
        <x:f>'店长明细'!$D1952</x:f>
        <x:v>2</x:v>
      </x:c>
      <x:c r="U99" s="10" t="n">
        <x:f>'店长明细'!$E2184</x:f>
        <x:v>100</x:v>
      </x:c>
      <x:c r="V99" s="10" t="n">
        <x:f>'店长明细'!$D2184</x:f>
        <x:v>67</x:v>
      </x:c>
      <x:c r="W99" s="11" t="n">
        <x:f>'店长明细'!$F96</x:f>
        <x:v>18182.89</x:v>
      </x:c>
      <x:c r="X99" s="11" t="n">
        <x:f>'店长明细'!$F328</x:f>
        <x:v>22295.52</x:v>
      </x:c>
      <x:c r="Y99" s="11" t="n">
        <x:f>'店长明细'!$F560</x:f>
        <x:v>16735.96</x:v>
      </x:c>
      <x:c r="Z99" s="11" t="n">
        <x:f>'店长明细'!$F792</x:f>
        <x:v>16514.3</x:v>
      </x:c>
      <x:c r="AA99" s="11" t="n">
        <x:f>'店长明细'!$F1024</x:f>
        <x:v>11.76</x:v>
      </x:c>
      <x:c r="AB99" s="11" t="n">
        <x:f>'店长明细'!$F1256</x:f>
        <x:v>2185.05</x:v>
      </x:c>
      <x:c r="AC99" s="11" t="n">
        <x:f>'店长明细'!$F1488</x:f>
        <x:v>10054.6</x:v>
      </x:c>
      <x:c r="AD99" s="11" t="n">
        <x:f>'店长明细'!$F1720</x:f>
        <x:v>521.56</x:v>
      </x:c>
      <x:c r="AE99" s="11" t="n">
        <x:f>'店长明细'!$F1952</x:f>
        <x:v>236.58</x:v>
      </x:c>
      <x:c r="AF99" s="11" t="n">
        <x:f>'店长明细'!$F2184</x:f>
        <x:v>1188.28</x:v>
      </x:c>
    </x:row>
    <x:row r="100">
      <x:c r="A100" t="str">
        <x:f>TEXT($B100,"mm-dd")</x:f>
        <x:v>04-06</x:v>
      </x:c>
      <x:c r="B100" s="9" t="n">
        <x:f>'店长明细'!$C97</x:f>
        <x:v>46118</x:v>
      </x:c>
      <x:c r="C100" s="10" t="n">
        <x:f>'店长明细'!$E97</x:f>
        <x:v>401</x:v>
      </x:c>
      <x:c r="D100" s="10" t="n">
        <x:f>'店长明细'!$D97</x:f>
        <x:v>278</x:v>
      </x:c>
      <x:c r="E100" s="10" t="n">
        <x:f>'店长明细'!$E329</x:f>
        <x:v>2191</x:v>
      </x:c>
      <x:c r="F100" s="10" t="n">
        <x:f>'店长明细'!$D329</x:f>
        <x:v>1760</x:v>
      </x:c>
      <x:c r="G100" s="10" t="n">
        <x:f>'店长明细'!$E561</x:f>
        <x:v>1434</x:v>
      </x:c>
      <x:c r="H100" s="10" t="n">
        <x:f>'店长明细'!$D561</x:f>
        <x:v>978</x:v>
      </x:c>
      <x:c r="I100" s="10" t="n">
        <x:f>'店长明细'!$E793</x:f>
        <x:v>1235</x:v>
      </x:c>
      <x:c r="J100" s="10" t="n">
        <x:f>'店长明细'!$D793</x:f>
        <x:v>583</x:v>
      </x:c>
      <x:c r="K100" s="10" t="n">
        <x:f>'店长明细'!$E1025</x:f>
        <x:v>0</x:v>
      </x:c>
      <x:c r="L100" s="10" t="n">
        <x:f>'店长明细'!$D1025</x:f>
        <x:v>0</x:v>
      </x:c>
      <x:c r="M100" s="10" t="n">
        <x:f>'店长明细'!$E1257</x:f>
        <x:v>50</x:v>
      </x:c>
      <x:c r="N100" s="10" t="n">
        <x:f>'店长明细'!$D1257</x:f>
        <x:v>45</x:v>
      </x:c>
      <x:c r="O100" s="10" t="n">
        <x:f>'店长明细'!$E1489</x:f>
        <x:v>354</x:v>
      </x:c>
      <x:c r="P100" s="10" t="n">
        <x:f>'店长明细'!$D1489</x:f>
        <x:v>260</x:v>
      </x:c>
      <x:c r="Q100" s="10" t="n">
        <x:f>'店长明细'!$E1721</x:f>
        <x:v>23</x:v>
      </x:c>
      <x:c r="R100" s="10" t="n">
        <x:f>'店长明细'!$D1721</x:f>
        <x:v>17</x:v>
      </x:c>
      <x:c r="S100" s="10" t="n">
        <x:f>'店长明细'!$E1953</x:f>
        <x:v>7</x:v>
      </x:c>
      <x:c r="T100" s="10" t="n">
        <x:f>'店长明细'!$D1953</x:f>
        <x:v>6</x:v>
      </x:c>
      <x:c r="U100" s="10" t="n">
        <x:f>'店长明细'!$E2185</x:f>
        <x:v>58</x:v>
      </x:c>
      <x:c r="V100" s="10" t="n">
        <x:f>'店长明细'!$D2185</x:f>
        <x:v>33</x:v>
      </x:c>
      <x:c r="W100" s="11" t="n">
        <x:f>'店长明细'!$F97</x:f>
        <x:v>3650.9</x:v>
      </x:c>
      <x:c r="X100" s="11" t="n">
        <x:f>'店长明细'!$F329</x:f>
        <x:v>20273.17</x:v>
      </x:c>
      <x:c r="Y100" s="11" t="n">
        <x:f>'店长明细'!$F561</x:f>
        <x:v>11740.86</x:v>
      </x:c>
      <x:c r="Z100" s="11" t="n">
        <x:f>'店长明细'!$F793</x:f>
        <x:v>10299.65</x:v>
      </x:c>
      <x:c r="AA100" s="11" t="n">
        <x:f>'店长明细'!$F1025</x:f>
        <x:v>0</x:v>
      </x:c>
      <x:c r="AB100" s="11" t="n">
        <x:f>'店长明细'!$F1257</x:f>
        <x:v>1048.95</x:v>
      </x:c>
      <x:c r="AC100" s="11" t="n">
        <x:f>'店长明细'!$F1489</x:f>
        <x:v>4363.64</x:v>
      </x:c>
      <x:c r="AD100" s="11" t="n">
        <x:f>'店长明细'!$F1721</x:f>
        <x:v>518.36</x:v>
      </x:c>
      <x:c r="AE100" s="11" t="n">
        <x:f>'店长明细'!$F1953</x:f>
        <x:v>405.05</x:v>
      </x:c>
      <x:c r="AF100" s="11" t="n">
        <x:f>'店长明细'!$F2185</x:f>
        <x:v>815.56</x:v>
      </x:c>
    </x:row>
    <x:row r="101">
      <x:c r="A101" t="str">
        <x:f>TEXT($B101,"mm-dd")</x:f>
        <x:v>04-07</x:v>
      </x:c>
      <x:c r="B101" s="9" t="n">
        <x:f>'店长明细'!$C98</x:f>
        <x:v>46119</x:v>
      </x:c>
      <x:c r="C101" s="10" t="n">
        <x:f>'店长明细'!$E98</x:f>
        <x:v>4128</x:v>
      </x:c>
      <x:c r="D101" s="10" t="n">
        <x:f>'店长明细'!$D98</x:f>
        <x:v>4030</x:v>
      </x:c>
      <x:c r="E101" s="10" t="n">
        <x:f>'店长明细'!$E330</x:f>
        <x:v>1883</x:v>
      </x:c>
      <x:c r="F101" s="10" t="n">
        <x:f>'店长明细'!$D330</x:f>
        <x:v>1532</x:v>
      </x:c>
      <x:c r="G101" s="10" t="n">
        <x:f>'店长明细'!$E562</x:f>
        <x:v>1345</x:v>
      </x:c>
      <x:c r="H101" s="10" t="n">
        <x:f>'店长明细'!$D562</x:f>
        <x:v>974</x:v>
      </x:c>
      <x:c r="I101" s="10" t="n">
        <x:f>'店长明细'!$E794</x:f>
        <x:v>1215</x:v>
      </x:c>
      <x:c r="J101" s="10" t="n">
        <x:f>'店长明细'!$D794</x:f>
        <x:v>558</x:v>
      </x:c>
      <x:c r="K101" s="10" t="n">
        <x:f>'店长明细'!$E1026</x:f>
        <x:v>1</x:v>
      </x:c>
      <x:c r="L101" s="10" t="n">
        <x:f>'店长明细'!$D1026</x:f>
        <x:v>1</x:v>
      </x:c>
      <x:c r="M101" s="10" t="n">
        <x:f>'店长明细'!$E1258</x:f>
        <x:v>69</x:v>
      </x:c>
      <x:c r="N101" s="10" t="n">
        <x:f>'店长明细'!$D1258</x:f>
        <x:v>53</x:v>
      </x:c>
      <x:c r="O101" s="10" t="n">
        <x:f>'店长明细'!$E1490</x:f>
        <x:v>452</x:v>
      </x:c>
      <x:c r="P101" s="10" t="n">
        <x:f>'店长明细'!$D1490</x:f>
        <x:v>295</x:v>
      </x:c>
      <x:c r="Q101" s="10" t="n">
        <x:f>'店长明细'!$E1722</x:f>
        <x:v>48</x:v>
      </x:c>
      <x:c r="R101" s="10" t="n">
        <x:f>'店长明细'!$D1722</x:f>
        <x:v>42</x:v>
      </x:c>
      <x:c r="S101" s="10" t="n">
        <x:f>'店长明细'!$E1954</x:f>
        <x:v>54</x:v>
      </x:c>
      <x:c r="T101" s="10" t="n">
        <x:f>'店长明细'!$D1954</x:f>
        <x:v>43</x:v>
      </x:c>
      <x:c r="U101" s="10" t="n">
        <x:f>'店长明细'!$E2186</x:f>
        <x:v>144</x:v>
      </x:c>
      <x:c r="V101" s="10" t="n">
        <x:f>'店长明细'!$D2186</x:f>
        <x:v>115</x:v>
      </x:c>
      <x:c r="W101" s="11" t="n">
        <x:f>'店长明细'!$F98</x:f>
        <x:v>38100.71</x:v>
      </x:c>
      <x:c r="X101" s="11" t="n">
        <x:f>'店长明细'!$F330</x:f>
        <x:v>16875.03</x:v>
      </x:c>
      <x:c r="Y101" s="11" t="n">
        <x:f>'店长明细'!$F562</x:f>
        <x:v>10855.13</x:v>
      </x:c>
      <x:c r="Z101" s="11" t="n">
        <x:f>'店长明细'!$F794</x:f>
        <x:v>9528.36</x:v>
      </x:c>
      <x:c r="AA101" s="11" t="n">
        <x:f>'店长明细'!$F1026</x:f>
        <x:v>5.89</x:v>
      </x:c>
      <x:c r="AB101" s="11" t="n">
        <x:f>'店长明细'!$F1258</x:f>
        <x:v>1038.2</x:v>
      </x:c>
      <x:c r="AC101" s="11" t="n">
        <x:f>'店长明细'!$F1490</x:f>
        <x:v>5206.57</x:v>
      </x:c>
      <x:c r="AD101" s="11" t="n">
        <x:f>'店长明细'!$F1722</x:f>
        <x:v>1720.95</x:v>
      </x:c>
      <x:c r="AE101" s="11" t="n">
        <x:f>'店长明细'!$F1954</x:f>
        <x:v>2243.3</x:v>
      </x:c>
      <x:c r="AF101" s="11" t="n">
        <x:f>'店长明细'!$F2186</x:f>
        <x:v>1550.64</x:v>
      </x:c>
    </x:row>
    <x:row r="102">
      <x:c r="A102" t="str">
        <x:f>TEXT($B102,"mm-dd")</x:f>
        <x:v>04-08</x:v>
      </x:c>
      <x:c r="B102" s="9" t="n">
        <x:f>'店长明细'!$C99</x:f>
        <x:v>46120</x:v>
      </x:c>
      <x:c r="C102" s="10" t="n">
        <x:f>'店长明细'!$E99</x:f>
        <x:v>1296</x:v>
      </x:c>
      <x:c r="D102" s="10" t="n">
        <x:f>'店长明细'!$D99</x:f>
        <x:v>1207</x:v>
      </x:c>
      <x:c r="E102" s="10" t="n">
        <x:f>'店长明细'!$E331</x:f>
        <x:v>1875</x:v>
      </x:c>
      <x:c r="F102" s="10" t="n">
        <x:f>'店长明细'!$D331</x:f>
        <x:v>1508</x:v>
      </x:c>
      <x:c r="G102" s="10" t="n">
        <x:f>'店长明细'!$E563</x:f>
        <x:v>2814</x:v>
      </x:c>
      <x:c r="H102" s="10" t="n">
        <x:f>'店长明细'!$D563</x:f>
        <x:v>2410</x:v>
      </x:c>
      <x:c r="I102" s="10" t="n">
        <x:f>'店长明细'!$E795</x:f>
        <x:v>1129</x:v>
      </x:c>
      <x:c r="J102" s="10" t="n">
        <x:f>'店长明细'!$D795</x:f>
        <x:v>540</x:v>
      </x:c>
      <x:c r="K102" s="10" t="n">
        <x:f>'店长明细'!$E1027</x:f>
        <x:v>0</x:v>
      </x:c>
      <x:c r="L102" s="10" t="n">
        <x:f>'店长明细'!$D1027</x:f>
        <x:v>0</x:v>
      </x:c>
      <x:c r="M102" s="10" t="n">
        <x:f>'店长明细'!$E1259</x:f>
        <x:v>52</x:v>
      </x:c>
      <x:c r="N102" s="10" t="n">
        <x:f>'店长明细'!$D1259</x:f>
        <x:v>40</x:v>
      </x:c>
      <x:c r="O102" s="10" t="n">
        <x:f>'店长明细'!$E1491</x:f>
        <x:v>627</x:v>
      </x:c>
      <x:c r="P102" s="10" t="n">
        <x:f>'店长明细'!$D1491</x:f>
        <x:v>424</x:v>
      </x:c>
      <x:c r="Q102" s="10" t="n">
        <x:f>'店长明细'!$E1723</x:f>
        <x:v>54</x:v>
      </x:c>
      <x:c r="R102" s="10" t="n">
        <x:f>'店长明细'!$D1723</x:f>
        <x:v>35</x:v>
      </x:c>
      <x:c r="S102" s="10" t="n">
        <x:f>'店长明细'!$E1955</x:f>
        <x:v>26</x:v>
      </x:c>
      <x:c r="T102" s="10" t="n">
        <x:f>'店长明细'!$D1955</x:f>
        <x:v>22</x:v>
      </x:c>
      <x:c r="U102" s="10" t="n">
        <x:f>'店长明细'!$E2187</x:f>
        <x:v>94</x:v>
      </x:c>
      <x:c r="V102" s="10" t="n">
        <x:f>'店长明细'!$D2187</x:f>
        <x:v>64</x:v>
      </x:c>
      <x:c r="W102" s="11" t="n">
        <x:f>'店长明细'!$F99</x:f>
        <x:v>12471.28</x:v>
      </x:c>
      <x:c r="X102" s="11" t="n">
        <x:f>'店长明细'!$F331</x:f>
        <x:v>17052.45</x:v>
      </x:c>
      <x:c r="Y102" s="11" t="n">
        <x:f>'店长明细'!$F563</x:f>
        <x:v>24192.64</x:v>
      </x:c>
      <x:c r="Z102" s="11" t="n">
        <x:f>'店长明细'!$F795</x:f>
        <x:v>8869.07</x:v>
      </x:c>
      <x:c r="AA102" s="11" t="n">
        <x:f>'店长明细'!$F1027</x:f>
        <x:v>0</x:v>
      </x:c>
      <x:c r="AB102" s="11" t="n">
        <x:f>'店长明细'!$F1259</x:f>
        <x:v>944.21</x:v>
      </x:c>
      <x:c r="AC102" s="11" t="n">
        <x:f>'店长明细'!$F1491</x:f>
        <x:v>6556.9</x:v>
      </x:c>
      <x:c r="AD102" s="11" t="n">
        <x:f>'店长明细'!$F1723</x:f>
        <x:v>1468.21</x:v>
      </x:c>
      <x:c r="AE102" s="11" t="n">
        <x:f>'店长明细'!$F1955</x:f>
        <x:v>955.95</x:v>
      </x:c>
      <x:c r="AF102" s="11" t="n">
        <x:f>'店长明细'!$F2187</x:f>
        <x:v>1046.04</x:v>
      </x:c>
    </x:row>
    <x:row r="103">
      <x:c r="A103" t="str">
        <x:f>TEXT($B103,"mm-dd")</x:f>
        <x:v>04-09</x:v>
      </x:c>
      <x:c r="B103" s="9" t="n">
        <x:f>'店长明细'!$C100</x:f>
        <x:v>46121</x:v>
      </x:c>
      <x:c r="C103" s="10" t="n">
        <x:f>'店长明细'!$E100</x:f>
        <x:v>603</x:v>
      </x:c>
      <x:c r="D103" s="10" t="n">
        <x:f>'店长明细'!$D100</x:f>
        <x:v>516</x:v>
      </x:c>
      <x:c r="E103" s="10" t="n">
        <x:f>'店长明细'!$E332</x:f>
        <x:v>2285</x:v>
      </x:c>
      <x:c r="F103" s="10" t="n">
        <x:f>'店长明细'!$D332</x:f>
        <x:v>1600</x:v>
      </x:c>
      <x:c r="G103" s="10" t="n">
        <x:f>'店长明细'!$E564</x:f>
        <x:v>5789</x:v>
      </x:c>
      <x:c r="H103" s="10" t="n">
        <x:f>'店长明细'!$D564</x:f>
        <x:v>3881</x:v>
      </x:c>
      <x:c r="I103" s="10" t="n">
        <x:f>'店长明细'!$E796</x:f>
        <x:v>1214</x:v>
      </x:c>
      <x:c r="J103" s="10" t="n">
        <x:f>'店长明细'!$D796</x:f>
        <x:v>605</x:v>
      </x:c>
      <x:c r="K103" s="10" t="n">
        <x:f>'店长明细'!$E1028</x:f>
        <x:v>2</x:v>
      </x:c>
      <x:c r="L103" s="10" t="n">
        <x:f>'店长明细'!$D1028</x:f>
        <x:v>2</x:v>
      </x:c>
      <x:c r="M103" s="10" t="n">
        <x:f>'店长明细'!$E1260</x:f>
        <x:v>123</x:v>
      </x:c>
      <x:c r="N103" s="10" t="n">
        <x:f>'店长明细'!$D1260</x:f>
        <x:v>51</x:v>
      </x:c>
      <x:c r="O103" s="10" t="n">
        <x:f>'店长明细'!$E1492</x:f>
        <x:v>481</x:v>
      </x:c>
      <x:c r="P103" s="10" t="n">
        <x:f>'店长明细'!$D1492</x:f>
        <x:v>388</x:v>
      </x:c>
      <x:c r="Q103" s="10" t="n">
        <x:f>'店长明细'!$E1724</x:f>
        <x:v>19</x:v>
      </x:c>
      <x:c r="R103" s="10" t="n">
        <x:f>'店长明细'!$D1724</x:f>
        <x:v>16</x:v>
      </x:c>
      <x:c r="S103" s="10" t="n">
        <x:f>'店长明细'!$E1956</x:f>
        <x:v>24</x:v>
      </x:c>
      <x:c r="T103" s="10" t="n">
        <x:f>'店长明细'!$D1956</x:f>
        <x:v>24</x:v>
      </x:c>
      <x:c r="U103" s="10" t="n">
        <x:f>'店长明细'!$E2188</x:f>
        <x:v>91</x:v>
      </x:c>
      <x:c r="V103" s="10" t="n">
        <x:f>'店长明细'!$D2188</x:f>
        <x:v>59</x:v>
      </x:c>
      <x:c r="W103" s="11" t="n">
        <x:f>'店长明细'!$F100</x:f>
        <x:v>5444.74</x:v>
      </x:c>
      <x:c r="X103" s="11" t="n">
        <x:f>'店长明细'!$F332</x:f>
        <x:v>19253.1</x:v>
      </x:c>
      <x:c r="Y103" s="11" t="n">
        <x:f>'店长明细'!$F564</x:f>
        <x:v>42502.71</x:v>
      </x:c>
      <x:c r="Z103" s="11" t="n">
        <x:f>'店长明细'!$F796</x:f>
        <x:v>10071.53</x:v>
      </x:c>
      <x:c r="AA103" s="11" t="n">
        <x:f>'店长明细'!$F1028</x:f>
        <x:v>22.23</x:v>
      </x:c>
      <x:c r="AB103" s="11" t="n">
        <x:f>'店长明细'!$F1260</x:f>
        <x:v>2113.02</x:v>
      </x:c>
      <x:c r="AC103" s="11" t="n">
        <x:f>'店长明细'!$F1492</x:f>
        <x:v>4942.63</x:v>
      </x:c>
      <x:c r="AD103" s="11" t="n">
        <x:f>'店长明细'!$F1724</x:f>
        <x:v>666.93</x:v>
      </x:c>
      <x:c r="AE103" s="11" t="n">
        <x:f>'店长明细'!$F1956</x:f>
        <x:v>769.8</x:v>
      </x:c>
      <x:c r="AF103" s="11" t="n">
        <x:f>'店长明细'!$F2188</x:f>
        <x:v>1159.8</x:v>
      </x:c>
    </x:row>
    <x:row r="104">
      <x:c r="A104" t="str">
        <x:f>TEXT($B104,"mm-dd")</x:f>
        <x:v>04-10</x:v>
      </x:c>
      <x:c r="B104" s="9" t="n">
        <x:f>'店长明细'!$C101</x:f>
        <x:v>46122</x:v>
      </x:c>
      <x:c r="C104" s="10" t="n">
        <x:f>'店长明细'!$E101</x:f>
        <x:v>507</x:v>
      </x:c>
      <x:c r="D104" s="10" t="n">
        <x:f>'店长明细'!$D101</x:f>
        <x:v>417</x:v>
      </x:c>
      <x:c r="E104" s="10" t="n">
        <x:f>'店长明细'!$E333</x:f>
        <x:v>1327</x:v>
      </x:c>
      <x:c r="F104" s="10" t="n">
        <x:f>'店长明细'!$D333</x:f>
        <x:v>962</x:v>
      </x:c>
      <x:c r="G104" s="10" t="n">
        <x:f>'店长明细'!$E565</x:f>
        <x:v>8382</x:v>
      </x:c>
      <x:c r="H104" s="10" t="n">
        <x:f>'店长明细'!$D565</x:f>
        <x:v>6065</x:v>
      </x:c>
      <x:c r="I104" s="10" t="n">
        <x:f>'店长明细'!$E797</x:f>
        <x:v>1546</x:v>
      </x:c>
      <x:c r="J104" s="10" t="n">
        <x:f>'店长明细'!$D797</x:f>
        <x:v>771</x:v>
      </x:c>
      <x:c r="K104" s="10" t="n">
        <x:f>'店长明细'!$E1029</x:f>
        <x:v>2</x:v>
      </x:c>
      <x:c r="L104" s="10" t="n">
        <x:f>'店长明细'!$D1029</x:f>
        <x:v>2</x:v>
      </x:c>
      <x:c r="M104" s="10" t="n">
        <x:f>'店长明细'!$E1261</x:f>
        <x:v>93</x:v>
      </x:c>
      <x:c r="N104" s="10" t="n">
        <x:f>'店长明细'!$D1261</x:f>
        <x:v>68</x:v>
      </x:c>
      <x:c r="O104" s="10" t="n">
        <x:f>'店长明细'!$E1493</x:f>
        <x:v>558</x:v>
      </x:c>
      <x:c r="P104" s="10" t="n">
        <x:f>'店长明细'!$D1493</x:f>
        <x:v>443</x:v>
      </x:c>
      <x:c r="Q104" s="10" t="n">
        <x:f>'店长明细'!$E1725</x:f>
        <x:v>61</x:v>
      </x:c>
      <x:c r="R104" s="10" t="n">
        <x:f>'店长明细'!$D1725</x:f>
        <x:v>37</x:v>
      </x:c>
      <x:c r="S104" s="10" t="n">
        <x:f>'店长明细'!$E1957</x:f>
        <x:v>31</x:v>
      </x:c>
      <x:c r="T104" s="10" t="n">
        <x:f>'店长明细'!$D1957</x:f>
        <x:v>26</x:v>
      </x:c>
      <x:c r="U104" s="10" t="n">
        <x:f>'店长明细'!$E2189</x:f>
        <x:v>216</x:v>
      </x:c>
      <x:c r="V104" s="10" t="n">
        <x:f>'店长明细'!$D2189</x:f>
        <x:v>165</x:v>
      </x:c>
      <x:c r="W104" s="11" t="n">
        <x:f>'店长明细'!$F101</x:f>
        <x:v>4237.94</x:v>
      </x:c>
      <x:c r="X104" s="11" t="n">
        <x:f>'店长明细'!$F333</x:f>
        <x:v>12157.9</x:v>
      </x:c>
      <x:c r="Y104" s="11" t="n">
        <x:f>'店长明细'!$F565</x:f>
        <x:v>62939.65</x:v>
      </x:c>
      <x:c r="Z104" s="11" t="n">
        <x:f>'店长明细'!$F797</x:f>
        <x:v>12562.84</x:v>
      </x:c>
      <x:c r="AA104" s="11" t="n">
        <x:f>'店长明细'!$F1029</x:f>
        <x:v>16.48</x:v>
      </x:c>
      <x:c r="AB104" s="11" t="n">
        <x:f>'店长明细'!$F1261</x:f>
        <x:v>1652.4</x:v>
      </x:c>
      <x:c r="AC104" s="11" t="n">
        <x:f>'店长明细'!$F1493</x:f>
        <x:v>6173.41</x:v>
      </x:c>
      <x:c r="AD104" s="11" t="n">
        <x:f>'店长明细'!$F1725</x:f>
        <x:v>1535.87</x:v>
      </x:c>
      <x:c r="AE104" s="11" t="n">
        <x:f>'店长明细'!$F1957</x:f>
        <x:v>1039.39</x:v>
      </x:c>
      <x:c r="AF104" s="11" t="n">
        <x:f>'店长明细'!$F2189</x:f>
        <x:v>2299.86</x:v>
      </x:c>
    </x:row>
    <x:row r="105">
      <x:c r="A105" t="str">
        <x:f>TEXT($B105,"mm-dd")</x:f>
        <x:v>04-11</x:v>
      </x:c>
      <x:c r="B105" s="9" t="n">
        <x:f>'店长明细'!$C102</x:f>
        <x:v>46123</x:v>
      </x:c>
      <x:c r="C105" s="10" t="n">
        <x:f>'店长明细'!$E102</x:f>
        <x:v>562</x:v>
      </x:c>
      <x:c r="D105" s="10" t="n">
        <x:f>'店长明细'!$D102</x:f>
        <x:v>491</x:v>
      </x:c>
      <x:c r="E105" s="10" t="n">
        <x:f>'店长明细'!$E334</x:f>
        <x:v>1419</x:v>
      </x:c>
      <x:c r="F105" s="10" t="n">
        <x:f>'店长明细'!$D334</x:f>
        <x:v>1145</x:v>
      </x:c>
      <x:c r="G105" s="10" t="n">
        <x:f>'店长明细'!$E566</x:f>
        <x:v>4561</x:v>
      </x:c>
      <x:c r="H105" s="10" t="n">
        <x:f>'店长明细'!$D566</x:f>
        <x:v>3922</x:v>
      </x:c>
      <x:c r="I105" s="10" t="n">
        <x:f>'店长明细'!$E798</x:f>
        <x:v>1357</x:v>
      </x:c>
      <x:c r="J105" s="10" t="n">
        <x:f>'店长明细'!$D798</x:f>
        <x:v>711</x:v>
      </x:c>
      <x:c r="K105" s="10" t="n">
        <x:f>'店长明细'!$E1030</x:f>
        <x:v>2</x:v>
      </x:c>
      <x:c r="L105" s="10" t="n">
        <x:f>'店长明细'!$D1030</x:f>
        <x:v>2</x:v>
      </x:c>
      <x:c r="M105" s="10" t="n">
        <x:f>'店长明细'!$E1262</x:f>
        <x:v>81</x:v>
      </x:c>
      <x:c r="N105" s="10" t="n">
        <x:f>'店长明细'!$D1262</x:f>
        <x:v>50</x:v>
      </x:c>
      <x:c r="O105" s="10" t="n">
        <x:f>'店长明细'!$E1494</x:f>
        <x:v>771</x:v>
      </x:c>
      <x:c r="P105" s="10" t="n">
        <x:f>'店长明细'!$D1494</x:f>
        <x:v>592</x:v>
      </x:c>
      <x:c r="Q105" s="10" t="n">
        <x:f>'店长明细'!$E1726</x:f>
        <x:v>48</x:v>
      </x:c>
      <x:c r="R105" s="10" t="n">
        <x:f>'店长明细'!$D1726</x:f>
        <x:v>31</x:v>
      </x:c>
      <x:c r="S105" s="10" t="n">
        <x:f>'店长明细'!$E1958</x:f>
        <x:v>16</x:v>
      </x:c>
      <x:c r="T105" s="10" t="n">
        <x:f>'店长明细'!$D1958</x:f>
        <x:v>13</x:v>
      </x:c>
      <x:c r="U105" s="10" t="n">
        <x:f>'店长明细'!$E2190</x:f>
        <x:v>173</x:v>
      </x:c>
      <x:c r="V105" s="10" t="n">
        <x:f>'店长明细'!$D2190</x:f>
        <x:v>139</x:v>
      </x:c>
      <x:c r="W105" s="11" t="n">
        <x:f>'店长明细'!$F102</x:f>
        <x:v>5110.99</x:v>
      </x:c>
      <x:c r="X105" s="11" t="n">
        <x:f>'店长明细'!$F334</x:f>
        <x:v>13760.54</x:v>
      </x:c>
      <x:c r="Y105" s="11" t="n">
        <x:f>'店长明细'!$F566</x:f>
        <x:v>38190.28</x:v>
      </x:c>
      <x:c r="Z105" s="11" t="n">
        <x:f>'店长明细'!$F798</x:f>
        <x:v>11291.71</x:v>
      </x:c>
      <x:c r="AA105" s="11" t="n">
        <x:f>'店长明细'!$F1030</x:f>
        <x:v>14.92</x:v>
      </x:c>
      <x:c r="AB105" s="11" t="n">
        <x:f>'店长明细'!$F1262</x:f>
        <x:v>1361.73</x:v>
      </x:c>
      <x:c r="AC105" s="11" t="n">
        <x:f>'店长明细'!$F1494</x:f>
        <x:v>8075.97</x:v>
      </x:c>
      <x:c r="AD105" s="11" t="n">
        <x:f>'店长明细'!$F1726</x:f>
        <x:v>1328.23</x:v>
      </x:c>
      <x:c r="AE105" s="11" t="n">
        <x:f>'店长明细'!$F1958</x:f>
        <x:v>426.77</x:v>
      </x:c>
      <x:c r="AF105" s="11" t="n">
        <x:f>'店长明细'!$F2190</x:f>
        <x:v>2126.99</x:v>
      </x:c>
    </x:row>
    <x:row r="106">
      <x:c r="A106" t="str">
        <x:f>TEXT($B106,"mm-dd")</x:f>
        <x:v>04-12</x:v>
      </x:c>
      <x:c r="B106" s="9" t="n">
        <x:f>'店长明细'!$C103</x:f>
        <x:v>46124</x:v>
      </x:c>
      <x:c r="C106" s="10" t="n">
        <x:f>'店长明细'!$E103</x:f>
        <x:v>334</x:v>
      </x:c>
      <x:c r="D106" s="10" t="n">
        <x:f>'店长明细'!$D103</x:f>
        <x:v>236</x:v>
      </x:c>
      <x:c r="E106" s="10" t="n">
        <x:f>'店长明细'!$E335</x:f>
        <x:v>871</x:v>
      </x:c>
      <x:c r="F106" s="10" t="n">
        <x:f>'店长明细'!$D335</x:f>
        <x:v>630</x:v>
      </x:c>
      <x:c r="G106" s="10" t="n">
        <x:f>'店长明细'!$E567</x:f>
        <x:v>1355</x:v>
      </x:c>
      <x:c r="H106" s="10" t="n">
        <x:f>'店长明细'!$D567</x:f>
        <x:v>846</x:v>
      </x:c>
      <x:c r="I106" s="10" t="n">
        <x:f>'店长明细'!$E799</x:f>
        <x:v>1185</x:v>
      </x:c>
      <x:c r="J106" s="10" t="n">
        <x:f>'店长明细'!$D799</x:f>
        <x:v>675</x:v>
      </x:c>
      <x:c r="K106" s="10" t="n">
        <x:f>'店长明细'!$E1031</x:f>
        <x:v>1</x:v>
      </x:c>
      <x:c r="L106" s="10" t="n">
        <x:f>'店长明细'!$D1031</x:f>
        <x:v>1</x:v>
      </x:c>
      <x:c r="M106" s="10" t="n">
        <x:f>'店长明细'!$E1263</x:f>
        <x:v>52</x:v>
      </x:c>
      <x:c r="N106" s="10" t="n">
        <x:f>'店长明细'!$D1263</x:f>
        <x:v>42</x:v>
      </x:c>
      <x:c r="O106" s="10" t="n">
        <x:f>'店长明细'!$E1495</x:f>
        <x:v>1174</x:v>
      </x:c>
      <x:c r="P106" s="10" t="n">
        <x:f>'店长明细'!$D1495</x:f>
        <x:v>868</x:v>
      </x:c>
      <x:c r="Q106" s="10" t="n">
        <x:f>'店长明细'!$E1727</x:f>
        <x:v>21</x:v>
      </x:c>
      <x:c r="R106" s="10" t="n">
        <x:f>'店长明细'!$D1727</x:f>
        <x:v>16</x:v>
      </x:c>
      <x:c r="S106" s="10" t="n">
        <x:f>'店长明细'!$E1959</x:f>
        <x:v>7</x:v>
      </x:c>
      <x:c r="T106" s="10" t="n">
        <x:f>'店长明细'!$D1959</x:f>
        <x:v>7</x:v>
      </x:c>
      <x:c r="U106" s="10" t="n">
        <x:f>'店长明细'!$E2191</x:f>
        <x:v>194</x:v>
      </x:c>
      <x:c r="V106" s="10" t="n">
        <x:f>'店长明细'!$D2191</x:f>
        <x:v>164</x:v>
      </x:c>
      <x:c r="W106" s="11" t="n">
        <x:f>'店长明细'!$F103</x:f>
        <x:v>2866.14</x:v>
      </x:c>
      <x:c r="X106" s="11" t="n">
        <x:f>'店长明细'!$F335</x:f>
        <x:v>7770.33</x:v>
      </x:c>
      <x:c r="Y106" s="11" t="n">
        <x:f>'店长明细'!$F567</x:f>
        <x:v>9978.1</x:v>
      </x:c>
      <x:c r="Z106" s="11" t="n">
        <x:f>'店长明细'!$F799</x:f>
        <x:v>9369.73</x:v>
      </x:c>
      <x:c r="AA106" s="11" t="n">
        <x:f>'店长明细'!$F1031</x:f>
        <x:v>5.89</x:v>
      </x:c>
      <x:c r="AB106" s="11" t="n">
        <x:f>'店长明细'!$F1263</x:f>
        <x:v>1053.41</x:v>
      </x:c>
      <x:c r="AC106" s="11" t="n">
        <x:f>'店长明细'!$F1495</x:f>
        <x:v>11907.47</x:v>
      </x:c>
      <x:c r="AD106" s="11" t="n">
        <x:f>'店长明细'!$F1727</x:f>
        <x:v>590.35</x:v>
      </x:c>
      <x:c r="AE106" s="11" t="n">
        <x:f>'店长明细'!$F1959</x:f>
        <x:v>347.22</x:v>
      </x:c>
      <x:c r="AF106" s="11" t="n">
        <x:f>'店长明细'!$F2191</x:f>
        <x:v>2149.99</x:v>
      </x:c>
    </x:row>
    <x:row r="107">
      <x:c r="A107" t="str">
        <x:f>TEXT($B107,"mm-dd")</x:f>
        <x:v>04-13</x:v>
      </x:c>
      <x:c r="B107" s="9" t="n">
        <x:f>'店长明细'!$C104</x:f>
        <x:v>46125</x:v>
      </x:c>
      <x:c r="C107" s="10" t="n">
        <x:f>'店长明细'!$E104</x:f>
        <x:v>492</x:v>
      </x:c>
      <x:c r="D107" s="10" t="n">
        <x:f>'店长明细'!$D104</x:f>
        <x:v>433</x:v>
      </x:c>
      <x:c r="E107" s="10" t="n">
        <x:f>'店长明细'!$E336</x:f>
        <x:v>1062</x:v>
      </x:c>
      <x:c r="F107" s="10" t="n">
        <x:f>'店长明细'!$D336</x:f>
        <x:v>804</x:v>
      </x:c>
      <x:c r="G107" s="10" t="n">
        <x:f>'店长明细'!$E568</x:f>
        <x:v>1554</x:v>
      </x:c>
      <x:c r="H107" s="10" t="n">
        <x:f>'店长明细'!$D568</x:f>
        <x:v>969</x:v>
      </x:c>
      <x:c r="I107" s="10" t="n">
        <x:f>'店长明细'!$E800</x:f>
        <x:v>1700</x:v>
      </x:c>
      <x:c r="J107" s="10" t="n">
        <x:f>'店长明细'!$D800</x:f>
        <x:v>822</x:v>
      </x:c>
      <x:c r="K107" s="10" t="n">
        <x:f>'店长明细'!$E1032</x:f>
        <x:v>1</x:v>
      </x:c>
      <x:c r="L107" s="10" t="n">
        <x:f>'店长明细'!$D1032</x:f>
        <x:v>1</x:v>
      </x:c>
      <x:c r="M107" s="10" t="n">
        <x:f>'店长明细'!$E1264</x:f>
        <x:v>70</x:v>
      </x:c>
      <x:c r="N107" s="10" t="n">
        <x:f>'店长明细'!$D1264</x:f>
        <x:v>55</x:v>
      </x:c>
      <x:c r="O107" s="10" t="n">
        <x:f>'店长明细'!$E1496</x:f>
        <x:v>1070</x:v>
      </x:c>
      <x:c r="P107" s="10" t="n">
        <x:f>'店长明细'!$D1496</x:f>
        <x:v>813</x:v>
      </x:c>
      <x:c r="Q107" s="10" t="n">
        <x:f>'店长明细'!$E1728</x:f>
        <x:v>32</x:v>
      </x:c>
      <x:c r="R107" s="10" t="n">
        <x:f>'店长明细'!$D1728</x:f>
        <x:v>24</x:v>
      </x:c>
      <x:c r="S107" s="10" t="n">
        <x:f>'店长明细'!$E1960</x:f>
        <x:v>6</x:v>
      </x:c>
      <x:c r="T107" s="10" t="n">
        <x:f>'店长明细'!$D1960</x:f>
        <x:v>6</x:v>
      </x:c>
      <x:c r="U107" s="10" t="n">
        <x:f>'店长明细'!$E2192</x:f>
        <x:v>413</x:v>
      </x:c>
      <x:c r="V107" s="10" t="n">
        <x:f>'店长明细'!$D2192</x:f>
        <x:v>367</x:v>
      </x:c>
      <x:c r="W107" s="11" t="n">
        <x:f>'店长明细'!$F104</x:f>
        <x:v>4556.62</x:v>
      </x:c>
      <x:c r="X107" s="11" t="n">
        <x:f>'店长明细'!$F336</x:f>
        <x:v>10852.72</x:v>
      </x:c>
      <x:c r="Y107" s="11" t="n">
        <x:f>'店长明细'!$F568</x:f>
        <x:v>11335.53</x:v>
      </x:c>
      <x:c r="Z107" s="11" t="n">
        <x:f>'店长明细'!$F800</x:f>
        <x:v>11071.04</x:v>
      </x:c>
      <x:c r="AA107" s="11" t="n">
        <x:f>'店长明细'!$F1032</x:f>
        <x:v>18.52</x:v>
      </x:c>
      <x:c r="AB107" s="11" t="n">
        <x:f>'店长明细'!$F1264</x:f>
        <x:v>1418.68</x:v>
      </x:c>
      <x:c r="AC107" s="11" t="n">
        <x:f>'店长明细'!$F1496</x:f>
        <x:v>10797.35</x:v>
      </x:c>
      <x:c r="AD107" s="11" t="n">
        <x:f>'店长明细'!$F1728</x:f>
        <x:v>836.1</x:v>
      </x:c>
      <x:c r="AE107" s="11" t="n">
        <x:f>'店长明细'!$F1960</x:f>
        <x:v>266.46</x:v>
      </x:c>
      <x:c r="AF107" s="11" t="n">
        <x:f>'店长明细'!$F2192</x:f>
        <x:v>3805.64</x:v>
      </x:c>
    </x:row>
    <x:row r="108">
      <x:c r="A108" t="str">
        <x:f>TEXT($B108,"mm-dd")</x:f>
        <x:v>04-14</x:v>
      </x:c>
      <x:c r="B108" s="9" t="n">
        <x:f>'店长明细'!$C105</x:f>
        <x:v>46126</x:v>
      </x:c>
      <x:c r="C108" s="10" t="n">
        <x:f>'店长明细'!$E105</x:f>
        <x:v>300</x:v>
      </x:c>
      <x:c r="D108" s="10" t="n">
        <x:f>'店长明细'!$D105</x:f>
        <x:v>231</x:v>
      </x:c>
      <x:c r="E108" s="10" t="n">
        <x:f>'店长明细'!$E337</x:f>
        <x:v>851</x:v>
      </x:c>
      <x:c r="F108" s="10" t="n">
        <x:f>'店长明细'!$D337</x:f>
        <x:v>654</x:v>
      </x:c>
      <x:c r="G108" s="10" t="n">
        <x:f>'店长明细'!$E569</x:f>
        <x:v>1507</x:v>
      </x:c>
      <x:c r="H108" s="10" t="n">
        <x:f>'店长明细'!$D569</x:f>
        <x:v>875</x:v>
      </x:c>
      <x:c r="I108" s="10" t="n">
        <x:f>'店长明细'!$E801</x:f>
        <x:v>1362</x:v>
      </x:c>
      <x:c r="J108" s="10" t="n">
        <x:f>'店长明细'!$D801</x:f>
        <x:v>682</x:v>
      </x:c>
      <x:c r="K108" s="10" t="n">
        <x:f>'店长明细'!$E1033</x:f>
        <x:v>2</x:v>
      </x:c>
      <x:c r="L108" s="10" t="n">
        <x:f>'店长明细'!$D1033</x:f>
        <x:v>1</x:v>
      </x:c>
      <x:c r="M108" s="10" t="n">
        <x:f>'店长明细'!$E1265</x:f>
        <x:v>129</x:v>
      </x:c>
      <x:c r="N108" s="10" t="n">
        <x:f>'店长明细'!$D1265</x:f>
        <x:v>71</x:v>
      </x:c>
      <x:c r="O108" s="10" t="n">
        <x:f>'店长明细'!$E1497</x:f>
        <x:v>880</x:v>
      </x:c>
      <x:c r="P108" s="10" t="n">
        <x:f>'店长明细'!$D1497</x:f>
        <x:v>584</x:v>
      </x:c>
      <x:c r="Q108" s="10" t="n">
        <x:f>'店长明细'!$E1729</x:f>
        <x:v>42</x:v>
      </x:c>
      <x:c r="R108" s="10" t="n">
        <x:f>'店长明细'!$D1729</x:f>
        <x:v>37</x:v>
      </x:c>
      <x:c r="S108" s="10" t="n">
        <x:f>'店长明细'!$E1961</x:f>
        <x:v>24</x:v>
      </x:c>
      <x:c r="T108" s="10" t="n">
        <x:f>'店长明细'!$D1961</x:f>
        <x:v>24</x:v>
      </x:c>
      <x:c r="U108" s="10" t="n">
        <x:f>'店长明细'!$E2193</x:f>
        <x:v>514</x:v>
      </x:c>
      <x:c r="V108" s="10" t="n">
        <x:f>'店长明细'!$D2193</x:f>
        <x:v>372</x:v>
      </x:c>
      <x:c r="W108" s="11" t="n">
        <x:f>'店长明细'!$F105</x:f>
        <x:v>2297.47</x:v>
      </x:c>
      <x:c r="X108" s="11" t="n">
        <x:f>'店长明细'!$F337</x:f>
        <x:v>8973.1</x:v>
      </x:c>
      <x:c r="Y108" s="11" t="n">
        <x:f>'店长明细'!$F569</x:f>
        <x:v>11036.86</x:v>
      </x:c>
      <x:c r="Z108" s="11" t="n">
        <x:f>'店长明细'!$F801</x:f>
        <x:v>9489.48</x:v>
      </x:c>
      <x:c r="AA108" s="11" t="n">
        <x:f>'店长明细'!$F1033</x:f>
        <x:v>19.58</x:v>
      </x:c>
      <x:c r="AB108" s="11" t="n">
        <x:f>'店长明细'!$F1265</x:f>
        <x:v>1836.03</x:v>
      </x:c>
      <x:c r="AC108" s="11" t="n">
        <x:f>'店长明细'!$F1497</x:f>
        <x:v>9298.09</x:v>
      </x:c>
      <x:c r="AD108" s="11" t="n">
        <x:f>'店长明细'!$F1729</x:f>
        <x:v>1499.45</x:v>
      </x:c>
      <x:c r="AE108" s="11" t="n">
        <x:f>'店长明细'!$F1961</x:f>
        <x:v>993.84</x:v>
      </x:c>
      <x:c r="AF108" s="11" t="n">
        <x:f>'店长明细'!$F2193</x:f>
        <x:v>2744.16</x:v>
      </x:c>
    </x:row>
    <x:row r="109">
      <x:c r="A109" t="str">
        <x:f>TEXT($B109,"mm-dd")</x:f>
        <x:v>04-15</x:v>
      </x:c>
      <x:c r="B109" s="9" t="n">
        <x:f>'店长明细'!$C106</x:f>
        <x:v>46127</x:v>
      </x:c>
      <x:c r="C109" s="10" t="n">
        <x:f>'店长明细'!$E106</x:f>
        <x:v>441</x:v>
      </x:c>
      <x:c r="D109" s="10" t="n">
        <x:f>'店长明细'!$D106</x:f>
        <x:v>351</x:v>
      </x:c>
      <x:c r="E109" s="10" t="n">
        <x:f>'店长明细'!$E338</x:f>
        <x:v>1203</x:v>
      </x:c>
      <x:c r="F109" s="10" t="n">
        <x:f>'店长明细'!$D338</x:f>
        <x:v>788</x:v>
      </x:c>
      <x:c r="G109" s="10" t="n">
        <x:f>'店长明细'!$E570</x:f>
        <x:v>1610</x:v>
      </x:c>
      <x:c r="H109" s="10" t="n">
        <x:f>'店长明细'!$D570</x:f>
        <x:v>865</x:v>
      </x:c>
      <x:c r="I109" s="10" t="n">
        <x:f>'店长明细'!$E802</x:f>
        <x:v>1230</x:v>
      </x:c>
      <x:c r="J109" s="10" t="n">
        <x:f>'店长明细'!$D802</x:f>
        <x:v>712</x:v>
      </x:c>
      <x:c r="K109" s="10" t="n">
        <x:f>'店长明细'!$E1034</x:f>
        <x:v>0</x:v>
      </x:c>
      <x:c r="L109" s="10" t="n">
        <x:f>'店长明细'!$D1034</x:f>
        <x:v>0</x:v>
      </x:c>
      <x:c r="M109" s="10" t="n">
        <x:f>'店长明细'!$E1266</x:f>
        <x:v>109</x:v>
      </x:c>
      <x:c r="N109" s="10" t="n">
        <x:f>'店长明细'!$D1266</x:f>
        <x:v>78</x:v>
      </x:c>
      <x:c r="O109" s="10" t="n">
        <x:f>'店长明细'!$E1498</x:f>
        <x:v>977</x:v>
      </x:c>
      <x:c r="P109" s="10" t="n">
        <x:f>'店长明细'!$D1498</x:f>
        <x:v>626</x:v>
      </x:c>
      <x:c r="Q109" s="10" t="n">
        <x:f>'店长明细'!$E1730</x:f>
        <x:v>33</x:v>
      </x:c>
      <x:c r="R109" s="10" t="n">
        <x:f>'店长明细'!$D1730</x:f>
        <x:v>25</x:v>
      </x:c>
      <x:c r="S109" s="10" t="n">
        <x:f>'店长明细'!$E1962</x:f>
        <x:v>18</x:v>
      </x:c>
      <x:c r="T109" s="10" t="n">
        <x:f>'店长明细'!$D1962</x:f>
        <x:v>15</x:v>
      </x:c>
      <x:c r="U109" s="10" t="n">
        <x:f>'店长明细'!$E2194</x:f>
        <x:v>226</x:v>
      </x:c>
      <x:c r="V109" s="10" t="n">
        <x:f>'店长明细'!$D2194</x:f>
        <x:v>169</x:v>
      </x:c>
      <x:c r="W109" s="11" t="n">
        <x:f>'店长明细'!$F106</x:f>
        <x:v>4061.5</x:v>
      </x:c>
      <x:c r="X109" s="11" t="n">
        <x:f>'店长明细'!$F338</x:f>
        <x:v>11408.67</x:v>
      </x:c>
      <x:c r="Y109" s="11" t="n">
        <x:f>'店长明细'!$F570</x:f>
        <x:v>11589.17</x:v>
      </x:c>
      <x:c r="Z109" s="11" t="n">
        <x:f>'店长明细'!$F802</x:f>
        <x:v>9987.59</x:v>
      </x:c>
      <x:c r="AA109" s="11" t="n">
        <x:f>'店长明细'!$F1034</x:f>
        <x:v>0</x:v>
      </x:c>
      <x:c r="AB109" s="11" t="n">
        <x:f>'店长明细'!$F1266</x:f>
        <x:v>1319.8</x:v>
      </x:c>
      <x:c r="AC109" s="11" t="n">
        <x:f>'店长明细'!$F1498</x:f>
        <x:v>10059.28</x:v>
      </x:c>
      <x:c r="AD109" s="11" t="n">
        <x:f>'店长明细'!$F1730</x:f>
        <x:v>807.68</x:v>
      </x:c>
      <x:c r="AE109" s="11" t="n">
        <x:f>'店长明细'!$F1962</x:f>
        <x:v>624.63</x:v>
      </x:c>
      <x:c r="AF109" s="11" t="n">
        <x:f>'店长明细'!$F2194</x:f>
        <x:v>2198.41</x:v>
      </x:c>
    </x:row>
    <x:row r="110">
      <x:c r="A110" t="str">
        <x:f>TEXT($B110,"mm-dd")</x:f>
        <x:v>04-16</x:v>
      </x:c>
      <x:c r="B110" s="9" t="n">
        <x:f>'店长明细'!$C107</x:f>
        <x:v>46128</x:v>
      </x:c>
      <x:c r="C110" s="10" t="n">
        <x:f>'店长明细'!$E107</x:f>
        <x:v>415</x:v>
      </x:c>
      <x:c r="D110" s="10" t="n">
        <x:f>'店长明细'!$D107</x:f>
        <x:v>319</x:v>
      </x:c>
      <x:c r="E110" s="10" t="n">
        <x:f>'店长明细'!$E339</x:f>
        <x:v>1319</x:v>
      </x:c>
      <x:c r="F110" s="10" t="n">
        <x:f>'店长明细'!$D339</x:f>
        <x:v>798</x:v>
      </x:c>
      <x:c r="G110" s="10" t="n">
        <x:f>'店长明细'!$E571</x:f>
        <x:v>1516</x:v>
      </x:c>
      <x:c r="H110" s="10" t="n">
        <x:f>'店长明细'!$D571</x:f>
        <x:v>832</x:v>
      </x:c>
      <x:c r="I110" s="10" t="n">
        <x:f>'店长明细'!$E803</x:f>
        <x:v>839</x:v>
      </x:c>
      <x:c r="J110" s="10" t="n">
        <x:f>'店长明细'!$D803</x:f>
        <x:v>420</x:v>
      </x:c>
      <x:c r="K110" s="10" t="n">
        <x:f>'店长明细'!$E1035</x:f>
        <x:v>2</x:v>
      </x:c>
      <x:c r="L110" s="10" t="n">
        <x:f>'店长明细'!$D1035</x:f>
        <x:v>2</x:v>
      </x:c>
      <x:c r="M110" s="10" t="n">
        <x:f>'店长明细'!$E1267</x:f>
        <x:v>177</x:v>
      </x:c>
      <x:c r="N110" s="10" t="n">
        <x:f>'店长明细'!$D1267</x:f>
        <x:v>112</x:v>
      </x:c>
      <x:c r="O110" s="10" t="n">
        <x:f>'店长明细'!$E1499</x:f>
        <x:v>867</x:v>
      </x:c>
      <x:c r="P110" s="10" t="n">
        <x:f>'店长明细'!$D1499</x:f>
        <x:v>594</x:v>
      </x:c>
      <x:c r="Q110" s="10" t="n">
        <x:f>'店长明细'!$E1731</x:f>
        <x:v>43</x:v>
      </x:c>
      <x:c r="R110" s="10" t="n">
        <x:f>'店长明细'!$D1731</x:f>
        <x:v>31</x:v>
      </x:c>
      <x:c r="S110" s="10" t="n">
        <x:f>'店长明细'!$E1963</x:f>
        <x:v>12</x:v>
      </x:c>
      <x:c r="T110" s="10" t="n">
        <x:f>'店长明细'!$D1963</x:f>
        <x:v>11</x:v>
      </x:c>
      <x:c r="U110" s="10" t="n">
        <x:f>'店长明细'!$E2195</x:f>
        <x:v>199</x:v>
      </x:c>
      <x:c r="V110" s="10" t="n">
        <x:f>'店长明细'!$D2195</x:f>
        <x:v>166</x:v>
      </x:c>
      <x:c r="W110" s="11" t="n">
        <x:f>'店长明细'!$F107</x:f>
        <x:v>3673</x:v>
      </x:c>
      <x:c r="X110" s="11" t="n">
        <x:f>'店长明细'!$F339</x:f>
        <x:v>12134.12</x:v>
      </x:c>
      <x:c r="Y110" s="11" t="n">
        <x:f>'店长明细'!$F571</x:f>
        <x:v>10627.68</x:v>
      </x:c>
      <x:c r="Z110" s="11" t="n">
        <x:f>'店长明细'!$F803</x:f>
        <x:v>7931.27</x:v>
      </x:c>
      <x:c r="AA110" s="11" t="n">
        <x:f>'店长明细'!$F1035</x:f>
        <x:v>11.79</x:v>
      </x:c>
      <x:c r="AB110" s="11" t="n">
        <x:f>'店长明细'!$F1267</x:f>
        <x:v>2156.94</x:v>
      </x:c>
      <x:c r="AC110" s="11" t="n">
        <x:f>'店长明细'!$F1499</x:f>
        <x:v>9011.07</x:v>
      </x:c>
      <x:c r="AD110" s="11" t="n">
        <x:f>'店长明细'!$F1731</x:f>
        <x:v>1355.14</x:v>
      </x:c>
      <x:c r="AE110" s="11" t="n">
        <x:f>'店长明细'!$F1963</x:f>
        <x:v>397.57</x:v>
      </x:c>
      <x:c r="AF110" s="11" t="n">
        <x:f>'店长明细'!$F2195</x:f>
        <x:v>2171.26</x:v>
      </x:c>
    </x:row>
    <x:row r="111">
      <x:c r="A111" t="str">
        <x:f>TEXT($B111,"mm-dd")</x:f>
        <x:v>04-17</x:v>
      </x:c>
      <x:c r="B111" s="9" t="n">
        <x:f>'店长明细'!$C108</x:f>
        <x:v>46129</x:v>
      </x:c>
      <x:c r="C111" s="10" t="n">
        <x:f>'店长明细'!$E108</x:f>
        <x:v>519</x:v>
      </x:c>
      <x:c r="D111" s="10" t="n">
        <x:f>'店长明细'!$D108</x:f>
        <x:v>415</x:v>
      </x:c>
      <x:c r="E111" s="10" t="n">
        <x:f>'店长明细'!$E340</x:f>
        <x:v>1572</x:v>
      </x:c>
      <x:c r="F111" s="10" t="n">
        <x:f>'店长明细'!$D340</x:f>
        <x:v>994</x:v>
      </x:c>
      <x:c r="G111" s="10" t="n">
        <x:f>'店长明细'!$E572</x:f>
        <x:v>1618</x:v>
      </x:c>
      <x:c r="H111" s="10" t="n">
        <x:f>'店长明细'!$D572</x:f>
        <x:v>862</x:v>
      </x:c>
      <x:c r="I111" s="10" t="n">
        <x:f>'店长明细'!$E804</x:f>
        <x:v>851</x:v>
      </x:c>
      <x:c r="J111" s="10" t="n">
        <x:f>'店长明细'!$D804</x:f>
        <x:v>427</x:v>
      </x:c>
      <x:c r="K111" s="10" t="n">
        <x:f>'店长明细'!$E1036</x:f>
        <x:v>1</x:v>
      </x:c>
      <x:c r="L111" s="10" t="n">
        <x:f>'店长明细'!$D1036</x:f>
        <x:v>1</x:v>
      </x:c>
      <x:c r="M111" s="10" t="n">
        <x:f>'店长明细'!$E1268</x:f>
        <x:v>210</x:v>
      </x:c>
      <x:c r="N111" s="10" t="n">
        <x:f>'店长明细'!$D1268</x:f>
        <x:v>166</x:v>
      </x:c>
      <x:c r="O111" s="10" t="n">
        <x:f>'店长明细'!$E1500</x:f>
        <x:v>793</x:v>
      </x:c>
      <x:c r="P111" s="10" t="n">
        <x:f>'店长明细'!$D1500</x:f>
        <x:v>607</x:v>
      </x:c>
      <x:c r="Q111" s="10" t="n">
        <x:f>'店长明细'!$E1732</x:f>
        <x:v>48</x:v>
      </x:c>
      <x:c r="R111" s="10" t="n">
        <x:f>'店长明细'!$D1732</x:f>
        <x:v>38</x:v>
      </x:c>
      <x:c r="S111" s="10" t="n">
        <x:f>'店长明细'!$E1964</x:f>
        <x:v>24</x:v>
      </x:c>
      <x:c r="T111" s="10" t="n">
        <x:f>'店长明细'!$D1964</x:f>
        <x:v>19</x:v>
      </x:c>
      <x:c r="U111" s="10" t="n">
        <x:f>'店长明细'!$E2196</x:f>
        <x:v>290</x:v>
      </x:c>
      <x:c r="V111" s="10" t="n">
        <x:f>'店长明细'!$D2196</x:f>
        <x:v>235</x:v>
      </x:c>
      <x:c r="W111" s="11" t="n">
        <x:f>'店长明细'!$F108</x:f>
        <x:v>4646.55</x:v>
      </x:c>
      <x:c r="X111" s="11" t="n">
        <x:f>'店长明细'!$F340</x:f>
        <x:v>13412.24</x:v>
      </x:c>
      <x:c r="Y111" s="11" t="n">
        <x:f>'店长明细'!$F572</x:f>
        <x:v>10464.7</x:v>
      </x:c>
      <x:c r="Z111" s="11" t="n">
        <x:f>'店长明细'!$F804</x:f>
        <x:v>7489.98</x:v>
      </x:c>
      <x:c r="AA111" s="11" t="n">
        <x:f>'店长明细'!$F1036</x:f>
        <x:v>5.89</x:v>
      </x:c>
      <x:c r="AB111" s="11" t="n">
        <x:f>'店长明细'!$F1268</x:f>
        <x:v>2185.68</x:v>
      </x:c>
      <x:c r="AC111" s="11" t="n">
        <x:f>'店长明细'!$F1500</x:f>
        <x:v>8148.44</x:v>
      </x:c>
      <x:c r="AD111" s="11" t="n">
        <x:f>'店长明细'!$F1732</x:f>
        <x:v>1596.02</x:v>
      </x:c>
      <x:c r="AE111" s="11" t="n">
        <x:f>'店长明细'!$F1964</x:f>
        <x:v>1039.51</x:v>
      </x:c>
      <x:c r="AF111" s="11" t="n">
        <x:f>'店长明细'!$F2196</x:f>
        <x:v>3085.54</x:v>
      </x:c>
    </x:row>
    <x:row r="112">
      <x:c r="A112" t="str">
        <x:f>TEXT($B112,"mm-dd")</x:f>
        <x:v>04-18</x:v>
      </x:c>
      <x:c r="B112" s="9" t="n">
        <x:f>'店长明细'!$C109</x:f>
        <x:v>46130</x:v>
      </x:c>
      <x:c r="C112" s="10" t="n">
        <x:f>'店长明细'!$E109</x:f>
        <x:v>419</x:v>
      </x:c>
      <x:c r="D112" s="10" t="n">
        <x:f>'店长明细'!$D109</x:f>
        <x:v>336</x:v>
      </x:c>
      <x:c r="E112" s="10" t="n">
        <x:f>'店长明细'!$E341</x:f>
        <x:v>1298</x:v>
      </x:c>
      <x:c r="F112" s="10" t="n">
        <x:f>'店长明细'!$D341</x:f>
        <x:v>798</x:v>
      </x:c>
      <x:c r="G112" s="10" t="n">
        <x:f>'店长明细'!$E573</x:f>
        <x:v>1722</x:v>
      </x:c>
      <x:c r="H112" s="10" t="n">
        <x:f>'店长明细'!$D573</x:f>
        <x:v>858</x:v>
      </x:c>
      <x:c r="I112" s="10" t="n">
        <x:f>'店长明细'!$E805</x:f>
        <x:v>689</x:v>
      </x:c>
      <x:c r="J112" s="10" t="n">
        <x:f>'店长明细'!$D805</x:f>
        <x:v>342</x:v>
      </x:c>
      <x:c r="K112" s="10" t="n">
        <x:f>'店长明细'!$E1037</x:f>
        <x:v>0</x:v>
      </x:c>
      <x:c r="L112" s="10" t="n">
        <x:f>'店长明细'!$D1037</x:f>
        <x:v>0</x:v>
      </x:c>
      <x:c r="M112" s="10" t="n">
        <x:f>'店长明细'!$E1269</x:f>
        <x:v>214</x:v>
      </x:c>
      <x:c r="N112" s="10" t="n">
        <x:f>'店长明细'!$D1269</x:f>
        <x:v>110</x:v>
      </x:c>
      <x:c r="O112" s="10" t="n">
        <x:f>'店长明细'!$E1501</x:f>
        <x:v>860</x:v>
      </x:c>
      <x:c r="P112" s="10" t="n">
        <x:f>'店长明细'!$D1501</x:f>
        <x:v>589</x:v>
      </x:c>
      <x:c r="Q112" s="10" t="n">
        <x:f>'店长明细'!$E1733</x:f>
        <x:v>70</x:v>
      </x:c>
      <x:c r="R112" s="10" t="n">
        <x:f>'店长明细'!$D1733</x:f>
        <x:v>59</x:v>
      </x:c>
      <x:c r="S112" s="10" t="n">
        <x:f>'店长明细'!$E1965</x:f>
        <x:v>15</x:v>
      </x:c>
      <x:c r="T112" s="10" t="n">
        <x:f>'店长明细'!$D1965</x:f>
        <x:v>14</x:v>
      </x:c>
      <x:c r="U112" s="10" t="n">
        <x:f>'店长明细'!$E2197</x:f>
        <x:v>232</x:v>
      </x:c>
      <x:c r="V112" s="10" t="n">
        <x:f>'店长明细'!$D2197</x:f>
        <x:v>162</x:v>
      </x:c>
      <x:c r="W112" s="11" t="n">
        <x:f>'店长明细'!$F109</x:f>
        <x:v>3738.9</x:v>
      </x:c>
      <x:c r="X112" s="11" t="n">
        <x:f>'店长明细'!$F341</x:f>
        <x:v>10769.53</x:v>
      </x:c>
      <x:c r="Y112" s="11" t="n">
        <x:f>'店长明细'!$F573</x:f>
        <x:v>10663.6</x:v>
      </x:c>
      <x:c r="Z112" s="11" t="n">
        <x:f>'店长明细'!$F805</x:f>
        <x:v>6196.19</x:v>
      </x:c>
      <x:c r="AA112" s="11" t="n">
        <x:f>'店长明细'!$F1037</x:f>
        <x:v>0</x:v>
      </x:c>
      <x:c r="AB112" s="11" t="n">
        <x:f>'店长明细'!$F1269</x:f>
        <x:v>2540.05</x:v>
      </x:c>
      <x:c r="AC112" s="11" t="n">
        <x:f>'店长明细'!$F1501</x:f>
        <x:v>8781.3</x:v>
      </x:c>
      <x:c r="AD112" s="11" t="n">
        <x:f>'店长明细'!$F1733</x:f>
        <x:v>2026.75</x:v>
      </x:c>
      <x:c r="AE112" s="11" t="n">
        <x:f>'店长明细'!$F1965</x:f>
        <x:v>489.66</x:v>
      </x:c>
      <x:c r="AF112" s="11" t="n">
        <x:f>'店长明细'!$F2197</x:f>
        <x:v>2621.14</x:v>
      </x:c>
    </x:row>
    <x:row r="113">
      <x:c r="A113" t="str">
        <x:f>TEXT($B113,"mm-dd")</x:f>
        <x:v>04-19</x:v>
      </x:c>
      <x:c r="B113" s="9" t="n">
        <x:f>'店长明细'!$C110</x:f>
        <x:v>46131</x:v>
      </x:c>
      <x:c r="C113" s="10" t="n">
        <x:f>'店长明细'!$E110</x:f>
        <x:v>419</x:v>
      </x:c>
      <x:c r="D113" s="10" t="n">
        <x:f>'店长明细'!$D110</x:f>
        <x:v>324</x:v>
      </x:c>
      <x:c r="E113" s="10" t="n">
        <x:f>'店长明细'!$E342</x:f>
        <x:v>1470</x:v>
      </x:c>
      <x:c r="F113" s="10" t="n">
        <x:f>'店长明细'!$D342</x:f>
        <x:v>884</x:v>
      </x:c>
      <x:c r="G113" s="10" t="n">
        <x:f>'店长明细'!$E574</x:f>
        <x:v>1868</x:v>
      </x:c>
      <x:c r="H113" s="10" t="n">
        <x:f>'店长明细'!$D574</x:f>
        <x:v>988</x:v>
      </x:c>
      <x:c r="I113" s="10" t="n">
        <x:f>'店长明细'!$E806</x:f>
        <x:v>791</x:v>
      </x:c>
      <x:c r="J113" s="10" t="n">
        <x:f>'店长明细'!$D806</x:f>
        <x:v>411</x:v>
      </x:c>
      <x:c r="K113" s="10" t="n">
        <x:f>'店长明细'!$E1038</x:f>
        <x:v>2</x:v>
      </x:c>
      <x:c r="L113" s="10" t="n">
        <x:f>'店长明细'!$D1038</x:f>
        <x:v>1</x:v>
      </x:c>
      <x:c r="M113" s="10" t="n">
        <x:f>'店长明细'!$E1270</x:f>
        <x:v>120</x:v>
      </x:c>
      <x:c r="N113" s="10" t="n">
        <x:f>'店长明细'!$D1270</x:f>
        <x:v>82</x:v>
      </x:c>
      <x:c r="O113" s="10" t="n">
        <x:f>'店长明细'!$E1502</x:f>
        <x:v>772</x:v>
      </x:c>
      <x:c r="P113" s="10" t="n">
        <x:f>'店长明细'!$D1502</x:f>
        <x:v>515</x:v>
      </x:c>
      <x:c r="Q113" s="10" t="n">
        <x:f>'店长明细'!$E1734</x:f>
        <x:v>89</x:v>
      </x:c>
      <x:c r="R113" s="10" t="n">
        <x:f>'店长明细'!$D1734</x:f>
        <x:v>71</x:v>
      </x:c>
      <x:c r="S113" s="10" t="n">
        <x:f>'店长明细'!$E1966</x:f>
        <x:v>20</x:v>
      </x:c>
      <x:c r="T113" s="10" t="n">
        <x:f>'店长明细'!$D1966</x:f>
        <x:v>19</x:v>
      </x:c>
      <x:c r="U113" s="10" t="n">
        <x:f>'店长明细'!$E2198</x:f>
        <x:v>138</x:v>
      </x:c>
      <x:c r="V113" s="10" t="n">
        <x:f>'店长明细'!$D2198</x:f>
        <x:v>108</x:v>
      </x:c>
      <x:c r="W113" s="11" t="n">
        <x:f>'店长明细'!$F110</x:f>
        <x:v>3645.18</x:v>
      </x:c>
      <x:c r="X113" s="11" t="n">
        <x:f>'店长明细'!$F342</x:f>
        <x:v>11945.39</x:v>
      </x:c>
      <x:c r="Y113" s="11" t="n">
        <x:f>'店长明细'!$F574</x:f>
        <x:v>11905.84</x:v>
      </x:c>
      <x:c r="Z113" s="11" t="n">
        <x:f>'店长明细'!$F806</x:f>
        <x:v>6968.2</x:v>
      </x:c>
      <x:c r="AA113" s="11" t="n">
        <x:f>'店长明细'!$F1038</x:f>
        <x:v>11.66</x:v>
      </x:c>
      <x:c r="AB113" s="11" t="n">
        <x:f>'店长明细'!$F1270</x:f>
        <x:v>1239.67</x:v>
      </x:c>
      <x:c r="AC113" s="11" t="n">
        <x:f>'店长明细'!$F1502</x:f>
        <x:v>7022.88</x:v>
      </x:c>
      <x:c r="AD113" s="11" t="n">
        <x:f>'店长明细'!$F1734</x:f>
        <x:v>2992.36</x:v>
      </x:c>
      <x:c r="AE113" s="11" t="n">
        <x:f>'店长明细'!$F1966</x:f>
        <x:v>752.28</x:v>
      </x:c>
      <x:c r="AF113" s="11" t="n">
        <x:f>'店长明细'!$F2198</x:f>
        <x:v>1610.25</x:v>
      </x:c>
    </x:row>
    <x:row r="114">
      <x:c r="A114" t="str">
        <x:f>TEXT($B114,"mm-dd")</x:f>
        <x:v>04-20</x:v>
      </x:c>
      <x:c r="B114" s="9" t="n">
        <x:f>'店长明细'!$C111</x:f>
        <x:v>46132</x:v>
      </x:c>
      <x:c r="C114" s="10" t="n">
        <x:f>'店长明细'!$E111</x:f>
        <x:v>393</x:v>
      </x:c>
      <x:c r="D114" s="10" t="n">
        <x:f>'店长明细'!$D111</x:f>
        <x:v>316</x:v>
      </x:c>
      <x:c r="E114" s="10" t="n">
        <x:f>'店长明细'!$E343</x:f>
        <x:v>1352</x:v>
      </x:c>
      <x:c r="F114" s="10" t="n">
        <x:f>'店长明细'!$D343</x:f>
        <x:v>822</x:v>
      </x:c>
      <x:c r="G114" s="10" t="n">
        <x:f>'店长明细'!$E575</x:f>
        <x:v>1740</x:v>
      </x:c>
      <x:c r="H114" s="10" t="n">
        <x:f>'店长明细'!$D575</x:f>
        <x:v>877</x:v>
      </x:c>
      <x:c r="I114" s="10" t="n">
        <x:f>'店长明细'!$E807</x:f>
        <x:v>882</x:v>
      </x:c>
      <x:c r="J114" s="10" t="n">
        <x:f>'店长明细'!$D807</x:f>
        <x:v>447</x:v>
      </x:c>
      <x:c r="K114" s="10" t="n">
        <x:f>'店长明细'!$E1039</x:f>
        <x:v>6</x:v>
      </x:c>
      <x:c r="L114" s="10" t="n">
        <x:f>'店长明细'!$D1039</x:f>
        <x:v>4</x:v>
      </x:c>
      <x:c r="M114" s="10" t="n">
        <x:f>'店长明细'!$E1271</x:f>
        <x:v>109</x:v>
      </x:c>
      <x:c r="N114" s="10" t="n">
        <x:f>'店长明细'!$D1271</x:f>
        <x:v>94</x:v>
      </x:c>
      <x:c r="O114" s="10" t="n">
        <x:f>'店长明细'!$E1503</x:f>
        <x:v>640</x:v>
      </x:c>
      <x:c r="P114" s="10" t="n">
        <x:f>'店长明细'!$D1503</x:f>
        <x:v>442</x:v>
      </x:c>
      <x:c r="Q114" s="10" t="n">
        <x:f>'店长明细'!$E1735</x:f>
        <x:v>15</x:v>
      </x:c>
      <x:c r="R114" s="10" t="n">
        <x:f>'店长明细'!$D1735</x:f>
        <x:v>12</x:v>
      </x:c>
      <x:c r="S114" s="10" t="n">
        <x:f>'店长明细'!$E1967</x:f>
        <x:v>8</x:v>
      </x:c>
      <x:c r="T114" s="10" t="n">
        <x:f>'店长明细'!$D1967</x:f>
        <x:v>7</x:v>
      </x:c>
      <x:c r="U114" s="10" t="n">
        <x:f>'店长明细'!$E2199</x:f>
        <x:v>137</x:v>
      </x:c>
      <x:c r="V114" s="10" t="n">
        <x:f>'店长明细'!$D2199</x:f>
        <x:v>104</x:v>
      </x:c>
      <x:c r="W114" s="11" t="n">
        <x:f>'店长明细'!$F111</x:f>
        <x:v>3414.9</x:v>
      </x:c>
      <x:c r="X114" s="11" t="n">
        <x:f>'店长明细'!$F343</x:f>
        <x:v>10857.26</x:v>
      </x:c>
      <x:c r="Y114" s="11" t="n">
        <x:f>'店长明细'!$F575</x:f>
        <x:v>10690.06</x:v>
      </x:c>
      <x:c r="Z114" s="11" t="n">
        <x:f>'店长明细'!$F807</x:f>
        <x:v>7949.38</x:v>
      </x:c>
      <x:c r="AA114" s="11" t="n">
        <x:f>'店长明细'!$F1039</x:f>
        <x:v>35.17</x:v>
      </x:c>
      <x:c r="AB114" s="11" t="n">
        <x:f>'店长明细'!$F1271</x:f>
        <x:v>1259.33</x:v>
      </x:c>
      <x:c r="AC114" s="11" t="n">
        <x:f>'店长明细'!$F1503</x:f>
        <x:v>6503.92</x:v>
      </x:c>
      <x:c r="AD114" s="11" t="n">
        <x:f>'店长明细'!$F1735</x:f>
        <x:v>698.48</x:v>
      </x:c>
      <x:c r="AE114" s="11" t="n">
        <x:f>'店长明细'!$F1967</x:f>
        <x:v>321.09</x:v>
      </x:c>
      <x:c r="AF114" s="11" t="n">
        <x:f>'店长明细'!$F2199</x:f>
        <x:v>1477.71</x:v>
      </x:c>
    </x:row>
    <x:row r="115">
      <x:c r="A115" t="str">
        <x:f>TEXT($B115,"mm-dd")</x:f>
        <x:v>04-21</x:v>
      </x:c>
      <x:c r="B115" s="9" t="n">
        <x:f>'店长明细'!$C112</x:f>
        <x:v>46133</x:v>
      </x:c>
      <x:c r="C115" s="10" t="n">
        <x:f>'店长明细'!$E112</x:f>
        <x:v>318</x:v>
      </x:c>
      <x:c r="D115" s="10" t="n">
        <x:f>'店长明细'!$D112</x:f>
        <x:v>214</x:v>
      </x:c>
      <x:c r="E115" s="10" t="n">
        <x:f>'店长明细'!$E344</x:f>
        <x:v>1614</x:v>
      </x:c>
      <x:c r="F115" s="10" t="n">
        <x:f>'店长明细'!$D344</x:f>
        <x:v>931</x:v>
      </x:c>
      <x:c r="G115" s="10" t="n">
        <x:f>'店长明细'!$E576</x:f>
        <x:v>1754</x:v>
      </x:c>
      <x:c r="H115" s="10" t="n">
        <x:f>'店长明细'!$D576</x:f>
        <x:v>854</x:v>
      </x:c>
      <x:c r="I115" s="10" t="n">
        <x:f>'店长明细'!$E808</x:f>
        <x:v>973</x:v>
      </x:c>
      <x:c r="J115" s="10" t="n">
        <x:f>'店长明细'!$D808</x:f>
        <x:v>474</x:v>
      </x:c>
      <x:c r="K115" s="10" t="n">
        <x:f>'店长明细'!$E1040</x:f>
        <x:v>1</x:v>
      </x:c>
      <x:c r="L115" s="10" t="n">
        <x:f>'店长明细'!$D1040</x:f>
        <x:v>1</x:v>
      </x:c>
      <x:c r="M115" s="10" t="n">
        <x:f>'店长明细'!$E1272</x:f>
        <x:v>158</x:v>
      </x:c>
      <x:c r="N115" s="10" t="n">
        <x:f>'店长明细'!$D1272</x:f>
        <x:v>91</x:v>
      </x:c>
      <x:c r="O115" s="10" t="n">
        <x:f>'店长明细'!$E1504</x:f>
        <x:v>678</x:v>
      </x:c>
      <x:c r="P115" s="10" t="n">
        <x:f>'店长明细'!$D1504</x:f>
        <x:v>493</x:v>
      </x:c>
      <x:c r="Q115" s="10" t="n">
        <x:f>'店长明细'!$E1736</x:f>
        <x:v>185</x:v>
      </x:c>
      <x:c r="R115" s="10" t="n">
        <x:f>'店长明细'!$D1736</x:f>
        <x:v>155</x:v>
      </x:c>
      <x:c r="S115" s="10" t="n">
        <x:f>'店长明细'!$E1968</x:f>
        <x:v>28</x:v>
      </x:c>
      <x:c r="T115" s="10" t="n">
        <x:f>'店长明细'!$D1968</x:f>
        <x:v>26</x:v>
      </x:c>
      <x:c r="U115" s="10" t="n">
        <x:f>'店长明细'!$E2200</x:f>
        <x:v>132</x:v>
      </x:c>
      <x:c r="V115" s="10" t="n">
        <x:f>'店长明细'!$D2200</x:f>
        <x:v>83</x:v>
      </x:c>
      <x:c r="W115" s="11" t="n">
        <x:f>'店长明细'!$F112</x:f>
        <x:v>2594.07</x:v>
      </x:c>
      <x:c r="X115" s="11" t="n">
        <x:f>'店长明细'!$F344</x:f>
        <x:v>12963.66</x:v>
      </x:c>
      <x:c r="Y115" s="11" t="n">
        <x:f>'店长明细'!$F576</x:f>
        <x:v>10761.22</x:v>
      </x:c>
      <x:c r="Z115" s="11" t="n">
        <x:f>'店长明细'!$F808</x:f>
        <x:v>8425.54</x:v>
      </x:c>
      <x:c r="AA115" s="11" t="n">
        <x:f>'店长明细'!$F1040</x:f>
        <x:v>12.28</x:v>
      </x:c>
      <x:c r="AB115" s="11" t="n">
        <x:f>'店长明细'!$F1272</x:f>
        <x:v>1749.6</x:v>
      </x:c>
      <x:c r="AC115" s="11" t="n">
        <x:f>'店长明细'!$F1504</x:f>
        <x:v>7159.58</x:v>
      </x:c>
      <x:c r="AD115" s="11" t="n">
        <x:f>'店长明细'!$F1736</x:f>
        <x:v>6413.44</x:v>
      </x:c>
      <x:c r="AE115" s="11" t="n">
        <x:f>'店长明细'!$F1968</x:f>
        <x:v>1128.75</x:v>
      </x:c>
      <x:c r="AF115" s="11" t="n">
        <x:f>'店长明细'!$F2200</x:f>
        <x:v>1461.32</x:v>
      </x:c>
    </x:row>
    <x:row r="116">
      <x:c r="A116" t="str">
        <x:f>TEXT($B116,"mm-dd")</x:f>
        <x:v>04-22</x:v>
      </x:c>
      <x:c r="B116" s="9" t="n">
        <x:f>'店长明细'!$C113</x:f>
        <x:v>46134</x:v>
      </x:c>
      <x:c r="C116" s="10" t="n">
        <x:f>'店长明细'!$E113</x:f>
        <x:v>259</x:v>
      </x:c>
      <x:c r="D116" s="10" t="n">
        <x:f>'店长明细'!$D113</x:f>
        <x:v>183</x:v>
      </x:c>
      <x:c r="E116" s="10" t="n">
        <x:f>'店长明细'!$E345</x:f>
        <x:v>1857</x:v>
      </x:c>
      <x:c r="F116" s="10" t="n">
        <x:f>'店长明细'!$D345</x:f>
        <x:v>764</x:v>
      </x:c>
      <x:c r="G116" s="10" t="n">
        <x:f>'店长明细'!$E577</x:f>
        <x:v>1405</x:v>
      </x:c>
      <x:c r="H116" s="10" t="n">
        <x:f>'店长明细'!$D577</x:f>
        <x:v>778</x:v>
      </x:c>
      <x:c r="I116" s="10" t="n">
        <x:f>'店长明细'!$E809</x:f>
        <x:v>971</x:v>
      </x:c>
      <x:c r="J116" s="10" t="n">
        <x:f>'店长明细'!$D809</x:f>
        <x:v>479</x:v>
      </x:c>
      <x:c r="K116" s="10" t="n">
        <x:f>'店长明细'!$E1041</x:f>
        <x:v>1</x:v>
      </x:c>
      <x:c r="L116" s="10" t="n">
        <x:f>'店长明细'!$D1041</x:f>
        <x:v>1</x:v>
      </x:c>
      <x:c r="M116" s="10" t="n">
        <x:f>'店长明细'!$E1273</x:f>
        <x:v>130</x:v>
      </x:c>
      <x:c r="N116" s="10" t="n">
        <x:f>'店长明细'!$D1273</x:f>
        <x:v>79</x:v>
      </x:c>
      <x:c r="O116" s="10" t="n">
        <x:f>'店长明细'!$E1505</x:f>
        <x:v>661</x:v>
      </x:c>
      <x:c r="P116" s="10" t="n">
        <x:f>'店长明细'!$D1505</x:f>
        <x:v>508</x:v>
      </x:c>
      <x:c r="Q116" s="10" t="n">
        <x:f>'店长明细'!$E1737</x:f>
        <x:v>66</x:v>
      </x:c>
      <x:c r="R116" s="10" t="n">
        <x:f>'店长明细'!$D1737</x:f>
        <x:v>54</x:v>
      </x:c>
      <x:c r="S116" s="10" t="n">
        <x:f>'店长明细'!$E1969</x:f>
        <x:v>26</x:v>
      </x:c>
      <x:c r="T116" s="10" t="n">
        <x:f>'店长明细'!$D1969</x:f>
        <x:v>21</x:v>
      </x:c>
      <x:c r="U116" s="10" t="n">
        <x:f>'店长明细'!$E2201</x:f>
        <x:v>100</x:v>
      </x:c>
      <x:c r="V116" s="10" t="n">
        <x:f>'店长明细'!$D2201</x:f>
        <x:v>74</x:v>
      </x:c>
      <x:c r="W116" s="11" t="n">
        <x:f>'店长明细'!$F113</x:f>
        <x:v>2432.8</x:v>
      </x:c>
      <x:c r="X116" s="11" t="n">
        <x:f>'店长明细'!$F345</x:f>
        <x:v>12972.56</x:v>
      </x:c>
      <x:c r="Y116" s="11" t="n">
        <x:f>'店长明细'!$F577</x:f>
        <x:v>9662.25</x:v>
      </x:c>
      <x:c r="Z116" s="11" t="n">
        <x:f>'店长明细'!$F809</x:f>
        <x:v>8519.11</x:v>
      </x:c>
      <x:c r="AA116" s="11" t="n">
        <x:f>'店长明细'!$F1041</x:f>
        <x:v>22.46</x:v>
      </x:c>
      <x:c r="AB116" s="11" t="n">
        <x:f>'店长明细'!$F1273</x:f>
        <x:v>1332.99</x:v>
      </x:c>
      <x:c r="AC116" s="11" t="n">
        <x:f>'店长明细'!$F1505</x:f>
        <x:v>7005.45</x:v>
      </x:c>
      <x:c r="AD116" s="11" t="n">
        <x:f>'店长明细'!$F1737</x:f>
        <x:v>1853.55</x:v>
      </x:c>
      <x:c r="AE116" s="11" t="n">
        <x:f>'店长明细'!$F1969</x:f>
        <x:v>912.64</x:v>
      </x:c>
      <x:c r="AF116" s="11" t="n">
        <x:f>'店长明细'!$F2201</x:f>
        <x:v>1330.5</x:v>
      </x:c>
    </x:row>
    <x:row r="117">
      <x:c r="A117" t="str">
        <x:f>TEXT($B117,"mm-dd")</x:f>
        <x:v>04-23</x:v>
      </x:c>
      <x:c r="B117" s="9" t="n">
        <x:f>'店长明细'!$C114</x:f>
        <x:v>46135</x:v>
      </x:c>
      <x:c r="C117" s="10" t="n">
        <x:f>'店长明细'!$E114</x:f>
        <x:v>373</x:v>
      </x:c>
      <x:c r="D117" s="10" t="n">
        <x:f>'店长明细'!$D114</x:f>
        <x:v>238</x:v>
      </x:c>
      <x:c r="E117" s="10" t="n">
        <x:f>'店长明细'!$E346</x:f>
        <x:v>2020</x:v>
      </x:c>
      <x:c r="F117" s="10" t="n">
        <x:f>'店长明细'!$D346</x:f>
        <x:v>1167</x:v>
      </x:c>
      <x:c r="G117" s="10" t="n">
        <x:f>'店长明细'!$E578</x:f>
        <x:v>2287</x:v>
      </x:c>
      <x:c r="H117" s="10" t="n">
        <x:f>'店长明细'!$D578</x:f>
        <x:v>1178</x:v>
      </x:c>
      <x:c r="I117" s="10" t="n">
        <x:f>'店长明细'!$E810</x:f>
        <x:v>877</x:v>
      </x:c>
      <x:c r="J117" s="10" t="n">
        <x:f>'店长明细'!$D810</x:f>
        <x:v>428</x:v>
      </x:c>
      <x:c r="K117" s="10" t="n">
        <x:f>'店长明细'!$E1042</x:f>
        <x:v>1</x:v>
      </x:c>
      <x:c r="L117" s="10" t="n">
        <x:f>'店长明细'!$D1042</x:f>
        <x:v>1</x:v>
      </x:c>
      <x:c r="M117" s="10" t="n">
        <x:f>'店长明细'!$E1274</x:f>
        <x:v>89</x:v>
      </x:c>
      <x:c r="N117" s="10" t="n">
        <x:f>'店长明细'!$D1274</x:f>
        <x:v>62</x:v>
      </x:c>
      <x:c r="O117" s="10" t="n">
        <x:f>'店长明细'!$E1506</x:f>
        <x:v>602</x:v>
      </x:c>
      <x:c r="P117" s="10" t="n">
        <x:f>'店长明细'!$D1506</x:f>
        <x:v>414</x:v>
      </x:c>
      <x:c r="Q117" s="10" t="n">
        <x:f>'店长明细'!$E1738</x:f>
        <x:v>53</x:v>
      </x:c>
      <x:c r="R117" s="10" t="n">
        <x:f>'店长明细'!$D1738</x:f>
        <x:v>47</x:v>
      </x:c>
      <x:c r="S117" s="10" t="n">
        <x:f>'店长明细'!$E1970</x:f>
        <x:v>42</x:v>
      </x:c>
      <x:c r="T117" s="10" t="n">
        <x:f>'店长明细'!$D1970</x:f>
        <x:v>33</x:v>
      </x:c>
      <x:c r="U117" s="10" t="n">
        <x:f>'店长明细'!$E2202</x:f>
        <x:v>160</x:v>
      </x:c>
      <x:c r="V117" s="10" t="n">
        <x:f>'店长明细'!$D2202</x:f>
        <x:v>109</x:v>
      </x:c>
      <x:c r="W117" s="11" t="n">
        <x:f>'店长明细'!$F114</x:f>
        <x:v>2762.45</x:v>
      </x:c>
      <x:c r="X117" s="11" t="n">
        <x:f>'店长明细'!$F346</x:f>
        <x:v>15924.16</x:v>
      </x:c>
      <x:c r="Y117" s="11" t="n">
        <x:f>'店长明细'!$F578</x:f>
        <x:v>14819.9</x:v>
      </x:c>
      <x:c r="Z117" s="11" t="n">
        <x:f>'店长明细'!$F810</x:f>
        <x:v>7246.55</x:v>
      </x:c>
      <x:c r="AA117" s="11" t="n">
        <x:f>'店长明细'!$F1042</x:f>
        <x:v>5.89</x:v>
      </x:c>
      <x:c r="AB117" s="11" t="n">
        <x:f>'店长明细'!$F1274</x:f>
        <x:v>1241.19</x:v>
      </x:c>
      <x:c r="AC117" s="11" t="n">
        <x:f>'店长明细'!$F1506</x:f>
        <x:v>6541.24</x:v>
      </x:c>
      <x:c r="AD117" s="11" t="n">
        <x:f>'店长明细'!$F1738</x:f>
        <x:v>1802.71</x:v>
      </x:c>
      <x:c r="AE117" s="11" t="n">
        <x:f>'店长明细'!$F1970</x:f>
        <x:v>1567.5</x:v>
      </x:c>
      <x:c r="AF117" s="11" t="n">
        <x:f>'店长明细'!$F2202</x:f>
        <x:v>1173.11</x:v>
      </x:c>
    </x:row>
    <x:row r="118">
      <x:c r="A118" t="str">
        <x:f>TEXT($B118,"mm-dd")</x:f>
        <x:v>04-24</x:v>
      </x:c>
      <x:c r="B118" s="9" t="n">
        <x:f>'店长明细'!$C115</x:f>
        <x:v>46136</x:v>
      </x:c>
      <x:c r="C118" s="10" t="n">
        <x:f>'店长明细'!$E115</x:f>
        <x:v>457</x:v>
      </x:c>
      <x:c r="D118" s="10" t="n">
        <x:f>'店长明细'!$D115</x:f>
        <x:v>239</x:v>
      </x:c>
      <x:c r="E118" s="10" t="n">
        <x:f>'店长明细'!$E347</x:f>
        <x:v>1220</x:v>
      </x:c>
      <x:c r="F118" s="10" t="n">
        <x:f>'店长明细'!$D347</x:f>
        <x:v>755</x:v>
      </x:c>
      <x:c r="G118" s="10" t="n">
        <x:f>'店长明细'!$E579</x:f>
        <x:v>1404</x:v>
      </x:c>
      <x:c r="H118" s="10" t="n">
        <x:f>'店长明细'!$D579</x:f>
        <x:v>809</x:v>
      </x:c>
      <x:c r="I118" s="10" t="n">
        <x:f>'店长明细'!$E811</x:f>
        <x:v>850</x:v>
      </x:c>
      <x:c r="J118" s="10" t="n">
        <x:f>'店长明细'!$D811</x:f>
        <x:v>416</x:v>
      </x:c>
      <x:c r="K118" s="10" t="n">
        <x:f>'店长明细'!$E1043</x:f>
        <x:v>4</x:v>
      </x:c>
      <x:c r="L118" s="10" t="n">
        <x:f>'店长明细'!$D1043</x:f>
        <x:v>3</x:v>
      </x:c>
      <x:c r="M118" s="10" t="n">
        <x:f>'店长明细'!$E1275</x:f>
        <x:v>161</x:v>
      </x:c>
      <x:c r="N118" s="10" t="n">
        <x:f>'店长明细'!$D1275</x:f>
        <x:v>89</x:v>
      </x:c>
      <x:c r="O118" s="10" t="n">
        <x:f>'店长明细'!$E1507</x:f>
        <x:v>564</x:v>
      </x:c>
      <x:c r="P118" s="10" t="n">
        <x:f>'店长明细'!$D1507</x:f>
        <x:v>386</x:v>
      </x:c>
      <x:c r="Q118" s="10" t="n">
        <x:f>'店长明细'!$E1739</x:f>
        <x:v>41</x:v>
      </x:c>
      <x:c r="R118" s="10" t="n">
        <x:f>'店长明细'!$D1739</x:f>
        <x:v>36</x:v>
      </x:c>
      <x:c r="S118" s="10" t="n">
        <x:f>'店长明细'!$E1971</x:f>
        <x:v>19</x:v>
      </x:c>
      <x:c r="T118" s="10" t="n">
        <x:f>'店长明细'!$D1971</x:f>
        <x:v>17</x:v>
      </x:c>
      <x:c r="U118" s="10" t="n">
        <x:f>'店长明细'!$E2203</x:f>
        <x:v>121</x:v>
      </x:c>
      <x:c r="V118" s="10" t="n">
        <x:f>'店长明细'!$D2203</x:f>
        <x:v>82</x:v>
      </x:c>
      <x:c r="W118" s="11" t="n">
        <x:f>'店长明细'!$F115</x:f>
        <x:v>2937.53</x:v>
      </x:c>
      <x:c r="X118" s="11" t="n">
        <x:f>'店长明细'!$F347</x:f>
        <x:v>10553.21</x:v>
      </x:c>
      <x:c r="Y118" s="11" t="n">
        <x:f>'店长明细'!$F579</x:f>
        <x:v>9877.09</x:v>
      </x:c>
      <x:c r="Z118" s="11" t="n">
        <x:f>'店长明细'!$F811</x:f>
        <x:v>7983.33</x:v>
      </x:c>
      <x:c r="AA118" s="11" t="n">
        <x:f>'店长明细'!$F1043</x:f>
        <x:v>34.56</x:v>
      </x:c>
      <x:c r="AB118" s="11" t="n">
        <x:f>'店长明细'!$F1275</x:f>
        <x:v>1550.2</x:v>
      </x:c>
      <x:c r="AC118" s="11" t="n">
        <x:f>'店长明细'!$F1507</x:f>
        <x:v>6584.88</x:v>
      </x:c>
      <x:c r="AD118" s="11" t="n">
        <x:f>'店长明细'!$F1739</x:f>
        <x:v>1481.96</x:v>
      </x:c>
      <x:c r="AE118" s="11" t="n">
        <x:f>'店长明细'!$F1971</x:f>
        <x:v>701.43</x:v>
      </x:c>
      <x:c r="AF118" s="11" t="n">
        <x:f>'店长明细'!$F2203</x:f>
        <x:v>913.77</x:v>
      </x:c>
    </x:row>
    <x:row r="119">
      <x:c r="A119" t="str">
        <x:f>TEXT($B119,"mm-dd")</x:f>
        <x:v>04-25</x:v>
      </x:c>
      <x:c r="B119" s="9" t="n">
        <x:f>'店长明细'!$C116</x:f>
        <x:v>46137</x:v>
      </x:c>
      <x:c r="C119" s="10" t="n">
        <x:f>'店长明细'!$E116</x:f>
        <x:v>403</x:v>
      </x:c>
      <x:c r="D119" s="10" t="n">
        <x:f>'店长明细'!$D116</x:f>
        <x:v>223</x:v>
      </x:c>
      <x:c r="E119" s="10" t="n">
        <x:f>'店长明细'!$E348</x:f>
        <x:v>1572</x:v>
      </x:c>
      <x:c r="F119" s="10" t="n">
        <x:f>'店长明细'!$D348</x:f>
        <x:v>881</x:v>
      </x:c>
      <x:c r="G119" s="10" t="n">
        <x:f>'店长明细'!$E580</x:f>
        <x:v>1732</x:v>
      </x:c>
      <x:c r="H119" s="10" t="n">
        <x:f>'店长明细'!$D580</x:f>
        <x:v>1021</x:v>
      </x:c>
      <x:c r="I119" s="10" t="n">
        <x:f>'店长明细'!$E812</x:f>
        <x:v>863</x:v>
      </x:c>
      <x:c r="J119" s="10" t="n">
        <x:f>'店长明细'!$D812</x:f>
        <x:v>419</x:v>
      </x:c>
      <x:c r="K119" s="10" t="n">
        <x:f>'店长明细'!$E1044</x:f>
        <x:v>4</x:v>
      </x:c>
      <x:c r="L119" s="10" t="n">
        <x:f>'店长明细'!$D1044</x:f>
        <x:v>2</x:v>
      </x:c>
      <x:c r="M119" s="10" t="n">
        <x:f>'店长明细'!$E1276</x:f>
        <x:v>176</x:v>
      </x:c>
      <x:c r="N119" s="10" t="n">
        <x:f>'店长明细'!$D1276</x:f>
        <x:v>82</x:v>
      </x:c>
      <x:c r="O119" s="10" t="n">
        <x:f>'店长明细'!$E1508</x:f>
        <x:v>444</x:v>
      </x:c>
      <x:c r="P119" s="10" t="n">
        <x:f>'店长明细'!$D1508</x:f>
        <x:v>333</x:v>
      </x:c>
      <x:c r="Q119" s="10" t="n">
        <x:f>'店长明细'!$E1740</x:f>
        <x:v>40</x:v>
      </x:c>
      <x:c r="R119" s="10" t="n">
        <x:f>'店长明细'!$D1740</x:f>
        <x:v>32</x:v>
      </x:c>
      <x:c r="S119" s="10" t="n">
        <x:f>'店长明细'!$E1972</x:f>
        <x:v>26</x:v>
      </x:c>
      <x:c r="T119" s="10" t="n">
        <x:f>'店长明细'!$D1972</x:f>
        <x:v>21</x:v>
      </x:c>
      <x:c r="U119" s="10" t="n">
        <x:f>'店长明细'!$E2204</x:f>
        <x:v>93</x:v>
      </x:c>
      <x:c r="V119" s="10" t="n">
        <x:f>'店长明细'!$D2204</x:f>
        <x:v>67</x:v>
      </x:c>
      <x:c r="W119" s="11" t="n">
        <x:f>'店长明细'!$F116</x:f>
        <x:v>2600.28</x:v>
      </x:c>
      <x:c r="X119" s="11" t="n">
        <x:f>'店长明细'!$F348</x:f>
        <x:v>13600.82</x:v>
      </x:c>
      <x:c r="Y119" s="11" t="n">
        <x:f>'店长明细'!$F580</x:f>
        <x:v>12285.4</x:v>
      </x:c>
      <x:c r="Z119" s="11" t="n">
        <x:f>'店长明细'!$F812</x:f>
        <x:v>7443.8</x:v>
      </x:c>
      <x:c r="AA119" s="11" t="n">
        <x:f>'店长明细'!$F1044</x:f>
        <x:v>17.56</x:v>
      </x:c>
      <x:c r="AB119" s="11" t="n">
        <x:f>'店长明细'!$F1276</x:f>
        <x:v>1719.84</x:v>
      </x:c>
      <x:c r="AC119" s="11" t="n">
        <x:f>'店长明细'!$F1508</x:f>
        <x:v>4809.27</x:v>
      </x:c>
      <x:c r="AD119" s="11" t="n">
        <x:f>'店长明细'!$F1740</x:f>
        <x:v>1377.34</x:v>
      </x:c>
      <x:c r="AE119" s="11" t="n">
        <x:f>'店长明细'!$F1972</x:f>
        <x:v>1087.27</x:v>
      </x:c>
      <x:c r="AF119" s="11" t="n">
        <x:f>'店长明细'!$F2204</x:f>
        <x:v>1131.57</x:v>
      </x:c>
    </x:row>
    <x:row r="120">
      <x:c r="A120" t="str">
        <x:f>TEXT($B120,"mm-dd")</x:f>
        <x:v>04-26</x:v>
      </x:c>
      <x:c r="B120" s="9" t="n">
        <x:f>'店长明细'!$C117</x:f>
        <x:v>46138</x:v>
      </x:c>
      <x:c r="C120" s="10" t="n">
        <x:f>'店长明细'!$E117</x:f>
        <x:v>359</x:v>
      </x:c>
      <x:c r="D120" s="10" t="n">
        <x:f>'店长明细'!$D117</x:f>
        <x:v>196</x:v>
      </x:c>
      <x:c r="E120" s="10" t="n">
        <x:f>'店长明细'!$E349</x:f>
        <x:v>1046</x:v>
      </x:c>
      <x:c r="F120" s="10" t="n">
        <x:f>'店长明细'!$D349</x:f>
        <x:v>642</x:v>
      </x:c>
      <x:c r="G120" s="10" t="n">
        <x:f>'店长明细'!$E581</x:f>
        <x:v>1375</x:v>
      </x:c>
      <x:c r="H120" s="10" t="n">
        <x:f>'店长明细'!$D581</x:f>
        <x:v>829</x:v>
      </x:c>
      <x:c r="I120" s="10" t="n">
        <x:f>'店长明细'!$E813</x:f>
        <x:v>506</x:v>
      </x:c>
      <x:c r="J120" s="10" t="n">
        <x:f>'店长明细'!$D813</x:f>
        <x:v>276</x:v>
      </x:c>
      <x:c r="K120" s="10" t="n">
        <x:f>'店长明细'!$E1045</x:f>
        <x:v>2</x:v>
      </x:c>
      <x:c r="L120" s="10" t="n">
        <x:f>'店长明细'!$D1045</x:f>
        <x:v>1</x:v>
      </x:c>
      <x:c r="M120" s="10" t="n">
        <x:f>'店长明细'!$E1277</x:f>
        <x:v>69</x:v>
      </x:c>
      <x:c r="N120" s="10" t="n">
        <x:f>'店长明细'!$D1277</x:f>
        <x:v>42</x:v>
      </x:c>
      <x:c r="O120" s="10" t="n">
        <x:f>'店长明细'!$E1509</x:f>
        <x:v>458</x:v>
      </x:c>
      <x:c r="P120" s="10" t="n">
        <x:f>'店长明细'!$D1509</x:f>
        <x:v>338</x:v>
      </x:c>
      <x:c r="Q120" s="10" t="n">
        <x:f>'店长明细'!$E1741</x:f>
        <x:v>23</x:v>
      </x:c>
      <x:c r="R120" s="10" t="n">
        <x:f>'店长明细'!$D1741</x:f>
        <x:v>20</x:v>
      </x:c>
      <x:c r="S120" s="10" t="n">
        <x:f>'店长明细'!$E1973</x:f>
        <x:v>14</x:v>
      </x:c>
      <x:c r="T120" s="10" t="n">
        <x:f>'店长明细'!$D1973</x:f>
        <x:v>12</x:v>
      </x:c>
      <x:c r="U120" s="10" t="n">
        <x:f>'店长明细'!$E2205</x:f>
        <x:v>83</x:v>
      </x:c>
      <x:c r="V120" s="10" t="n">
        <x:f>'店长明细'!$D2205</x:f>
        <x:v>60</x:v>
      </x:c>
      <x:c r="W120" s="11" t="n">
        <x:f>'店长明细'!$F117</x:f>
        <x:v>2350.85</x:v>
      </x:c>
      <x:c r="X120" s="11" t="n">
        <x:f>'店长明细'!$F349</x:f>
        <x:v>9072.41</x:v>
      </x:c>
      <x:c r="Y120" s="11" t="n">
        <x:f>'店长明细'!$F581</x:f>
        <x:v>10114.63</x:v>
      </x:c>
      <x:c r="Z120" s="11" t="n">
        <x:f>'店长明细'!$F813</x:f>
        <x:v>4776.64</x:v>
      </x:c>
      <x:c r="AA120" s="11" t="n">
        <x:f>'店长明细'!$F1045</x:f>
        <x:v>12.28</x:v>
      </x:c>
      <x:c r="AB120" s="11" t="n">
        <x:f>'店长明细'!$F1277</x:f>
        <x:v>772.34</x:v>
      </x:c>
      <x:c r="AC120" s="11" t="n">
        <x:f>'店长明细'!$F1509</x:f>
        <x:v>5062.51</x:v>
      </x:c>
      <x:c r="AD120" s="11" t="n">
        <x:f>'店长明细'!$F1741</x:f>
        <x:v>858.94</x:v>
      </x:c>
      <x:c r="AE120" s="11" t="n">
        <x:f>'店长明细'!$F1973</x:f>
        <x:v>697.99</x:v>
      </x:c>
      <x:c r="AF120" s="11" t="n">
        <x:f>'店长明细'!$F2205</x:f>
        <x:v>1223.71</x:v>
      </x:c>
    </x:row>
    <x:row r="121">
      <x:c r="A121" t="str">
        <x:f>TEXT($B121,"mm-dd")</x:f>
        <x:v>04-27</x:v>
      </x:c>
      <x:c r="B121" s="9" t="n">
        <x:f>'店长明细'!$C118</x:f>
        <x:v>46139</x:v>
      </x:c>
      <x:c r="C121" s="10" t="n">
        <x:f>'店长明细'!$E118</x:f>
        <x:v>356</x:v>
      </x:c>
      <x:c r="D121" s="10" t="n">
        <x:f>'店长明细'!$D118</x:f>
        <x:v>180</x:v>
      </x:c>
      <x:c r="E121" s="10" t="n">
        <x:f>'店长明细'!$E350</x:f>
        <x:v>1229</x:v>
      </x:c>
      <x:c r="F121" s="10" t="n">
        <x:f>'店长明细'!$D350</x:f>
        <x:v>860</x:v>
      </x:c>
      <x:c r="G121" s="10" t="n">
        <x:f>'店长明细'!$E582</x:f>
        <x:v>1033</x:v>
      </x:c>
      <x:c r="H121" s="10" t="n">
        <x:f>'店长明细'!$D582</x:f>
        <x:v>623</x:v>
      </x:c>
      <x:c r="I121" s="10" t="n">
        <x:f>'店长明细'!$E814</x:f>
        <x:v>805</x:v>
      </x:c>
      <x:c r="J121" s="10" t="n">
        <x:f>'店长明细'!$D814</x:f>
        <x:v>456</x:v>
      </x:c>
      <x:c r="K121" s="10" t="n">
        <x:f>'店长明细'!$E1046</x:f>
        <x:v>0</x:v>
      </x:c>
      <x:c r="L121" s="10" t="n">
        <x:f>'店长明细'!$D1046</x:f>
        <x:v>0</x:v>
      </x:c>
      <x:c r="M121" s="10" t="n">
        <x:f>'店长明细'!$E1278</x:f>
        <x:v>183</x:v>
      </x:c>
      <x:c r="N121" s="10" t="n">
        <x:f>'店长明细'!$D1278</x:f>
        <x:v>107</x:v>
      </x:c>
      <x:c r="O121" s="10" t="n">
        <x:f>'店长明细'!$E1510</x:f>
        <x:v>620</x:v>
      </x:c>
      <x:c r="P121" s="10" t="n">
        <x:f>'店长明细'!$D1510</x:f>
        <x:v>457</x:v>
      </x:c>
      <x:c r="Q121" s="10" t="n">
        <x:f>'店长明细'!$E1742</x:f>
        <x:v>43</x:v>
      </x:c>
      <x:c r="R121" s="10" t="n">
        <x:f>'店长明细'!$D1742</x:f>
        <x:v>35</x:v>
      </x:c>
      <x:c r="S121" s="10" t="n">
        <x:f>'店长明细'!$E1974</x:f>
        <x:v>18</x:v>
      </x:c>
      <x:c r="T121" s="10" t="n">
        <x:f>'店长明细'!$D1974</x:f>
        <x:v>18</x:v>
      </x:c>
      <x:c r="U121" s="10" t="n">
        <x:f>'店长明细'!$E2206</x:f>
        <x:v>156</x:v>
      </x:c>
      <x:c r="V121" s="10" t="n">
        <x:f>'店长明细'!$D2206</x:f>
        <x:v>99</x:v>
      </x:c>
      <x:c r="W121" s="11" t="n">
        <x:f>'店长明细'!$F118</x:f>
        <x:v>2190.65</x:v>
      </x:c>
      <x:c r="X121" s="11" t="n">
        <x:f>'店长明细'!$F350</x:f>
        <x:v>11453.07</x:v>
      </x:c>
      <x:c r="Y121" s="11" t="n">
        <x:f>'店长明细'!$F582</x:f>
        <x:v>7739.57</x:v>
      </x:c>
      <x:c r="Z121" s="11" t="n">
        <x:f>'店长明细'!$F814</x:f>
        <x:v>8426.43</x:v>
      </x:c>
      <x:c r="AA121" s="11" t="n">
        <x:f>'店长明细'!$F1046</x:f>
        <x:v>0</x:v>
      </x:c>
      <x:c r="AB121" s="11" t="n">
        <x:f>'店长明细'!$F1278</x:f>
        <x:v>1746.52</x:v>
      </x:c>
      <x:c r="AC121" s="11" t="n">
        <x:f>'店长明细'!$F1510</x:f>
        <x:v>6697.64</x:v>
      </x:c>
      <x:c r="AD121" s="11" t="n">
        <x:f>'店长明细'!$F1742</x:f>
        <x:v>1597.15</x:v>
      </x:c>
      <x:c r="AE121" s="11" t="n">
        <x:f>'店长明细'!$F1974</x:f>
        <x:v>869.09</x:v>
      </x:c>
      <x:c r="AF121" s="11" t="n">
        <x:f>'店长明细'!$F2206</x:f>
        <x:v>1667.86</x:v>
      </x:c>
    </x:row>
    <x:row r="122">
      <x:c r="A122" t="str">
        <x:f>TEXT($B122,"mm-dd")</x:f>
        <x:v>04-28</x:v>
      </x:c>
      <x:c r="B122" s="9" t="n">
        <x:f>'店长明细'!$C119</x:f>
        <x:v>46140</x:v>
      </x:c>
      <x:c r="C122" s="10" t="n">
        <x:f>'店长明细'!$E119</x:f>
        <x:v>326</x:v>
      </x:c>
      <x:c r="D122" s="10" t="n">
        <x:f>'店长明细'!$D119</x:f>
        <x:v>182</x:v>
      </x:c>
      <x:c r="E122" s="10" t="n">
        <x:f>'店长明细'!$E351</x:f>
        <x:v>2118</x:v>
      </x:c>
      <x:c r="F122" s="10" t="n">
        <x:f>'店长明细'!$D351</x:f>
        <x:v>905</x:v>
      </x:c>
      <x:c r="G122" s="10" t="n">
        <x:f>'店长明细'!$E583</x:f>
        <x:v>1205</x:v>
      </x:c>
      <x:c r="H122" s="10" t="n">
        <x:f>'店长明细'!$D583</x:f>
        <x:v>719</x:v>
      </x:c>
      <x:c r="I122" s="10" t="n">
        <x:f>'店长明细'!$E815</x:f>
        <x:v>836</x:v>
      </x:c>
      <x:c r="J122" s="10" t="n">
        <x:f>'店长明细'!$D815</x:f>
        <x:v>475</x:v>
      </x:c>
      <x:c r="K122" s="10" t="n">
        <x:f>'店长明细'!$E1047</x:f>
        <x:v>0</x:v>
      </x:c>
      <x:c r="L122" s="10" t="n">
        <x:f>'店长明细'!$D1047</x:f>
        <x:v>0</x:v>
      </x:c>
      <x:c r="M122" s="10" t="n">
        <x:f>'店长明细'!$E1279</x:f>
        <x:v>144</x:v>
      </x:c>
      <x:c r="N122" s="10" t="n">
        <x:f>'店长明细'!$D1279</x:f>
        <x:v>95</x:v>
      </x:c>
      <x:c r="O122" s="10" t="n">
        <x:f>'店长明细'!$E1511</x:f>
        <x:v>438</x:v>
      </x:c>
      <x:c r="P122" s="10" t="n">
        <x:f>'店长明细'!$D1511</x:f>
        <x:v>345</x:v>
      </x:c>
      <x:c r="Q122" s="10" t="n">
        <x:f>'店长明细'!$E1743</x:f>
        <x:v>57</x:v>
      </x:c>
      <x:c r="R122" s="10" t="n">
        <x:f>'店长明细'!$D1743</x:f>
        <x:v>48</x:v>
      </x:c>
      <x:c r="S122" s="10" t="n">
        <x:f>'店长明细'!$E1975</x:f>
        <x:v>28</x:v>
      </x:c>
      <x:c r="T122" s="10" t="n">
        <x:f>'店长明细'!$D1975</x:f>
        <x:v>27</x:v>
      </x:c>
      <x:c r="U122" s="10" t="n">
        <x:f>'店长明细'!$E2207</x:f>
        <x:v>132</x:v>
      </x:c>
      <x:c r="V122" s="10" t="n">
        <x:f>'店长明细'!$D2207</x:f>
        <x:v>87</x:v>
      </x:c>
      <x:c r="W122" s="11" t="n">
        <x:f>'店长明细'!$F119</x:f>
        <x:v>2097.82</x:v>
      </x:c>
      <x:c r="X122" s="11" t="n">
        <x:f>'店长明细'!$F351</x:f>
        <x:v>17413.11</x:v>
      </x:c>
      <x:c r="Y122" s="11" t="n">
        <x:f>'店长明细'!$F583</x:f>
        <x:v>9438.09</x:v>
      </x:c>
      <x:c r="Z122" s="11" t="n">
        <x:f>'店长明细'!$F815</x:f>
        <x:v>7937.84</x:v>
      </x:c>
      <x:c r="AA122" s="11" t="n">
        <x:f>'店长明细'!$F1047</x:f>
        <x:v>0</x:v>
      </x:c>
      <x:c r="AB122" s="11" t="n">
        <x:f>'店长明细'!$F1279</x:f>
        <x:v>1284.12</x:v>
      </x:c>
      <x:c r="AC122" s="11" t="n">
        <x:f>'店长明细'!$F1511</x:f>
        <x:v>5065.3</x:v>
      </x:c>
      <x:c r="AD122" s="11" t="n">
        <x:f>'店长明细'!$F1743</x:f>
        <x:v>1860.84</x:v>
      </x:c>
      <x:c r="AE122" s="11" t="n">
        <x:f>'店长明细'!$F1975</x:f>
        <x:v>815.25</x:v>
      </x:c>
      <x:c r="AF122" s="11" t="n">
        <x:f>'店长明细'!$F2207</x:f>
        <x:v>1201.01</x:v>
      </x:c>
    </x:row>
    <x:row r="123">
      <x:c r="A123" t="str">
        <x:f>TEXT($B123,"mm-dd")</x:f>
        <x:v>04-29</x:v>
      </x:c>
      <x:c r="B123" s="9" t="n">
        <x:f>'店长明细'!$C120</x:f>
        <x:v>46141</x:v>
      </x:c>
      <x:c r="C123" s="10" t="n">
        <x:f>'店长明细'!$E120</x:f>
        <x:v>397</x:v>
      </x:c>
      <x:c r="D123" s="10" t="n">
        <x:f>'店长明细'!$D120</x:f>
        <x:v>207</x:v>
      </x:c>
      <x:c r="E123" s="10" t="n">
        <x:f>'店长明细'!$E352</x:f>
        <x:v>1260</x:v>
      </x:c>
      <x:c r="F123" s="10" t="n">
        <x:f>'店长明细'!$D352</x:f>
        <x:v>789</x:v>
      </x:c>
      <x:c r="G123" s="10" t="n">
        <x:f>'店长明细'!$E584</x:f>
        <x:v>1428</x:v>
      </x:c>
      <x:c r="H123" s="10" t="n">
        <x:f>'店长明细'!$D584</x:f>
        <x:v>839</x:v>
      </x:c>
      <x:c r="I123" s="10" t="n">
        <x:f>'店长明细'!$E816</x:f>
        <x:v>844</x:v>
      </x:c>
      <x:c r="J123" s="10" t="n">
        <x:f>'店长明细'!$D816</x:f>
        <x:v>506</x:v>
      </x:c>
      <x:c r="K123" s="10" t="n">
        <x:f>'店长明细'!$E1048</x:f>
        <x:v>2</x:v>
      </x:c>
      <x:c r="L123" s="10" t="n">
        <x:f>'店长明细'!$D1048</x:f>
        <x:v>2</x:v>
      </x:c>
      <x:c r="M123" s="10" t="n">
        <x:f>'店长明细'!$E1280</x:f>
        <x:v>304</x:v>
      </x:c>
      <x:c r="N123" s="10" t="n">
        <x:f>'店长明细'!$D1280</x:f>
        <x:v>251</x:v>
      </x:c>
      <x:c r="O123" s="10" t="n">
        <x:f>'店长明细'!$E1512</x:f>
        <x:v>480</x:v>
      </x:c>
      <x:c r="P123" s="10" t="n">
        <x:f>'店长明细'!$D1512</x:f>
        <x:v>340</x:v>
      </x:c>
      <x:c r="Q123" s="10" t="n">
        <x:f>'店长明细'!$E1744</x:f>
        <x:v>51</x:v>
      </x:c>
      <x:c r="R123" s="10" t="n">
        <x:f>'店长明细'!$D1744</x:f>
        <x:v>42</x:v>
      </x:c>
      <x:c r="S123" s="10" t="n">
        <x:f>'店长明细'!$E1976</x:f>
        <x:v>30</x:v>
      </x:c>
      <x:c r="T123" s="10" t="n">
        <x:f>'店长明细'!$D1976</x:f>
        <x:v>26</x:v>
      </x:c>
      <x:c r="U123" s="10" t="n">
        <x:f>'店长明细'!$E2208</x:f>
        <x:v>180</x:v>
      </x:c>
      <x:c r="V123" s="10" t="n">
        <x:f>'店长明细'!$D2208</x:f>
        <x:v>115</x:v>
      </x:c>
      <x:c r="W123" s="11" t="n">
        <x:f>'店长明细'!$F120</x:f>
        <x:v>2595.89</x:v>
      </x:c>
      <x:c r="X123" s="11" t="n">
        <x:f>'店长明细'!$F352</x:f>
        <x:v>11270.54</x:v>
      </x:c>
      <x:c r="Y123" s="11" t="n">
        <x:f>'店长明细'!$F584</x:f>
        <x:v>10698.42</x:v>
      </x:c>
      <x:c r="Z123" s="11" t="n">
        <x:f>'店长明细'!$F816</x:f>
        <x:v>8059.54</x:v>
      </x:c>
      <x:c r="AA123" s="11" t="n">
        <x:f>'店长明细'!$F1048</x:f>
        <x:v>29.64</x:v>
      </x:c>
      <x:c r="AB123" s="11" t="n">
        <x:f>'店长明细'!$F1280</x:f>
        <x:v>3250.58</x:v>
      </x:c>
      <x:c r="AC123" s="11" t="n">
        <x:f>'店长明细'!$F1512</x:f>
        <x:v>5537.13</x:v>
      </x:c>
      <x:c r="AD123" s="11" t="n">
        <x:f>'店长明细'!$F1744</x:f>
        <x:v>1622.12</x:v>
      </x:c>
      <x:c r="AE123" s="11" t="n">
        <x:f>'店长明细'!$F1976</x:f>
        <x:v>1079.98</x:v>
      </x:c>
      <x:c r="AF123" s="11" t="n">
        <x:f>'店长明细'!$F2208</x:f>
        <x:v>1413.69</x:v>
      </x:c>
    </x:row>
    <x:row r="124">
      <x:c r="A124" t="str">
        <x:f>TEXT($B124,"mm-dd")</x:f>
        <x:v>04-30</x:v>
      </x:c>
      <x:c r="B124" s="9" t="n">
        <x:f>'店长明细'!$C121</x:f>
        <x:v>46142</x:v>
      </x:c>
      <x:c r="C124" s="10" t="n">
        <x:f>'店长明细'!$E121</x:f>
        <x:v>322</x:v>
      </x:c>
      <x:c r="D124" s="10" t="n">
        <x:f>'店长明细'!$D121</x:f>
        <x:v>182</x:v>
      </x:c>
      <x:c r="E124" s="10" t="n">
        <x:f>'店长明细'!$E353</x:f>
        <x:v>1239</x:v>
      </x:c>
      <x:c r="F124" s="10" t="n">
        <x:f>'店长明细'!$D353</x:f>
        <x:v>662</x:v>
      </x:c>
      <x:c r="G124" s="10" t="n">
        <x:f>'店长明细'!$E585</x:f>
        <x:v>1219</x:v>
      </x:c>
      <x:c r="H124" s="10" t="n">
        <x:f>'店长明细'!$D585</x:f>
        <x:v>786</x:v>
      </x:c>
      <x:c r="I124" s="10" t="n">
        <x:f>'店长明细'!$E817</x:f>
        <x:v>399</x:v>
      </x:c>
      <x:c r="J124" s="10" t="n">
        <x:f>'店长明细'!$D817</x:f>
        <x:v>227</x:v>
      </x:c>
      <x:c r="K124" s="10" t="n">
        <x:f>'店长明细'!$E1049</x:f>
        <x:v>0</x:v>
      </x:c>
      <x:c r="L124" s="10" t="n">
        <x:f>'店长明细'!$D1049</x:f>
        <x:v>0</x:v>
      </x:c>
      <x:c r="M124" s="10" t="n">
        <x:f>'店长明细'!$E1281</x:f>
        <x:v>111</x:v>
      </x:c>
      <x:c r="N124" s="10" t="n">
        <x:f>'店长明细'!$D1281</x:f>
        <x:v>73</x:v>
      </x:c>
      <x:c r="O124" s="10" t="n">
        <x:f>'店长明细'!$E1513</x:f>
        <x:v>427</x:v>
      </x:c>
      <x:c r="P124" s="10" t="n">
        <x:f>'店长明细'!$D1513</x:f>
        <x:v>301</x:v>
      </x:c>
      <x:c r="Q124" s="10" t="n">
        <x:f>'店长明细'!$E1745</x:f>
        <x:v>46</x:v>
      </x:c>
      <x:c r="R124" s="10" t="n">
        <x:f>'店长明细'!$D1745</x:f>
        <x:v>41</x:v>
      </x:c>
      <x:c r="S124" s="10" t="n">
        <x:f>'店长明细'!$E1977</x:f>
        <x:v>18</x:v>
      </x:c>
      <x:c r="T124" s="10" t="n">
        <x:f>'店长明细'!$D1977</x:f>
        <x:v>17</x:v>
      </x:c>
      <x:c r="U124" s="10" t="n">
        <x:f>'店长明细'!$E2209</x:f>
        <x:v>178</x:v>
      </x:c>
      <x:c r="V124" s="10" t="n">
        <x:f>'店长明细'!$D2209</x:f>
        <x:v>107</x:v>
      </x:c>
      <x:c r="W124" s="11" t="n">
        <x:f>'店长明细'!$F121</x:f>
        <x:v>2173.81</x:v>
      </x:c>
      <x:c r="X124" s="11" t="n">
        <x:f>'店长明细'!$F353</x:f>
        <x:v>11842.98</x:v>
      </x:c>
      <x:c r="Y124" s="11" t="n">
        <x:f>'店长明细'!$F585</x:f>
        <x:v>10479.99</x:v>
      </x:c>
      <x:c r="Z124" s="11" t="n">
        <x:f>'店长明细'!$F817</x:f>
        <x:v>4190.49</x:v>
      </x:c>
      <x:c r="AA124" s="11" t="n">
        <x:f>'店长明细'!$F1049</x:f>
        <x:v>0</x:v>
      </x:c>
      <x:c r="AB124" s="11" t="n">
        <x:f>'店长明细'!$F1281</x:f>
        <x:v>1361.54</x:v>
      </x:c>
      <x:c r="AC124" s="11" t="n">
        <x:f>'店长明细'!$F1513</x:f>
        <x:v>4795.63</x:v>
      </x:c>
      <x:c r="AD124" s="11" t="n">
        <x:f>'店长明细'!$F1745</x:f>
        <x:v>1935.37</x:v>
      </x:c>
      <x:c r="AE124" s="11" t="n">
        <x:f>'店长明细'!$F1977</x:f>
        <x:v>327.1</x:v>
      </x:c>
      <x:c r="AF124" s="11" t="n">
        <x:f>'店长明细'!$F2209</x:f>
        <x:v>1539.15</x:v>
      </x:c>
    </x:row>
    <x:row r="125">
      <x:c r="A125" t="str">
        <x:f>TEXT($B125,"mm-dd")</x:f>
        <x:v>05-01</x:v>
      </x:c>
      <x:c r="B125" s="9" t="n">
        <x:f>'店长明细'!$C122</x:f>
        <x:v>46143</x:v>
      </x:c>
      <x:c r="C125" s="10" t="n">
        <x:f>'店长明细'!$E122</x:f>
        <x:v>280</x:v>
      </x:c>
      <x:c r="D125" s="10" t="n">
        <x:f>'店长明细'!$D122</x:f>
        <x:v>155</x:v>
      </x:c>
      <x:c r="E125" s="10" t="n">
        <x:f>'店长明细'!$E354</x:f>
        <x:v>2438</x:v>
      </x:c>
      <x:c r="F125" s="10" t="n">
        <x:f>'店长明细'!$D354</x:f>
        <x:v>1112</x:v>
      </x:c>
      <x:c r="G125" s="10" t="n">
        <x:f>'店长明细'!$E586</x:f>
        <x:v>1378</x:v>
      </x:c>
      <x:c r="H125" s="10" t="n">
        <x:f>'店长明细'!$D586</x:f>
        <x:v>837</x:v>
      </x:c>
      <x:c r="I125" s="10" t="n">
        <x:f>'店长明细'!$E818</x:f>
        <x:v>1493</x:v>
      </x:c>
      <x:c r="J125" s="10" t="n">
        <x:f>'店长明细'!$D818</x:f>
        <x:v>860</x:v>
      </x:c>
      <x:c r="K125" s="10" t="n">
        <x:f>'店长明细'!$E1050</x:f>
        <x:v>3</x:v>
      </x:c>
      <x:c r="L125" s="10" t="n">
        <x:f>'店长明细'!$D1050</x:f>
        <x:v>2</x:v>
      </x:c>
      <x:c r="M125" s="10" t="n">
        <x:f>'店长明细'!$E1282</x:f>
        <x:v>208</x:v>
      </x:c>
      <x:c r="N125" s="10" t="n">
        <x:f>'店长明细'!$D1282</x:f>
        <x:v>123</x:v>
      </x:c>
      <x:c r="O125" s="10" t="n">
        <x:f>'店长明细'!$E1514</x:f>
        <x:v>540</x:v>
      </x:c>
      <x:c r="P125" s="10" t="n">
        <x:f>'店长明细'!$D1514</x:f>
        <x:v>390</x:v>
      </x:c>
      <x:c r="Q125" s="10" t="n">
        <x:f>'店长明细'!$E1746</x:f>
        <x:v>73</x:v>
      </x:c>
      <x:c r="R125" s="10" t="n">
        <x:f>'店长明细'!$D1746</x:f>
        <x:v>57</x:v>
      </x:c>
      <x:c r="S125" s="10" t="n">
        <x:f>'店长明细'!$E1978</x:f>
        <x:v>19</x:v>
      </x:c>
      <x:c r="T125" s="10" t="n">
        <x:f>'店长明细'!$D1978</x:f>
        <x:v>17</x:v>
      </x:c>
      <x:c r="U125" s="10" t="n">
        <x:f>'店长明细'!$E2210</x:f>
        <x:v>132</x:v>
      </x:c>
      <x:c r="V125" s="10" t="n">
        <x:f>'店长明细'!$D2210</x:f>
        <x:v>103</x:v>
      </x:c>
      <x:c r="W125" s="11" t="n">
        <x:f>'店长明细'!$F122</x:f>
        <x:v>2030.08</x:v>
      </x:c>
      <x:c r="X125" s="11" t="n">
        <x:f>'店长明细'!$F354</x:f>
        <x:v>20940.07</x:v>
      </x:c>
      <x:c r="Y125" s="11" t="n">
        <x:f>'店长明细'!$F586</x:f>
        <x:v>11597.98</x:v>
      </x:c>
      <x:c r="Z125" s="11" t="n">
        <x:f>'店长明细'!$F818</x:f>
        <x:v>11325.52</x:v>
      </x:c>
      <x:c r="AA125" s="11" t="n">
        <x:f>'店长明细'!$F1050</x:f>
        <x:v>39.06</x:v>
      </x:c>
      <x:c r="AB125" s="11" t="n">
        <x:f>'店长明细'!$F1282</x:f>
        <x:v>2039.14</x:v>
      </x:c>
      <x:c r="AC125" s="11" t="n">
        <x:f>'店长明细'!$F1514</x:f>
        <x:v>5920.43</x:v>
      </x:c>
      <x:c r="AD125" s="11" t="n">
        <x:f>'店长明细'!$F1746</x:f>
        <x:v>2577.26</x:v>
      </x:c>
      <x:c r="AE125" s="11" t="n">
        <x:f>'店长明细'!$F1978</x:f>
        <x:v>585.5</x:v>
      </x:c>
      <x:c r="AF125" s="11" t="n">
        <x:f>'店长明细'!$F2210</x:f>
        <x:v>1501.02</x:v>
      </x:c>
    </x:row>
    <x:row r="126">
      <x:c r="A126" t="str">
        <x:f>TEXT($B126,"mm-dd")</x:f>
        <x:v>05-02</x:v>
      </x:c>
      <x:c r="B126" s="9" t="n">
        <x:f>'店长明细'!$C123</x:f>
        <x:v>46144</x:v>
      </x:c>
      <x:c r="C126" s="10" t="n">
        <x:f>'店长明细'!$E123</x:f>
        <x:v>467</x:v>
      </x:c>
      <x:c r="D126" s="10" t="n">
        <x:f>'店长明细'!$D123</x:f>
        <x:v>275</x:v>
      </x:c>
      <x:c r="E126" s="10" t="n">
        <x:f>'店长明细'!$E355</x:f>
        <x:v>1667</x:v>
      </x:c>
      <x:c r="F126" s="10" t="n">
        <x:f>'店长明细'!$D355</x:f>
        <x:v>1000</x:v>
      </x:c>
      <x:c r="G126" s="10" t="n">
        <x:f>'店长明细'!$E587</x:f>
        <x:v>1413</x:v>
      </x:c>
      <x:c r="H126" s="10" t="n">
        <x:f>'店长明细'!$D587</x:f>
        <x:v>897</x:v>
      </x:c>
      <x:c r="I126" s="10" t="n">
        <x:f>'店长明细'!$E819</x:f>
        <x:v>1099</x:v>
      </x:c>
      <x:c r="J126" s="10" t="n">
        <x:f>'店长明细'!$D819</x:f>
        <x:v>568</x:v>
      </x:c>
      <x:c r="K126" s="10" t="n">
        <x:f>'店长明细'!$E1051</x:f>
        <x:v>7</x:v>
      </x:c>
      <x:c r="L126" s="10" t="n">
        <x:f>'店长明细'!$D1051</x:f>
        <x:v>5</x:v>
      </x:c>
      <x:c r="M126" s="10" t="n">
        <x:f>'店长明细'!$E1283</x:f>
        <x:v>291</x:v>
      </x:c>
      <x:c r="N126" s="10" t="n">
        <x:f>'店长明细'!$D1283</x:f>
        <x:v>153</x:v>
      </x:c>
      <x:c r="O126" s="10" t="n">
        <x:f>'店长明细'!$E1515</x:f>
        <x:v>552</x:v>
      </x:c>
      <x:c r="P126" s="10" t="n">
        <x:f>'店长明细'!$D1515</x:f>
        <x:v>385</x:v>
      </x:c>
      <x:c r="Q126" s="10" t="n">
        <x:f>'店长明细'!$E1747</x:f>
        <x:v>75</x:v>
      </x:c>
      <x:c r="R126" s="10" t="n">
        <x:f>'店长明细'!$D1747</x:f>
        <x:v>42</x:v>
      </x:c>
      <x:c r="S126" s="10" t="n">
        <x:f>'店长明细'!$E1979</x:f>
        <x:v>13</x:v>
      </x:c>
      <x:c r="T126" s="10" t="n">
        <x:f>'店长明细'!$D1979</x:f>
        <x:v>13</x:v>
      </x:c>
      <x:c r="U126" s="10" t="n">
        <x:f>'店长明细'!$E2211</x:f>
        <x:v>236</x:v>
      </x:c>
      <x:c r="V126" s="10" t="n">
        <x:f>'店长明细'!$D2211</x:f>
        <x:v>140</x:v>
      </x:c>
      <x:c r="W126" s="11" t="n">
        <x:f>'店长明细'!$F123</x:f>
        <x:v>3076.68</x:v>
      </x:c>
      <x:c r="X126" s="11" t="n">
        <x:f>'店长明细'!$F355</x:f>
        <x:v>14270.02</x:v>
      </x:c>
      <x:c r="Y126" s="11" t="n">
        <x:f>'店长明细'!$F587</x:f>
        <x:v>11623.89</x:v>
      </x:c>
      <x:c r="Z126" s="11" t="n">
        <x:f>'店长明细'!$F819</x:f>
        <x:v>8676.72</x:v>
      </x:c>
      <x:c r="AA126" s="11" t="n">
        <x:f>'店长明细'!$F1051</x:f>
        <x:v>61.29</x:v>
      </x:c>
      <x:c r="AB126" s="11" t="n">
        <x:f>'店长明细'!$F1283</x:f>
        <x:v>2841.81</x:v>
      </x:c>
      <x:c r="AC126" s="11" t="n">
        <x:f>'店长明细'!$F1515</x:f>
        <x:v>6427.67</x:v>
      </x:c>
      <x:c r="AD126" s="11" t="n">
        <x:f>'店长明细'!$F1747</x:f>
        <x:v>1212.87</x:v>
      </x:c>
      <x:c r="AE126" s="11" t="n">
        <x:f>'店长明细'!$F1979</x:f>
        <x:v>482.54</x:v>
      </x:c>
      <x:c r="AF126" s="11" t="n">
        <x:f>'店长明细'!$F2211</x:f>
        <x:v>1942.78</x:v>
      </x:c>
    </x:row>
    <x:row r="127">
      <x:c r="A127" t="str">
        <x:f>TEXT($B127,"mm-dd")</x:f>
        <x:v>05-03</x:v>
      </x:c>
      <x:c r="B127" s="9" t="n">
        <x:f>'店长明细'!$C124</x:f>
        <x:v>46145</x:v>
      </x:c>
      <x:c r="C127" s="10" t="n">
        <x:f>'店长明细'!$E124</x:f>
        <x:v>347</x:v>
      </x:c>
      <x:c r="D127" s="10" t="n">
        <x:f>'店长明细'!$D124</x:f>
        <x:v>181</x:v>
      </x:c>
      <x:c r="E127" s="10" t="n">
        <x:f>'店长明细'!$E356</x:f>
        <x:v>1249</x:v>
      </x:c>
      <x:c r="F127" s="10" t="n">
        <x:f>'店长明细'!$D356</x:f>
        <x:v>798</x:v>
      </x:c>
      <x:c r="G127" s="10" t="n">
        <x:f>'店长明细'!$E588</x:f>
        <x:v>1123</x:v>
      </x:c>
      <x:c r="H127" s="10" t="n">
        <x:f>'店长明细'!$D588</x:f>
        <x:v>677</x:v>
      </x:c>
      <x:c r="I127" s="10" t="n">
        <x:f>'店长明细'!$E820</x:f>
        <x:v>957</x:v>
      </x:c>
      <x:c r="J127" s="10" t="n">
        <x:f>'店长明细'!$D820</x:f>
        <x:v>515</x:v>
      </x:c>
      <x:c r="K127" s="10" t="n">
        <x:f>'店长明细'!$E1052</x:f>
        <x:v>5</x:v>
      </x:c>
      <x:c r="L127" s="10" t="n">
        <x:f>'店长明细'!$D1052</x:f>
        <x:v>2</x:v>
      </x:c>
      <x:c r="M127" s="10" t="n">
        <x:f>'店长明细'!$E1284</x:f>
        <x:v>126</x:v>
      </x:c>
      <x:c r="N127" s="10" t="n">
        <x:f>'店长明细'!$D1284</x:f>
        <x:v>101</x:v>
      </x:c>
      <x:c r="O127" s="10" t="n">
        <x:f>'店长明细'!$E1516</x:f>
        <x:v>414</x:v>
      </x:c>
      <x:c r="P127" s="10" t="n">
        <x:f>'店长明细'!$D1516</x:f>
        <x:v>300</x:v>
      </x:c>
      <x:c r="Q127" s="10" t="n">
        <x:f>'店长明细'!$E1748</x:f>
        <x:v>124</x:v>
      </x:c>
      <x:c r="R127" s="10" t="n">
        <x:f>'店长明细'!$D1748</x:f>
        <x:v>89</x:v>
      </x:c>
      <x:c r="S127" s="10" t="n">
        <x:f>'店长明细'!$E1980</x:f>
        <x:v>28</x:v>
      </x:c>
      <x:c r="T127" s="10" t="n">
        <x:f>'店长明细'!$D1980</x:f>
        <x:v>25</x:v>
      </x:c>
      <x:c r="U127" s="10" t="n">
        <x:f>'店长明细'!$E2212</x:f>
        <x:v>87</x:v>
      </x:c>
      <x:c r="V127" s="10" t="n">
        <x:f>'店长明细'!$D2212</x:f>
        <x:v>60</x:v>
      </x:c>
      <x:c r="W127" s="11" t="n">
        <x:f>'店长明细'!$F124</x:f>
        <x:v>2354.37</x:v>
      </x:c>
      <x:c r="X127" s="11" t="n">
        <x:f>'店长明细'!$F356</x:f>
        <x:v>10802.83</x:v>
      </x:c>
      <x:c r="Y127" s="11" t="n">
        <x:f>'店长明细'!$F588</x:f>
        <x:v>8724.64</x:v>
      </x:c>
      <x:c r="Z127" s="11" t="n">
        <x:f>'店长明细'!$F820</x:f>
        <x:v>7306.62</x:v>
      </x:c>
      <x:c r="AA127" s="11" t="n">
        <x:f>'店长明细'!$F1052</x:f>
        <x:v>29.36</x:v>
      </x:c>
      <x:c r="AB127" s="11" t="n">
        <x:f>'店长明细'!$F1284</x:f>
        <x:v>1420.34</x:v>
      </x:c>
      <x:c r="AC127" s="11" t="n">
        <x:f>'店长明细'!$F1516</x:f>
        <x:v>4589.91</x:v>
      </x:c>
      <x:c r="AD127" s="11" t="n">
        <x:f>'店长明细'!$F1748</x:f>
        <x:v>3590.31</x:v>
      </x:c>
      <x:c r="AE127" s="11" t="n">
        <x:f>'店长明细'!$F1980</x:f>
        <x:v>1077.37</x:v>
      </x:c>
      <x:c r="AF127" s="11" t="n">
        <x:f>'店长明细'!$F2212</x:f>
        <x:v>998.4</x:v>
      </x:c>
    </x:row>
    <x:row r="128">
      <x:c r="A128" t="str">
        <x:f>TEXT($B128,"mm-dd")</x:f>
        <x:v>05-04</x:v>
      </x:c>
      <x:c r="B128" s="9" t="n">
        <x:f>'店长明细'!$C125</x:f>
        <x:v>46146</x:v>
      </x:c>
      <x:c r="C128" s="10" t="n">
        <x:f>'店长明细'!$E125</x:f>
        <x:v>272</x:v>
      </x:c>
      <x:c r="D128" s="10" t="n">
        <x:f>'店长明细'!$D125</x:f>
        <x:v>145</x:v>
      </x:c>
      <x:c r="E128" s="10" t="n">
        <x:f>'店长明细'!$E357</x:f>
        <x:v>1180</x:v>
      </x:c>
      <x:c r="F128" s="10" t="n">
        <x:f>'店长明细'!$D357</x:f>
        <x:v>725</x:v>
      </x:c>
      <x:c r="G128" s="10" t="n">
        <x:f>'店长明细'!$E589</x:f>
        <x:v>1271</x:v>
      </x:c>
      <x:c r="H128" s="10" t="n">
        <x:f>'店长明细'!$D589</x:f>
        <x:v>704</x:v>
      </x:c>
      <x:c r="I128" s="10" t="n">
        <x:f>'店长明细'!$E821</x:f>
        <x:v>1039</x:v>
      </x:c>
      <x:c r="J128" s="10" t="n">
        <x:f>'店长明细'!$D821</x:f>
        <x:v>561</x:v>
      </x:c>
      <x:c r="K128" s="10" t="n">
        <x:f>'店长明细'!$E1053</x:f>
        <x:v>2</x:v>
      </x:c>
      <x:c r="L128" s="10" t="n">
        <x:f>'店长明细'!$D1053</x:f>
        <x:v>2</x:v>
      </x:c>
      <x:c r="M128" s="10" t="n">
        <x:f>'店长明细'!$E1285</x:f>
        <x:v>175</x:v>
      </x:c>
      <x:c r="N128" s="10" t="n">
        <x:f>'店长明细'!$D1285</x:f>
        <x:v>112</x:v>
      </x:c>
      <x:c r="O128" s="10" t="n">
        <x:f>'店长明细'!$E1517</x:f>
        <x:v>479</x:v>
      </x:c>
      <x:c r="P128" s="10" t="n">
        <x:f>'店长明细'!$D1517</x:f>
        <x:v>360</x:v>
      </x:c>
      <x:c r="Q128" s="10" t="n">
        <x:f>'店长明细'!$E1749</x:f>
        <x:v>115</x:v>
      </x:c>
      <x:c r="R128" s="10" t="n">
        <x:f>'店长明细'!$D1749</x:f>
        <x:v>80</x:v>
      </x:c>
      <x:c r="S128" s="10" t="n">
        <x:f>'店长明细'!$E1981</x:f>
        <x:v>15</x:v>
      </x:c>
      <x:c r="T128" s="10" t="n">
        <x:f>'店长明细'!$D1981</x:f>
        <x:v>13</x:v>
      </x:c>
      <x:c r="U128" s="10" t="n">
        <x:f>'店长明细'!$E2213</x:f>
        <x:v>314</x:v>
      </x:c>
      <x:c r="V128" s="10" t="n">
        <x:f>'店长明细'!$D2213</x:f>
        <x:v>177</x:v>
      </x:c>
      <x:c r="W128" s="11" t="n">
        <x:f>'店长明细'!$F125</x:f>
        <x:v>1806.38</x:v>
      </x:c>
      <x:c r="X128" s="11" t="n">
        <x:f>'店长明细'!$F357</x:f>
        <x:v>9575.89</x:v>
      </x:c>
      <x:c r="Y128" s="11" t="n">
        <x:f>'店长明细'!$F589</x:f>
        <x:v>9530.92</x:v>
      </x:c>
      <x:c r="Z128" s="11" t="n">
        <x:f>'店长明细'!$F821</x:f>
        <x:v>8443.55</x:v>
      </x:c>
      <x:c r="AA128" s="11" t="n">
        <x:f>'店长明细'!$F1053</x:f>
        <x:v>18.16</x:v>
      </x:c>
      <x:c r="AB128" s="11" t="n">
        <x:f>'店长明细'!$F1285</x:f>
        <x:v>1919.99</x:v>
      </x:c>
      <x:c r="AC128" s="11" t="n">
        <x:f>'店长明细'!$F1517</x:f>
        <x:v>5625.78</x:v>
      </x:c>
      <x:c r="AD128" s="11" t="n">
        <x:f>'店长明细'!$F1749</x:f>
        <x:v>3038.07</x:v>
      </x:c>
      <x:c r="AE128" s="11" t="n">
        <x:f>'店长明细'!$F1981</x:f>
        <x:v>379.15</x:v>
      </x:c>
      <x:c r="AF128" s="11" t="n">
        <x:f>'店长明细'!$F2213</x:f>
        <x:v>2315.59</x:v>
      </x:c>
    </x:row>
    <x:row r="129">
      <x:c r="A129" t="str">
        <x:f>TEXT($B129,"mm-dd")</x:f>
        <x:v>05-05</x:v>
      </x:c>
      <x:c r="B129" s="9" t="n">
        <x:f>'店长明细'!$C126</x:f>
        <x:v>46147</x:v>
      </x:c>
      <x:c r="C129" s="10" t="n">
        <x:f>'店长明细'!$E126</x:f>
        <x:v>261</x:v>
      </x:c>
      <x:c r="D129" s="10" t="n">
        <x:f>'店长明细'!$D126</x:f>
        <x:v>161</x:v>
      </x:c>
      <x:c r="E129" s="10" t="n">
        <x:f>'店长明细'!$E358</x:f>
        <x:v>1758</x:v>
      </x:c>
      <x:c r="F129" s="10" t="n">
        <x:f>'店长明细'!$D358</x:f>
        <x:v>986</x:v>
      </x:c>
      <x:c r="G129" s="10" t="n">
        <x:f>'店长明细'!$E590</x:f>
        <x:v>1427</x:v>
      </x:c>
      <x:c r="H129" s="10" t="n">
        <x:f>'店长明细'!$D590</x:f>
        <x:v>896</x:v>
      </x:c>
      <x:c r="I129" s="10" t="n">
        <x:f>'店长明细'!$E822</x:f>
        <x:v>970</x:v>
      </x:c>
      <x:c r="J129" s="10" t="n">
        <x:f>'店长明细'!$D822</x:f>
        <x:v>520</x:v>
      </x:c>
      <x:c r="K129" s="10" t="n">
        <x:f>'店长明细'!$E1054</x:f>
        <x:v>2</x:v>
      </x:c>
      <x:c r="L129" s="10" t="n">
        <x:f>'店长明细'!$D1054</x:f>
        <x:v>1</x:v>
      </x:c>
      <x:c r="M129" s="10" t="n">
        <x:f>'店长明细'!$E1286</x:f>
        <x:v>443</x:v>
      </x:c>
      <x:c r="N129" s="10" t="n">
        <x:f>'店长明细'!$D1286</x:f>
        <x:v>327</x:v>
      </x:c>
      <x:c r="O129" s="10" t="n">
        <x:f>'店长明细'!$E1518</x:f>
        <x:v>569</x:v>
      </x:c>
      <x:c r="P129" s="10" t="n">
        <x:f>'店长明细'!$D1518</x:f>
        <x:v>446</x:v>
      </x:c>
      <x:c r="Q129" s="10" t="n">
        <x:f>'店长明细'!$E1750</x:f>
        <x:v>302</x:v>
      </x:c>
      <x:c r="R129" s="10" t="n">
        <x:f>'店长明细'!$D1750</x:f>
        <x:v>214</x:v>
      </x:c>
      <x:c r="S129" s="10" t="n">
        <x:f>'店长明细'!$E1982</x:f>
        <x:v>45</x:v>
      </x:c>
      <x:c r="T129" s="10" t="n">
        <x:f>'店长明细'!$D1982</x:f>
        <x:v>41</x:v>
      </x:c>
      <x:c r="U129" s="10" t="n">
        <x:f>'店长明细'!$E2214</x:f>
        <x:v>102</x:v>
      </x:c>
      <x:c r="V129" s="10" t="n">
        <x:f>'店长明细'!$D2214</x:f>
        <x:v>74</x:v>
      </x:c>
      <x:c r="W129" s="11" t="n">
        <x:f>'店长明细'!$F126</x:f>
        <x:v>1891.9</x:v>
      </x:c>
      <x:c r="X129" s="11" t="n">
        <x:f>'店长明细'!$F358</x:f>
        <x:v>15791.35</x:v>
      </x:c>
      <x:c r="Y129" s="11" t="n">
        <x:f>'店长明细'!$F590</x:f>
        <x:v>11338.38</x:v>
      </x:c>
      <x:c r="Z129" s="11" t="n">
        <x:f>'店长明细'!$F822</x:f>
        <x:v>7916.86</x:v>
      </x:c>
      <x:c r="AA129" s="11" t="n">
        <x:f>'店长明细'!$F1054</x:f>
        <x:v>12.24</x:v>
      </x:c>
      <x:c r="AB129" s="11" t="n">
        <x:f>'店长明细'!$F1286</x:f>
        <x:v>4968.22</x:v>
      </x:c>
      <x:c r="AC129" s="11" t="n">
        <x:f>'店长明细'!$F1518</x:f>
        <x:v>6948.02</x:v>
      </x:c>
      <x:c r="AD129" s="11" t="n">
        <x:f>'店长明细'!$F1750</x:f>
        <x:v>9266.33</x:v>
      </x:c>
      <x:c r="AE129" s="11" t="n">
        <x:f>'店长明细'!$F1982</x:f>
        <x:v>1707.74</x:v>
      </x:c>
      <x:c r="AF129" s="11" t="n">
        <x:f>'店长明细'!$F2214</x:f>
        <x:v>1280.33</x:v>
      </x:c>
    </x:row>
    <x:row r="130">
      <x:c r="A130" t="str">
        <x:f>TEXT($B130,"mm-dd")</x:f>
        <x:v>05-06</x:v>
      </x:c>
      <x:c r="B130" s="9" t="n">
        <x:f>'店长明细'!$C127</x:f>
        <x:v>46148</x:v>
      </x:c>
      <x:c r="C130" s="10" t="n">
        <x:f>'店长明细'!$E127</x:f>
        <x:v>260</x:v>
      </x:c>
      <x:c r="D130" s="10" t="n">
        <x:f>'店长明细'!$D127</x:f>
        <x:v>201</x:v>
      </x:c>
      <x:c r="E130" s="10" t="n">
        <x:f>'店长明细'!$E359</x:f>
        <x:v>1731</x:v>
      </x:c>
      <x:c r="F130" s="10" t="n">
        <x:f>'店长明细'!$D359</x:f>
        <x:v>1072</x:v>
      </x:c>
      <x:c r="G130" s="10" t="n">
        <x:f>'店长明细'!$E591</x:f>
        <x:v>1438</x:v>
      </x:c>
      <x:c r="H130" s="10" t="n">
        <x:f>'店长明细'!$D591</x:f>
        <x:v>837</x:v>
      </x:c>
      <x:c r="I130" s="10" t="n">
        <x:f>'店长明细'!$E823</x:f>
        <x:v>1241</x:v>
      </x:c>
      <x:c r="J130" s="10" t="n">
        <x:f>'店长明细'!$D823</x:f>
        <x:v>593</x:v>
      </x:c>
      <x:c r="K130" s="10" t="n">
        <x:f>'店长明细'!$E1055</x:f>
        <x:v>2</x:v>
      </x:c>
      <x:c r="L130" s="10" t="n">
        <x:f>'店长明细'!$D1055</x:f>
        <x:v>2</x:v>
      </x:c>
      <x:c r="M130" s="10" t="n">
        <x:f>'店长明细'!$E1287</x:f>
        <x:v>239</x:v>
      </x:c>
      <x:c r="N130" s="10" t="n">
        <x:f>'店长明细'!$D1287</x:f>
        <x:v>187</x:v>
      </x:c>
      <x:c r="O130" s="10" t="n">
        <x:f>'店长明细'!$E1519</x:f>
        <x:v>681</x:v>
      </x:c>
      <x:c r="P130" s="10" t="n">
        <x:f>'店长明细'!$D1519</x:f>
        <x:v>494</x:v>
      </x:c>
      <x:c r="Q130" s="10" t="n">
        <x:f>'店长明细'!$E1751</x:f>
        <x:v>188</x:v>
      </x:c>
      <x:c r="R130" s="10" t="n">
        <x:f>'店长明细'!$D1751</x:f>
        <x:v>153</x:v>
      </x:c>
      <x:c r="S130" s="10" t="n">
        <x:f>'店长明细'!$E1983</x:f>
        <x:v>21</x:v>
      </x:c>
      <x:c r="T130" s="10" t="n">
        <x:f>'店长明细'!$D1983</x:f>
        <x:v>21</x:v>
      </x:c>
      <x:c r="U130" s="10" t="n">
        <x:f>'店长明细'!$E2215</x:f>
        <x:v>454</x:v>
      </x:c>
      <x:c r="V130" s="10" t="n">
        <x:f>'店长明细'!$D2215</x:f>
        <x:v>259</x:v>
      </x:c>
      <x:c r="W130" s="11" t="n">
        <x:f>'店长明细'!$F127</x:f>
        <x:v>2588.46</x:v>
      </x:c>
      <x:c r="X130" s="11" t="n">
        <x:f>'店长明细'!$F359</x:f>
        <x:v>14769.46</x:v>
      </x:c>
      <x:c r="Y130" s="11" t="n">
        <x:f>'店长明细'!$F591</x:f>
        <x:v>10748.83</x:v>
      </x:c>
      <x:c r="Z130" s="11" t="n">
        <x:f>'店长明细'!$F823</x:f>
        <x:v>9175.02</x:v>
      </x:c>
      <x:c r="AA130" s="11" t="n">
        <x:f>'店长明细'!$F1055</x:f>
        <x:v>36.3</x:v>
      </x:c>
      <x:c r="AB130" s="11" t="n">
        <x:f>'店长明细'!$F1287</x:f>
        <x:v>2677.81</x:v>
      </x:c>
      <x:c r="AC130" s="11" t="n">
        <x:f>'店长明细'!$F1519</x:f>
        <x:v>7429.54</x:v>
      </x:c>
      <x:c r="AD130" s="11" t="n">
        <x:f>'店长明细'!$F1751</x:f>
        <x:v>6298.32</x:v>
      </x:c>
      <x:c r="AE130" s="11" t="n">
        <x:f>'店长明细'!$F1983</x:f>
        <x:v>803.1</x:v>
      </x:c>
      <x:c r="AF130" s="11" t="n">
        <x:f>'店长明细'!$F2215</x:f>
        <x:v>3211.36</x:v>
      </x:c>
    </x:row>
    <x:row r="131">
      <x:c r="A131" t="str">
        <x:f>TEXT($B131,"mm-dd")</x:f>
        <x:v>05-07</x:v>
      </x:c>
      <x:c r="B131" s="9" t="n">
        <x:f>'店长明细'!$C128</x:f>
        <x:v>46149</x:v>
      </x:c>
      <x:c r="C131" s="10" t="n">
        <x:f>'店长明细'!$E128</x:f>
        <x:v>196</x:v>
      </x:c>
      <x:c r="D131" s="10" t="n">
        <x:f>'店长明细'!$D128</x:f>
        <x:v>139</x:v>
      </x:c>
      <x:c r="E131" s="10" t="n">
        <x:f>'店长明细'!$E360</x:f>
        <x:v>1427</x:v>
      </x:c>
      <x:c r="F131" s="10" t="n">
        <x:f>'店长明细'!$D360</x:f>
        <x:v>892</x:v>
      </x:c>
      <x:c r="G131" s="10" t="n">
        <x:f>'店长明细'!$E592</x:f>
        <x:v>1267</x:v>
      </x:c>
      <x:c r="H131" s="10" t="n">
        <x:f>'店长明细'!$D592</x:f>
        <x:v>762</x:v>
      </x:c>
      <x:c r="I131" s="10" t="n">
        <x:f>'店长明细'!$E824</x:f>
        <x:v>936</x:v>
      </x:c>
      <x:c r="J131" s="10" t="n">
        <x:f>'店长明细'!$D824</x:f>
        <x:v>520</x:v>
      </x:c>
      <x:c r="K131" s="10" t="n">
        <x:f>'店长明细'!$E1056</x:f>
        <x:v>1</x:v>
      </x:c>
      <x:c r="L131" s="10" t="n">
        <x:f>'店长明细'!$D1056</x:f>
        <x:v>1</x:v>
      </x:c>
      <x:c r="M131" s="10" t="n">
        <x:f>'店长明细'!$E1288</x:f>
        <x:v>241</x:v>
      </x:c>
      <x:c r="N131" s="10" t="n">
        <x:f>'店长明细'!$D1288</x:f>
        <x:v>162</x:v>
      </x:c>
      <x:c r="O131" s="10" t="n">
        <x:f>'店长明细'!$E1520</x:f>
        <x:v>525</x:v>
      </x:c>
      <x:c r="P131" s="10" t="n">
        <x:f>'店长明细'!$D1520</x:f>
        <x:v>398</x:v>
      </x:c>
      <x:c r="Q131" s="10" t="n">
        <x:f>'店长明细'!$E1752</x:f>
        <x:v>142</x:v>
      </x:c>
      <x:c r="R131" s="10" t="n">
        <x:f>'店长明细'!$D1752</x:f>
        <x:v>108</x:v>
      </x:c>
      <x:c r="S131" s="10" t="n">
        <x:f>'店长明细'!$E1984</x:f>
        <x:v>21</x:v>
      </x:c>
      <x:c r="T131" s="10" t="n">
        <x:f>'店长明细'!$D1984</x:f>
        <x:v>17</x:v>
      </x:c>
      <x:c r="U131" s="10" t="n">
        <x:f>'店长明细'!$E2216</x:f>
        <x:v>268</x:v>
      </x:c>
      <x:c r="V131" s="10" t="n">
        <x:f>'店长明细'!$D2216</x:f>
        <x:v>165</x:v>
      </x:c>
      <x:c r="W131" s="11" t="n">
        <x:f>'店长明细'!$F128</x:f>
        <x:v>1740.65</x:v>
      </x:c>
      <x:c r="X131" s="11" t="n">
        <x:f>'店长明细'!$F360</x:f>
        <x:v>12237.27</x:v>
      </x:c>
      <x:c r="Y131" s="11" t="n">
        <x:f>'店长明细'!$F592</x:f>
        <x:v>9240.7</x:v>
      </x:c>
      <x:c r="Z131" s="11" t="n">
        <x:f>'店长明细'!$F824</x:f>
        <x:v>8062.86</x:v>
      </x:c>
      <x:c r="AA131" s="11" t="n">
        <x:f>'店长明细'!$F1056</x:f>
        <x:v>6.02</x:v>
      </x:c>
      <x:c r="AB131" s="11" t="n">
        <x:f>'店长明细'!$F1288</x:f>
        <x:v>2628.59</x:v>
      </x:c>
      <x:c r="AC131" s="11" t="n">
        <x:f>'店长明细'!$F1520</x:f>
        <x:v>6130.2</x:v>
      </x:c>
      <x:c r="AD131" s="11" t="n">
        <x:f>'店长明细'!$F1752</x:f>
        <x:v>4842.66</x:v>
      </x:c>
      <x:c r="AE131" s="11" t="n">
        <x:f>'店长明细'!$F1984</x:f>
        <x:v>679.6</x:v>
      </x:c>
      <x:c r="AF131" s="11" t="n">
        <x:f>'店长明细'!$F2216</x:f>
        <x:v>2390.66</x:v>
      </x:c>
    </x:row>
    <x:row r="132">
      <x:c r="A132" t="str">
        <x:f>TEXT($B132,"mm-dd")</x:f>
        <x:v>05-08</x:v>
      </x:c>
      <x:c r="B132" s="9" t="n">
        <x:f>'店长明细'!$C129</x:f>
        <x:v>46150</x:v>
      </x:c>
      <x:c r="C132" s="10" t="n">
        <x:f>'店长明细'!$E129</x:f>
        <x:v>188</x:v>
      </x:c>
      <x:c r="D132" s="10" t="n">
        <x:f>'店长明细'!$D129</x:f>
        <x:v>130</x:v>
      </x:c>
      <x:c r="E132" s="10" t="n">
        <x:f>'店长明细'!$E361</x:f>
        <x:v>1717</x:v>
      </x:c>
      <x:c r="F132" s="10" t="n">
        <x:f>'店长明细'!$D361</x:f>
        <x:v>856</x:v>
      </x:c>
      <x:c r="G132" s="10" t="n">
        <x:f>'店长明细'!$E593</x:f>
        <x:v>1105</x:v>
      </x:c>
      <x:c r="H132" s="10" t="n">
        <x:f>'店长明细'!$D593</x:f>
        <x:v>693</x:v>
      </x:c>
      <x:c r="I132" s="10" t="n">
        <x:f>'店长明细'!$E825</x:f>
        <x:v>950</x:v>
      </x:c>
      <x:c r="J132" s="10" t="n">
        <x:f>'店长明细'!$D825</x:f>
        <x:v>470</x:v>
      </x:c>
      <x:c r="K132" s="10" t="n">
        <x:f>'店长明细'!$E1057</x:f>
        <x:v>3</x:v>
      </x:c>
      <x:c r="L132" s="10" t="n">
        <x:f>'店长明细'!$D1057</x:f>
        <x:v>3</x:v>
      </x:c>
      <x:c r="M132" s="10" t="n">
        <x:f>'店长明细'!$E1289</x:f>
        <x:v>288</x:v>
      </x:c>
      <x:c r="N132" s="10" t="n">
        <x:f>'店长明细'!$D1289</x:f>
        <x:v>204</x:v>
      </x:c>
      <x:c r="O132" s="10" t="n">
        <x:f>'店长明细'!$E1521</x:f>
        <x:v>604</x:v>
      </x:c>
      <x:c r="P132" s="10" t="n">
        <x:f>'店长明细'!$D1521</x:f>
        <x:v>459</x:v>
      </x:c>
      <x:c r="Q132" s="10" t="n">
        <x:f>'店长明细'!$E1753</x:f>
        <x:v>88</x:v>
      </x:c>
      <x:c r="R132" s="10" t="n">
        <x:f>'店长明细'!$D1753</x:f>
        <x:v>63</x:v>
      </x:c>
      <x:c r="S132" s="10" t="n">
        <x:f>'店长明细'!$E1985</x:f>
        <x:v>22</x:v>
      </x:c>
      <x:c r="T132" s="10" t="n">
        <x:f>'店长明细'!$D1985</x:f>
        <x:v>15</x:v>
      </x:c>
      <x:c r="U132" s="10" t="n">
        <x:f>'店长明细'!$E2217</x:f>
        <x:v>114</x:v>
      </x:c>
      <x:c r="V132" s="10" t="n">
        <x:f>'店长明细'!$D2217</x:f>
        <x:v>83</x:v>
      </x:c>
      <x:c r="W132" s="11" t="n">
        <x:f>'店长明细'!$F129</x:f>
        <x:v>1525.22</x:v>
      </x:c>
      <x:c r="X132" s="11" t="n">
        <x:f>'店长明细'!$F361</x:f>
        <x:v>13583.99</x:v>
      </x:c>
      <x:c r="Y132" s="11" t="n">
        <x:f>'店长明细'!$F593</x:f>
        <x:v>8532.3</x:v>
      </x:c>
      <x:c r="Z132" s="11" t="n">
        <x:f>'店长明细'!$F825</x:f>
        <x:v>7030.33</x:v>
      </x:c>
      <x:c r="AA132" s="11" t="n">
        <x:f>'店长明细'!$F1057</x:f>
        <x:v>69.21</x:v>
      </x:c>
      <x:c r="AB132" s="11" t="n">
        <x:f>'店长明细'!$F1289</x:f>
        <x:v>2997.09</x:v>
      </x:c>
      <x:c r="AC132" s="11" t="n">
        <x:f>'店长明细'!$F1521</x:f>
        <x:v>7041.62</x:v>
      </x:c>
      <x:c r="AD132" s="11" t="n">
        <x:f>'店长明细'!$F1753</x:f>
        <x:v>2682.12</x:v>
      </x:c>
      <x:c r="AE132" s="11" t="n">
        <x:f>'店长明细'!$F1985</x:f>
        <x:v>684.8</x:v>
      </x:c>
      <x:c r="AF132" s="11" t="n">
        <x:f>'店长明细'!$F2217</x:f>
        <x:v>1012.98</x:v>
      </x:c>
    </x:row>
    <x:row r="133">
      <x:c r="A133" t="str">
        <x:f>TEXT($B133,"mm-dd")</x:f>
        <x:v>05-09</x:v>
      </x:c>
      <x:c r="B133" s="9" t="n">
        <x:f>'店长明细'!$C130</x:f>
        <x:v>46151</x:v>
      </x:c>
      <x:c r="C133" s="10" t="n">
        <x:f>'店长明细'!$E130</x:f>
        <x:v>252</x:v>
      </x:c>
      <x:c r="D133" s="10" t="n">
        <x:f>'店长明细'!$D130</x:f>
        <x:v>199</x:v>
      </x:c>
      <x:c r="E133" s="10" t="n">
        <x:f>'店长明细'!$E362</x:f>
        <x:v>1233</x:v>
      </x:c>
      <x:c r="F133" s="10" t="n">
        <x:f>'店长明细'!$D362</x:f>
        <x:v>750</x:v>
      </x:c>
      <x:c r="G133" s="10" t="n">
        <x:f>'店长明细'!$E594</x:f>
        <x:v>1549</x:v>
      </x:c>
      <x:c r="H133" s="10" t="n">
        <x:f>'店长明细'!$D594</x:f>
        <x:v>855</x:v>
      </x:c>
      <x:c r="I133" s="10" t="n">
        <x:f>'店长明细'!$E826</x:f>
        <x:v>1145</x:v>
      </x:c>
      <x:c r="J133" s="10" t="n">
        <x:f>'店长明细'!$D826</x:f>
        <x:v>656</x:v>
      </x:c>
      <x:c r="K133" s="10" t="n">
        <x:f>'店长明细'!$E1058</x:f>
        <x:v>2</x:v>
      </x:c>
      <x:c r="L133" s="10" t="n">
        <x:f>'店长明细'!$D1058</x:f>
        <x:v>2</x:v>
      </x:c>
      <x:c r="M133" s="10" t="n">
        <x:f>'店长明细'!$E1290</x:f>
        <x:v>248</x:v>
      </x:c>
      <x:c r="N133" s="10" t="n">
        <x:f>'店长明细'!$D1290</x:f>
        <x:v>182</x:v>
      </x:c>
      <x:c r="O133" s="10" t="n">
        <x:f>'店长明细'!$E1522</x:f>
        <x:v>710</x:v>
      </x:c>
      <x:c r="P133" s="10" t="n">
        <x:f>'店长明细'!$D1522</x:f>
        <x:v>511</x:v>
      </x:c>
      <x:c r="Q133" s="10" t="n">
        <x:f>'店长明细'!$E1754</x:f>
        <x:v>70</x:v>
      </x:c>
      <x:c r="R133" s="10" t="n">
        <x:f>'店长明细'!$D1754</x:f>
        <x:v>53</x:v>
      </x:c>
      <x:c r="S133" s="10" t="n">
        <x:f>'店长明细'!$E1986</x:f>
        <x:v>26</x:v>
      </x:c>
      <x:c r="T133" s="10" t="n">
        <x:f>'店长明细'!$D1986</x:f>
        <x:v>11</x:v>
      </x:c>
      <x:c r="U133" s="10" t="n">
        <x:f>'店长明细'!$E2218</x:f>
        <x:v>166</x:v>
      </x:c>
      <x:c r="V133" s="10" t="n">
        <x:f>'店长明细'!$D2218</x:f>
        <x:v>107</x:v>
      </x:c>
      <x:c r="W133" s="11" t="n">
        <x:f>'店长明细'!$F130</x:f>
        <x:v>2522.18</x:v>
      </x:c>
      <x:c r="X133" s="11" t="n">
        <x:f>'店长明细'!$F362</x:f>
        <x:v>11219.88</x:v>
      </x:c>
      <x:c r="Y133" s="11" t="n">
        <x:f>'店长明细'!$F594</x:f>
        <x:v>11045.71</x:v>
      </x:c>
      <x:c r="Z133" s="11" t="n">
        <x:f>'店长明细'!$F826</x:f>
        <x:v>9029.86</x:v>
      </x:c>
      <x:c r="AA133" s="11" t="n">
        <x:f>'店长明细'!$F1058</x:f>
        <x:v>34.5</x:v>
      </x:c>
      <x:c r="AB133" s="11" t="n">
        <x:f>'店长明细'!$F1290</x:f>
        <x:v>2595.55</x:v>
      </x:c>
      <x:c r="AC133" s="11" t="n">
        <x:f>'店长明细'!$F1522</x:f>
        <x:v>7733.03</x:v>
      </x:c>
      <x:c r="AD133" s="11" t="n">
        <x:f>'店长明细'!$F1754</x:f>
        <x:v>2214.86</x:v>
      </x:c>
      <x:c r="AE133" s="11" t="n">
        <x:f>'店长明细'!$F1986</x:f>
        <x:v>680.39</x:v>
      </x:c>
      <x:c r="AF133" s="11" t="n">
        <x:f>'店长明细'!$F2218</x:f>
        <x:v>1592.45</x:v>
      </x:c>
    </x:row>
    <x:row r="134">
      <x:c r="A134" t="str">
        <x:f>TEXT($B134,"mm-dd")</x:f>
        <x:v>05-10</x:v>
      </x:c>
      <x:c r="B134" s="9" t="n">
        <x:f>'店长明细'!$C131</x:f>
        <x:v>46152</x:v>
      </x:c>
      <x:c r="C134" s="10" t="n">
        <x:f>'店长明细'!$E131</x:f>
        <x:v>185</x:v>
      </x:c>
      <x:c r="D134" s="10" t="n">
        <x:f>'店长明细'!$D131</x:f>
        <x:v>144</x:v>
      </x:c>
      <x:c r="E134" s="10" t="n">
        <x:f>'店长明细'!$E363</x:f>
        <x:v>773</x:v>
      </x:c>
      <x:c r="F134" s="10" t="n">
        <x:f>'店长明细'!$D363</x:f>
        <x:v>527</x:v>
      </x:c>
      <x:c r="G134" s="10" t="n">
        <x:f>'店长明细'!$E595</x:f>
        <x:v>1168</x:v>
      </x:c>
      <x:c r="H134" s="10" t="n">
        <x:f>'店长明细'!$D595</x:f>
        <x:v>688</x:v>
      </x:c>
      <x:c r="I134" s="10" t="n">
        <x:f>'店长明细'!$E827</x:f>
        <x:v>1150</x:v>
      </x:c>
      <x:c r="J134" s="10" t="n">
        <x:f>'店长明细'!$D827</x:f>
        <x:v>593</x:v>
      </x:c>
      <x:c r="K134" s="10" t="n">
        <x:f>'店长明细'!$E1059</x:f>
        <x:v>10</x:v>
      </x:c>
      <x:c r="L134" s="10" t="n">
        <x:f>'店长明细'!$D1059</x:f>
        <x:v>9</x:v>
      </x:c>
      <x:c r="M134" s="10" t="n">
        <x:f>'店长明细'!$E1291</x:f>
        <x:v>156</x:v>
      </x:c>
      <x:c r="N134" s="10" t="n">
        <x:f>'店长明细'!$D1291</x:f>
        <x:v>109</x:v>
      </x:c>
      <x:c r="O134" s="10" t="n">
        <x:f>'店长明细'!$E1523</x:f>
        <x:v>695</x:v>
      </x:c>
      <x:c r="P134" s="10" t="n">
        <x:f>'店长明细'!$D1523</x:f>
        <x:v>476</x:v>
      </x:c>
      <x:c r="Q134" s="10" t="n">
        <x:f>'店长明细'!$E1755</x:f>
        <x:v>46</x:v>
      </x:c>
      <x:c r="R134" s="10" t="n">
        <x:f>'店长明细'!$D1755</x:f>
        <x:v>36</x:v>
      </x:c>
      <x:c r="S134" s="10" t="n">
        <x:f>'店长明细'!$E1987</x:f>
        <x:v>15</x:v>
      </x:c>
      <x:c r="T134" s="10" t="n">
        <x:f>'店长明细'!$D1987</x:f>
        <x:v>13</x:v>
      </x:c>
      <x:c r="U134" s="10" t="n">
        <x:f>'店长明细'!$E2219</x:f>
        <x:v>92</x:v>
      </x:c>
      <x:c r="V134" s="10" t="n">
        <x:f>'店长明细'!$D2219</x:f>
        <x:v>65</x:v>
      </x:c>
      <x:c r="W134" s="11" t="n">
        <x:f>'店长明细'!$F131</x:f>
        <x:v>1830.15</x:v>
      </x:c>
      <x:c r="X134" s="11" t="n">
        <x:f>'店长明细'!$F363</x:f>
        <x:v>6985.52</x:v>
      </x:c>
      <x:c r="Y134" s="11" t="n">
        <x:f>'店长明细'!$F595</x:f>
        <x:v>8652.85</x:v>
      </x:c>
      <x:c r="Z134" s="11" t="n">
        <x:f>'店长明细'!$F827</x:f>
        <x:v>8228.25</x:v>
      </x:c>
      <x:c r="AA134" s="11" t="n">
        <x:f>'店长明细'!$F1059</x:f>
        <x:v>95.68</x:v>
      </x:c>
      <x:c r="AB134" s="11" t="n">
        <x:f>'店长明细'!$F1291</x:f>
        <x:v>1670.08</x:v>
      </x:c>
      <x:c r="AC134" s="11" t="n">
        <x:f>'店长明细'!$F1523</x:f>
        <x:v>6899.95</x:v>
      </x:c>
      <x:c r="AD134" s="11" t="n">
        <x:f>'店长明细'!$F1755</x:f>
        <x:v>1191.31</x:v>
      </x:c>
      <x:c r="AE134" s="11" t="n">
        <x:f>'店长明细'!$F1987</x:f>
        <x:v>409.29</x:v>
      </x:c>
      <x:c r="AF134" s="11" t="n">
        <x:f>'店长明细'!$F2219</x:f>
        <x:v>923.93</x:v>
      </x:c>
    </x:row>
    <x:row r="135">
      <x:c r="A135" t="str">
        <x:f>TEXT($B135,"mm-dd")</x:f>
        <x:v>05-11</x:v>
      </x:c>
      <x:c r="B135" s="9" t="n">
        <x:f>'店长明细'!$C132</x:f>
        <x:v>46153</x:v>
      </x:c>
      <x:c r="C135" s="10" t="n">
        <x:f>'店长明细'!$E132</x:f>
        <x:v>264</x:v>
      </x:c>
      <x:c r="D135" s="10" t="n">
        <x:f>'店长明细'!$D132</x:f>
        <x:v>157</x:v>
      </x:c>
      <x:c r="E135" s="10" t="n">
        <x:f>'店长明细'!$E364</x:f>
        <x:v>889</x:v>
      </x:c>
      <x:c r="F135" s="10" t="n">
        <x:f>'店长明细'!$D364</x:f>
        <x:v>611</x:v>
      </x:c>
      <x:c r="G135" s="10" t="n">
        <x:f>'店长明细'!$E596</x:f>
        <x:v>1293</x:v>
      </x:c>
      <x:c r="H135" s="10" t="n">
        <x:f>'店长明细'!$D596</x:f>
        <x:v>748</x:v>
      </x:c>
      <x:c r="I135" s="10" t="n">
        <x:f>'店长明细'!$E828</x:f>
        <x:v>1277</x:v>
      </x:c>
      <x:c r="J135" s="10" t="n">
        <x:f>'店长明细'!$D828</x:f>
        <x:v>683</x:v>
      </x:c>
      <x:c r="K135" s="10" t="n">
        <x:f>'店长明细'!$E1060</x:f>
        <x:v>33</x:v>
      </x:c>
      <x:c r="L135" s="10" t="n">
        <x:f>'店长明细'!$D1060</x:f>
        <x:v>32</x:v>
      </x:c>
      <x:c r="M135" s="10" t="n">
        <x:f>'店长明细'!$E1292</x:f>
        <x:v>268</x:v>
      </x:c>
      <x:c r="N135" s="10" t="n">
        <x:f>'店长明细'!$D1292</x:f>
        <x:v>160</x:v>
      </x:c>
      <x:c r="O135" s="10" t="n">
        <x:f>'店长明细'!$E1524</x:f>
        <x:v>786</x:v>
      </x:c>
      <x:c r="P135" s="10" t="n">
        <x:f>'店长明细'!$D1524</x:f>
        <x:v>553</x:v>
      </x:c>
      <x:c r="Q135" s="10" t="n">
        <x:f>'店长明细'!$E1756</x:f>
        <x:v>39</x:v>
      </x:c>
      <x:c r="R135" s="10" t="n">
        <x:f>'店长明细'!$D1756</x:f>
        <x:v>31</x:v>
      </x:c>
      <x:c r="S135" s="10" t="n">
        <x:f>'店长明细'!$E1988</x:f>
        <x:v>13</x:v>
      </x:c>
      <x:c r="T135" s="10" t="n">
        <x:f>'店长明细'!$D1988</x:f>
        <x:v>13</x:v>
      </x:c>
      <x:c r="U135" s="10" t="n">
        <x:f>'店长明细'!$E2220</x:f>
        <x:v>109</x:v>
      </x:c>
      <x:c r="V135" s="10" t="n">
        <x:f>'店长明细'!$D2220</x:f>
        <x:v>71</x:v>
      </x:c>
      <x:c r="W135" s="11" t="n">
        <x:f>'店长明细'!$F132</x:f>
        <x:v>2212.95</x:v>
      </x:c>
      <x:c r="X135" s="11" t="n">
        <x:f>'店长明细'!$F364</x:f>
        <x:v>8703.17</x:v>
      </x:c>
      <x:c r="Y135" s="11" t="n">
        <x:f>'店长明细'!$F596</x:f>
        <x:v>9199.3</x:v>
      </x:c>
      <x:c r="Z135" s="11" t="n">
        <x:f>'店长明细'!$F828</x:f>
        <x:v>9845.06</x:v>
      </x:c>
      <x:c r="AA135" s="11" t="n">
        <x:f>'店长明细'!$F1060</x:f>
        <x:v>213.48</x:v>
      </x:c>
      <x:c r="AB135" s="11" t="n">
        <x:f>'店长明细'!$F1292</x:f>
        <x:v>2196.39</x:v>
      </x:c>
      <x:c r="AC135" s="11" t="n">
        <x:f>'店长明细'!$F1524</x:f>
        <x:v>8110.34</x:v>
      </x:c>
      <x:c r="AD135" s="11" t="n">
        <x:f>'店长明细'!$F1756</x:f>
        <x:v>1365.12</x:v>
      </x:c>
      <x:c r="AE135" s="11" t="n">
        <x:f>'店长明细'!$F1988</x:f>
        <x:v>386.96</x:v>
      </x:c>
      <x:c r="AF135" s="11" t="n">
        <x:f>'店长明细'!$F2220</x:f>
        <x:v>1295.21</x:v>
      </x:c>
    </x:row>
    <x:row r="136">
      <x:c r="A136" t="str">
        <x:f>TEXT($B136,"mm-dd")</x:f>
        <x:v>05-12</x:v>
      </x:c>
      <x:c r="B136" s="9" t="n">
        <x:f>'店长明细'!$C133</x:f>
        <x:v>46154</x:v>
      </x:c>
      <x:c r="C136" s="10" t="n">
        <x:f>'店长明细'!$E133</x:f>
        <x:v>194</x:v>
      </x:c>
      <x:c r="D136" s="10" t="n">
        <x:f>'店长明细'!$D133</x:f>
        <x:v>136</x:v>
      </x:c>
      <x:c r="E136" s="10" t="n">
        <x:f>'店长明细'!$E365</x:f>
        <x:v>738</x:v>
      </x:c>
      <x:c r="F136" s="10" t="n">
        <x:f>'店长明细'!$D365</x:f>
        <x:v>483</x:v>
      </x:c>
      <x:c r="G136" s="10" t="n">
        <x:f>'店长明细'!$E597</x:f>
        <x:v>1203</x:v>
      </x:c>
      <x:c r="H136" s="10" t="n">
        <x:f>'店长明细'!$D597</x:f>
        <x:v>715</x:v>
      </x:c>
      <x:c r="I136" s="10" t="n">
        <x:f>'店长明细'!$E829</x:f>
        <x:v>1232</x:v>
      </x:c>
      <x:c r="J136" s="10" t="n">
        <x:f>'店长明细'!$D829</x:f>
        <x:v>649</x:v>
      </x:c>
      <x:c r="K136" s="10" t="n">
        <x:f>'店长明细'!$E1061</x:f>
        <x:v>34</x:v>
      </x:c>
      <x:c r="L136" s="10" t="n">
        <x:f>'店长明细'!$D1061</x:f>
        <x:v>30</x:v>
      </x:c>
      <x:c r="M136" s="10" t="n">
        <x:f>'店长明细'!$E1293</x:f>
        <x:v>282</x:v>
      </x:c>
      <x:c r="N136" s="10" t="n">
        <x:f>'店长明细'!$D1293</x:f>
        <x:v>163</x:v>
      </x:c>
      <x:c r="O136" s="10" t="n">
        <x:f>'店长明细'!$E1525</x:f>
        <x:v>883</x:v>
      </x:c>
      <x:c r="P136" s="10" t="n">
        <x:f>'店长明细'!$D1525</x:f>
        <x:v>589</x:v>
      </x:c>
      <x:c r="Q136" s="10" t="n">
        <x:f>'店长明细'!$E1757</x:f>
        <x:v>51</x:v>
      </x:c>
      <x:c r="R136" s="10" t="n">
        <x:f>'店长明细'!$D1757</x:f>
        <x:v>25</x:v>
      </x:c>
      <x:c r="S136" s="10" t="n">
        <x:f>'店长明细'!$E1989</x:f>
        <x:v>20</x:v>
      </x:c>
      <x:c r="T136" s="10" t="n">
        <x:f>'店长明细'!$D1989</x:f>
        <x:v>19</x:v>
      </x:c>
      <x:c r="U136" s="10" t="n">
        <x:f>'店长明细'!$E2221</x:f>
        <x:v>108</x:v>
      </x:c>
      <x:c r="V136" s="10" t="n">
        <x:f>'店长明细'!$D2221</x:f>
        <x:v>67</x:v>
      </x:c>
      <x:c r="W136" s="11" t="n">
        <x:f>'店长明细'!$F133</x:f>
        <x:v>1898.64</x:v>
      </x:c>
      <x:c r="X136" s="11" t="n">
        <x:f>'店长明细'!$F365</x:f>
        <x:v>6789.72</x:v>
      </x:c>
      <x:c r="Y136" s="11" t="n">
        <x:f>'店长明细'!$F597</x:f>
        <x:v>8893.55</x:v>
      </x:c>
      <x:c r="Z136" s="11" t="n">
        <x:f>'店长明细'!$F829</x:f>
        <x:v>9378.01</x:v>
      </x:c>
      <x:c r="AA136" s="11" t="n">
        <x:f>'店长明细'!$F1061</x:f>
        <x:v>251.6</x:v>
      </x:c>
      <x:c r="AB136" s="11" t="n">
        <x:f>'店长明细'!$F1293</x:f>
        <x:v>2788.91</x:v>
      </x:c>
      <x:c r="AC136" s="11" t="n">
        <x:f>'店长明细'!$F1525</x:f>
        <x:v>8742.7</x:v>
      </x:c>
      <x:c r="AD136" s="11" t="n">
        <x:f>'店长明细'!$F1757</x:f>
        <x:v>1090.96</x:v>
      </x:c>
      <x:c r="AE136" s="11" t="n">
        <x:f>'店长明细'!$F1989</x:f>
        <x:v>811.37</x:v>
      </x:c>
      <x:c r="AF136" s="11" t="n">
        <x:f>'店长明细'!$F2221</x:f>
        <x:v>1180.75</x:v>
      </x:c>
    </x:row>
    <x:row r="137">
      <x:c r="A137" t="str">
        <x:f>TEXT($B137,"mm-dd")</x:f>
        <x:v>05-13</x:v>
      </x:c>
      <x:c r="B137" s="9" t="n">
        <x:f>'店长明细'!$C134</x:f>
        <x:v>46155</x:v>
      </x:c>
      <x:c r="C137" s="10" t="n">
        <x:f>'店长明细'!$E134</x:f>
        <x:v>160</x:v>
      </x:c>
      <x:c r="D137" s="10" t="n">
        <x:f>'店长明细'!$D134</x:f>
        <x:v>118</x:v>
      </x:c>
      <x:c r="E137" s="10" t="n">
        <x:f>'店长明细'!$E366</x:f>
        <x:v>904</x:v>
      </x:c>
      <x:c r="F137" s="10" t="n">
        <x:f>'店长明细'!$D366</x:f>
        <x:v>607</x:v>
      </x:c>
      <x:c r="G137" s="10" t="n">
        <x:f>'店长明细'!$E598</x:f>
        <x:v>1396</x:v>
      </x:c>
      <x:c r="H137" s="10" t="n">
        <x:f>'店长明细'!$D598</x:f>
        <x:v>804</x:v>
      </x:c>
      <x:c r="I137" s="10" t="n">
        <x:f>'店长明细'!$E830</x:f>
        <x:v>1324</x:v>
      </x:c>
      <x:c r="J137" s="10" t="n">
        <x:f>'店长明细'!$D830</x:f>
        <x:v>713</x:v>
      </x:c>
      <x:c r="K137" s="10" t="n">
        <x:f>'店长明细'!$E1062</x:f>
        <x:v>24</x:v>
      </x:c>
      <x:c r="L137" s="10" t="n">
        <x:f>'店长明细'!$D1062</x:f>
        <x:v>22</x:v>
      </x:c>
      <x:c r="M137" s="10" t="n">
        <x:f>'店长明细'!$E1294</x:f>
        <x:v>128</x:v>
      </x:c>
      <x:c r="N137" s="10" t="n">
        <x:f>'店长明细'!$D1294</x:f>
        <x:v>91</x:v>
      </x:c>
      <x:c r="O137" s="10" t="n">
        <x:f>'店长明细'!$E1526</x:f>
        <x:v>884</x:v>
      </x:c>
      <x:c r="P137" s="10" t="n">
        <x:f>'店长明细'!$D1526</x:f>
        <x:v>560</x:v>
      </x:c>
      <x:c r="Q137" s="10" t="n">
        <x:f>'店长明细'!$E1758</x:f>
        <x:v>58</x:v>
      </x:c>
      <x:c r="R137" s="10" t="n">
        <x:f>'店长明细'!$D1758</x:f>
        <x:v>39</x:v>
      </x:c>
      <x:c r="S137" s="10" t="n">
        <x:f>'店长明细'!$E1990</x:f>
        <x:v>21</x:v>
      </x:c>
      <x:c r="T137" s="10" t="n">
        <x:f>'店长明细'!$D1990</x:f>
        <x:v>20</x:v>
      </x:c>
      <x:c r="U137" s="10" t="n">
        <x:f>'店长明细'!$E2222</x:f>
        <x:v>85</x:v>
      </x:c>
      <x:c r="V137" s="10" t="n">
        <x:f>'店长明细'!$D2222</x:f>
        <x:v>52</x:v>
      </x:c>
      <x:c r="W137" s="11" t="n">
        <x:f>'店长明细'!$F134</x:f>
        <x:v>1520.49</x:v>
      </x:c>
      <x:c r="X137" s="11" t="n">
        <x:f>'店长明细'!$F366</x:f>
        <x:v>7923.87</x:v>
      </x:c>
      <x:c r="Y137" s="11" t="n">
        <x:f>'店长明细'!$F598</x:f>
        <x:v>10701.37</x:v>
      </x:c>
      <x:c r="Z137" s="11" t="n">
        <x:f>'店长明细'!$F830</x:f>
        <x:v>10081.18</x:v>
      </x:c>
      <x:c r="AA137" s="11" t="n">
        <x:f>'店长明细'!$F1062</x:f>
        <x:v>177.6</x:v>
      </x:c>
      <x:c r="AB137" s="11" t="n">
        <x:f>'店长明细'!$F1294</x:f>
        <x:v>1184.45</x:v>
      </x:c>
      <x:c r="AC137" s="11" t="n">
        <x:f>'店长明细'!$F1526</x:f>
        <x:v>8167.68</x:v>
      </x:c>
      <x:c r="AD137" s="11" t="n">
        <x:f>'店长明细'!$F1758</x:f>
        <x:v>1458.26</x:v>
      </x:c>
      <x:c r="AE137" s="11" t="n">
        <x:f>'店长明细'!$F1990</x:f>
        <x:v>830.51</x:v>
      </x:c>
      <x:c r="AF137" s="11" t="n">
        <x:f>'店长明细'!$F2222</x:f>
        <x:v>885.25</x:v>
      </x:c>
    </x:row>
    <x:row r="138">
      <x:c r="A138" t="str">
        <x:f>TEXT($B138,"mm-dd")</x:f>
        <x:v>05-14</x:v>
      </x:c>
      <x:c r="B138" s="9" t="n">
        <x:f>'店长明细'!$C135</x:f>
        <x:v>46156</x:v>
      </x:c>
      <x:c r="C138" s="10" t="n">
        <x:f>'店长明细'!$E135</x:f>
        <x:v>194</x:v>
      </x:c>
      <x:c r="D138" s="10" t="n">
        <x:f>'店长明细'!$D135</x:f>
        <x:v>128</x:v>
      </x:c>
      <x:c r="E138" s="10" t="n">
        <x:f>'店长明细'!$E367</x:f>
        <x:v>922</x:v>
      </x:c>
      <x:c r="F138" s="10" t="n">
        <x:f>'店长明细'!$D367</x:f>
        <x:v>625</x:v>
      </x:c>
      <x:c r="G138" s="10" t="n">
        <x:f>'店长明细'!$E599</x:f>
        <x:v>1423</x:v>
      </x:c>
      <x:c r="H138" s="10" t="n">
        <x:f>'店长明细'!$D599</x:f>
        <x:v>863</x:v>
      </x:c>
      <x:c r="I138" s="10" t="n">
        <x:f>'店长明细'!$E831</x:f>
        <x:v>1457</x:v>
      </x:c>
      <x:c r="J138" s="10" t="n">
        <x:f>'店长明细'!$D831</x:f>
        <x:v>741</x:v>
      </x:c>
      <x:c r="K138" s="10" t="n">
        <x:f>'店长明细'!$E1063</x:f>
        <x:v>6</x:v>
      </x:c>
      <x:c r="L138" s="10" t="n">
        <x:f>'店长明细'!$D1063</x:f>
        <x:v>6</x:v>
      </x:c>
      <x:c r="M138" s="10" t="n">
        <x:f>'店长明细'!$E1295</x:f>
        <x:v>136</x:v>
      </x:c>
      <x:c r="N138" s="10" t="n">
        <x:f>'店长明细'!$D1295</x:f>
        <x:v>102</x:v>
      </x:c>
      <x:c r="O138" s="10" t="n">
        <x:f>'店长明细'!$E1527</x:f>
        <x:v>725</x:v>
      </x:c>
      <x:c r="P138" s="10" t="n">
        <x:f>'店长明细'!$D1527</x:f>
        <x:v>498</x:v>
      </x:c>
      <x:c r="Q138" s="10" t="n">
        <x:f>'店长明细'!$E1759</x:f>
        <x:v>96</x:v>
      </x:c>
      <x:c r="R138" s="10" t="n">
        <x:f>'店长明细'!$D1759</x:f>
        <x:v>38</x:v>
      </x:c>
      <x:c r="S138" s="10" t="n">
        <x:f>'店长明细'!$E1991</x:f>
        <x:v>26</x:v>
      </x:c>
      <x:c r="T138" s="10" t="n">
        <x:f>'店长明细'!$D1991</x:f>
        <x:v>11</x:v>
      </x:c>
      <x:c r="U138" s="10" t="n">
        <x:f>'店长明细'!$E2223</x:f>
        <x:v>119</x:v>
      </x:c>
      <x:c r="V138" s="10" t="n">
        <x:f>'店长明细'!$D2223</x:f>
        <x:v>86</x:v>
      </x:c>
      <x:c r="W138" s="11" t="n">
        <x:f>'店长明细'!$F135</x:f>
        <x:v>1744.35</x:v>
      </x:c>
      <x:c r="X138" s="11" t="n">
        <x:f>'店长明细'!$F367</x:f>
        <x:v>8376.19</x:v>
      </x:c>
      <x:c r="Y138" s="11" t="n">
        <x:f>'店长明细'!$F599</x:f>
        <x:v>10819.57</x:v>
      </x:c>
      <x:c r="Z138" s="11" t="n">
        <x:f>'店长明细'!$F831</x:f>
        <x:v>10780.31</x:v>
      </x:c>
      <x:c r="AA138" s="11" t="n">
        <x:f>'店长明细'!$F1063</x:f>
        <x:v>44.4</x:v>
      </x:c>
      <x:c r="AB138" s="11" t="n">
        <x:f>'店长明细'!$F1295</x:f>
        <x:v>1280.6</x:v>
      </x:c>
      <x:c r="AC138" s="11" t="n">
        <x:f>'店长明细'!$F1527</x:f>
        <x:v>7510.81</x:v>
      </x:c>
      <x:c r="AD138" s="11" t="n">
        <x:f>'店长明细'!$F1759</x:f>
        <x:v>2107.09</x:v>
      </x:c>
      <x:c r="AE138" s="11" t="n">
        <x:f>'店长明细'!$F1991</x:f>
        <x:v>999.25</x:v>
      </x:c>
      <x:c r="AF138" s="11" t="n">
        <x:f>'店长明细'!$F2223</x:f>
        <x:v>779.18</x:v>
      </x:c>
    </x:row>
    <x:row r="139">
      <x:c r="A139" t="str">
        <x:f>TEXT($B139,"mm-dd")</x:f>
        <x:v>05-15</x:v>
      </x:c>
      <x:c r="B139" s="9" t="n">
        <x:f>'店长明细'!$C136</x:f>
        <x:v>46157</x:v>
      </x:c>
      <x:c r="C139" s="10" t="n">
        <x:f>'店长明细'!$E136</x:f>
        <x:v>141</x:v>
      </x:c>
      <x:c r="D139" s="10" t="n">
        <x:f>'店长明细'!$D136</x:f>
        <x:v>108</x:v>
      </x:c>
      <x:c r="E139" s="10" t="n">
        <x:f>'店长明细'!$E368</x:f>
        <x:v>987</x:v>
      </x:c>
      <x:c r="F139" s="10" t="n">
        <x:f>'店长明细'!$D368</x:f>
        <x:v>627</x:v>
      </x:c>
      <x:c r="G139" s="10" t="n">
        <x:f>'店长明细'!$E600</x:f>
        <x:v>1733</x:v>
      </x:c>
      <x:c r="H139" s="10" t="n">
        <x:f>'店长明细'!$D600</x:f>
        <x:v>1053</x:v>
      </x:c>
      <x:c r="I139" s="10" t="n">
        <x:f>'店长明细'!$E832</x:f>
        <x:v>1421</x:v>
      </x:c>
      <x:c r="J139" s="10" t="n">
        <x:f>'店长明细'!$D832</x:f>
        <x:v>708</x:v>
      </x:c>
      <x:c r="K139" s="10" t="n">
        <x:f>'店长明细'!$E1064</x:f>
        <x:v>5</x:v>
      </x:c>
      <x:c r="L139" s="10" t="n">
        <x:f>'店长明细'!$D1064</x:f>
        <x:v>5</x:v>
      </x:c>
      <x:c r="M139" s="10" t="n">
        <x:f>'店长明细'!$E1296</x:f>
        <x:v>208</x:v>
      </x:c>
      <x:c r="N139" s="10" t="n">
        <x:f>'店长明细'!$D1296</x:f>
        <x:v>121</x:v>
      </x:c>
      <x:c r="O139" s="10" t="n">
        <x:f>'店长明细'!$E1528</x:f>
        <x:v>655</x:v>
      </x:c>
      <x:c r="P139" s="10" t="n">
        <x:f>'店长明细'!$D1528</x:f>
        <x:v>480</x:v>
      </x:c>
      <x:c r="Q139" s="10" t="n">
        <x:f>'店长明细'!$E1760</x:f>
        <x:v>38</x:v>
      </x:c>
      <x:c r="R139" s="10" t="n">
        <x:f>'店长明细'!$D1760</x:f>
        <x:v>29</x:v>
      </x:c>
      <x:c r="S139" s="10" t="n">
        <x:f>'店长明细'!$E1992</x:f>
        <x:v>15</x:v>
      </x:c>
      <x:c r="T139" s="10" t="n">
        <x:f>'店长明细'!$D1992</x:f>
        <x:v>12</x:v>
      </x:c>
      <x:c r="U139" s="10" t="n">
        <x:f>'店长明细'!$E2224</x:f>
        <x:v>259</x:v>
      </x:c>
      <x:c r="V139" s="10" t="n">
        <x:f>'店长明细'!$D2224</x:f>
        <x:v>174</x:v>
      </x:c>
      <x:c r="W139" s="11" t="n">
        <x:f>'店长明细'!$F136</x:f>
        <x:v>1329.35</x:v>
      </x:c>
      <x:c r="X139" s="11" t="n">
        <x:f>'店长明细'!$F368</x:f>
        <x:v>8904.22</x:v>
      </x:c>
      <x:c r="Y139" s="11" t="n">
        <x:f>'店长明细'!$F600</x:f>
        <x:v>13439.44</x:v>
      </x:c>
      <x:c r="Z139" s="11" t="n">
        <x:f>'店长明细'!$F832</x:f>
        <x:v>10779.49</x:v>
      </x:c>
      <x:c r="AA139" s="11" t="n">
        <x:f>'店长明细'!$F1064</x:f>
        <x:v>38.17</x:v>
      </x:c>
      <x:c r="AB139" s="11" t="n">
        <x:f>'店长明细'!$F1296</x:f>
        <x:v>1841.57</x:v>
      </x:c>
      <x:c r="AC139" s="11" t="n">
        <x:f>'店长明细'!$F1528</x:f>
        <x:v>6996.19</x:v>
      </x:c>
      <x:c r="AD139" s="11" t="n">
        <x:f>'店长明细'!$F1760</x:f>
        <x:v>1291.39</x:v>
      </x:c>
      <x:c r="AE139" s="11" t="n">
        <x:f>'店长明细'!$F1992</x:f>
        <x:v>487.43</x:v>
      </x:c>
      <x:c r="AF139" s="11" t="n">
        <x:f>'店长明细'!$F2224</x:f>
        <x:v>1079.45</x:v>
      </x:c>
    </x:row>
    <x:row r="140">
      <x:c r="A140" t="str">
        <x:f>TEXT($B140,"mm-dd")</x:f>
        <x:v>05-16</x:v>
      </x:c>
      <x:c r="B140" s="9" t="n">
        <x:f>'店长明细'!$C137</x:f>
        <x:v>46158</x:v>
      </x:c>
      <x:c r="C140" s="10" t="n">
        <x:f>'店长明细'!$E137</x:f>
        <x:v>158</x:v>
      </x:c>
      <x:c r="D140" s="10" t="n">
        <x:f>'店长明细'!$D137</x:f>
        <x:v>126</x:v>
      </x:c>
      <x:c r="E140" s="10" t="n">
        <x:f>'店长明细'!$E369</x:f>
        <x:v>859</x:v>
      </x:c>
      <x:c r="F140" s="10" t="n">
        <x:f>'店长明细'!$D369</x:f>
        <x:v>620</x:v>
      </x:c>
      <x:c r="G140" s="10" t="n">
        <x:f>'店长明细'!$E601</x:f>
        <x:v>1301</x:v>
      </x:c>
      <x:c r="H140" s="10" t="n">
        <x:f>'店长明细'!$D601</x:f>
        <x:v>771</x:v>
      </x:c>
      <x:c r="I140" s="10" t="n">
        <x:f>'店长明细'!$E833</x:f>
        <x:v>1387</x:v>
      </x:c>
      <x:c r="J140" s="10" t="n">
        <x:f>'店长明细'!$D833</x:f>
        <x:v>715</x:v>
      </x:c>
      <x:c r="K140" s="10" t="n">
        <x:f>'店长明细'!$E1065</x:f>
        <x:v>7</x:v>
      </x:c>
      <x:c r="L140" s="10" t="n">
        <x:f>'店长明细'!$D1065</x:f>
        <x:v>6</x:v>
      </x:c>
      <x:c r="M140" s="10" t="n">
        <x:f>'店长明细'!$E1297</x:f>
        <x:v>182</x:v>
      </x:c>
      <x:c r="N140" s="10" t="n">
        <x:f>'店长明细'!$D1297</x:f>
        <x:v>122</x:v>
      </x:c>
      <x:c r="O140" s="10" t="n">
        <x:f>'店长明细'!$E1529</x:f>
        <x:v>633</x:v>
      </x:c>
      <x:c r="P140" s="10" t="n">
        <x:f>'店长明细'!$D1529</x:f>
        <x:v>431</x:v>
      </x:c>
      <x:c r="Q140" s="10" t="n">
        <x:f>'店长明细'!$E1761</x:f>
        <x:v>27</x:v>
      </x:c>
      <x:c r="R140" s="10" t="n">
        <x:f>'店长明细'!$D1761</x:f>
        <x:v>21</x:v>
      </x:c>
      <x:c r="S140" s="10" t="n">
        <x:f>'店长明细'!$E1993</x:f>
        <x:v>11</x:v>
      </x:c>
      <x:c r="T140" s="10" t="n">
        <x:f>'店长明细'!$D1993</x:f>
        <x:v>10</x:v>
      </x:c>
      <x:c r="U140" s="10" t="n">
        <x:f>'店长明细'!$E2225</x:f>
        <x:v>75</x:v>
      </x:c>
      <x:c r="V140" s="10" t="n">
        <x:f>'店长明细'!$D2225</x:f>
        <x:v>45</x:v>
      </x:c>
      <x:c r="W140" s="11" t="n">
        <x:f>'店长明细'!$F137</x:f>
        <x:v>1534.39</x:v>
      </x:c>
      <x:c r="X140" s="11" t="n">
        <x:f>'店长明细'!$F369</x:f>
        <x:v>8607.99</x:v>
      </x:c>
      <x:c r="Y140" s="11" t="n">
        <x:f>'店长明细'!$F601</x:f>
        <x:v>10104.19</x:v>
      </x:c>
      <x:c r="Z140" s="11" t="n">
        <x:f>'店长明细'!$F833</x:f>
        <x:v>11411.68</x:v>
      </x:c>
      <x:c r="AA140" s="11" t="n">
        <x:f>'店长明细'!$F1065</x:f>
        <x:v>58.26</x:v>
      </x:c>
      <x:c r="AB140" s="11" t="n">
        <x:f>'店长明细'!$F1297</x:f>
        <x:v>1745.38</x:v>
      </x:c>
      <x:c r="AC140" s="11" t="n">
        <x:f>'店长明细'!$F1529</x:f>
        <x:v>6504.86</x:v>
      </x:c>
      <x:c r="AD140" s="11" t="n">
        <x:f>'店长明细'!$F1761</x:f>
        <x:v>778.39</x:v>
      </x:c>
      <x:c r="AE140" s="11" t="n">
        <x:f>'店长明细'!$F1993</x:f>
        <x:v>479.74</x:v>
      </x:c>
      <x:c r="AF140" s="11" t="n">
        <x:f>'店长明细'!$F2225</x:f>
        <x:v>1102.68</x:v>
      </x:c>
    </x:row>
    <x:row r="141">
      <x:c r="A141" t="str">
        <x:f>TEXT($B141,"mm-dd")</x:f>
        <x:v>05-17</x:v>
      </x:c>
      <x:c r="B141" s="9" t="n">
        <x:f>'店长明细'!$C138</x:f>
        <x:v>46159</x:v>
      </x:c>
      <x:c r="C141" s="10" t="n">
        <x:f>'店长明细'!$E138</x:f>
        <x:v>147</x:v>
      </x:c>
      <x:c r="D141" s="10" t="n">
        <x:f>'店长明细'!$D138</x:f>
        <x:v>109</x:v>
      </x:c>
      <x:c r="E141" s="10" t="n">
        <x:f>'店长明细'!$E370</x:f>
        <x:v>1151</x:v>
      </x:c>
      <x:c r="F141" s="10" t="n">
        <x:f>'店长明细'!$D370</x:f>
        <x:v>727</x:v>
      </x:c>
      <x:c r="G141" s="10" t="n">
        <x:f>'店长明细'!$E602</x:f>
        <x:v>1614</x:v>
      </x:c>
      <x:c r="H141" s="10" t="n">
        <x:f>'店长明细'!$D602</x:f>
        <x:v>935</x:v>
      </x:c>
      <x:c r="I141" s="10" t="n">
        <x:f>'店长明细'!$E834</x:f>
        <x:v>1254</x:v>
      </x:c>
      <x:c r="J141" s="10" t="n">
        <x:f>'店长明细'!$D834</x:f>
        <x:v>691</x:v>
      </x:c>
      <x:c r="K141" s="10" t="n">
        <x:f>'店长明细'!$E1066</x:f>
        <x:v>9</x:v>
      </x:c>
      <x:c r="L141" s="10" t="n">
        <x:f>'店长明细'!$D1066</x:f>
        <x:v>9</x:v>
      </x:c>
      <x:c r="M141" s="10" t="n">
        <x:f>'店长明细'!$E1298</x:f>
        <x:v>233</x:v>
      </x:c>
      <x:c r="N141" s="10" t="n">
        <x:f>'店长明细'!$D1298</x:f>
        <x:v>152</x:v>
      </x:c>
      <x:c r="O141" s="10" t="n">
        <x:f>'店长明细'!$E1530</x:f>
        <x:v>833</x:v>
      </x:c>
      <x:c r="P141" s="10" t="n">
        <x:f>'店长明细'!$D1530</x:f>
        <x:v>564</x:v>
      </x:c>
      <x:c r="Q141" s="10" t="n">
        <x:f>'店长明细'!$E1762</x:f>
        <x:v>29</x:v>
      </x:c>
      <x:c r="R141" s="10" t="n">
        <x:f>'店长明细'!$D1762</x:f>
        <x:v>15</x:v>
      </x:c>
      <x:c r="S141" s="10" t="n">
        <x:f>'店长明细'!$E1994</x:f>
        <x:v>16</x:v>
      </x:c>
      <x:c r="T141" s="10" t="n">
        <x:f>'店长明细'!$D1994</x:f>
        <x:v>7</x:v>
      </x:c>
      <x:c r="U141" s="10" t="n">
        <x:f>'店长明细'!$E2226</x:f>
        <x:v>57</x:v>
      </x:c>
      <x:c r="V141" s="10" t="n">
        <x:f>'店长明细'!$D2226</x:f>
        <x:v>40</x:v>
      </x:c>
      <x:c r="W141" s="11" t="n">
        <x:f>'店长明细'!$F138</x:f>
        <x:v>1326.83</x:v>
      </x:c>
      <x:c r="X141" s="11" t="n">
        <x:f>'店长明细'!$F370</x:f>
        <x:v>10385.24</x:v>
      </x:c>
      <x:c r="Y141" s="11" t="n">
        <x:f>'店长明细'!$F602</x:f>
        <x:v>11813.46</x:v>
      </x:c>
      <x:c r="Z141" s="11" t="n">
        <x:f>'店长明细'!$F834</x:f>
        <x:v>11045.77</x:v>
      </x:c>
      <x:c r="AA141" s="11" t="n">
        <x:f>'店长明细'!$F1066</x:f>
        <x:v>66.6</x:v>
      </x:c>
      <x:c r="AB141" s="11" t="n">
        <x:f>'店长明细'!$F1298</x:f>
        <x:v>2154.92</x:v>
      </x:c>
      <x:c r="AC141" s="11" t="n">
        <x:f>'店长明细'!$F1530</x:f>
        <x:v>8429.15</x:v>
      </x:c>
      <x:c r="AD141" s="11" t="n">
        <x:f>'店长明细'!$F1762</x:f>
        <x:v>553.69</x:v>
      </x:c>
      <x:c r="AE141" s="11" t="n">
        <x:f>'店长明细'!$F1994</x:f>
        <x:v>528.82</x:v>
      </x:c>
      <x:c r="AF141" s="11" t="n">
        <x:f>'店长明细'!$F2226</x:f>
        <x:v>826.41</x:v>
      </x:c>
    </x:row>
    <x:row r="142">
      <x:c r="A142" t="str">
        <x:f>TEXT($B142,"mm-dd")</x:f>
        <x:v>05-18</x:v>
      </x:c>
      <x:c r="B142" s="9" t="n">
        <x:f>'店长明细'!$C139</x:f>
        <x:v>46160</x:v>
      </x:c>
      <x:c r="C142" s="10" t="n">
        <x:f>'店长明细'!$E139</x:f>
        <x:v>143</x:v>
      </x:c>
      <x:c r="D142" s="10" t="n">
        <x:f>'店长明细'!$D139</x:f>
        <x:v>108</x:v>
      </x:c>
      <x:c r="E142" s="10" t="n">
        <x:f>'店长明细'!$E371</x:f>
        <x:v>798</x:v>
      </x:c>
      <x:c r="F142" s="10" t="n">
        <x:f>'店长明细'!$D371</x:f>
        <x:v>550</x:v>
      </x:c>
      <x:c r="G142" s="10" t="n">
        <x:f>'店长明细'!$E603</x:f>
        <x:v>1296</x:v>
      </x:c>
      <x:c r="H142" s="10" t="n">
        <x:f>'店长明细'!$D603</x:f>
        <x:v>710</x:v>
      </x:c>
      <x:c r="I142" s="10" t="n">
        <x:f>'店长明细'!$E835</x:f>
        <x:v>1343</x:v>
      </x:c>
      <x:c r="J142" s="10" t="n">
        <x:f>'店长明细'!$D835</x:f>
        <x:v>743</x:v>
      </x:c>
      <x:c r="K142" s="10" t="n">
        <x:f>'店长明细'!$E1067</x:f>
        <x:v>0</x:v>
      </x:c>
      <x:c r="L142" s="10" t="n">
        <x:f>'店长明细'!$D1067</x:f>
        <x:v>0</x:v>
      </x:c>
      <x:c r="M142" s="10" t="n">
        <x:f>'店长明细'!$E1299</x:f>
        <x:v>241</x:v>
      </x:c>
      <x:c r="N142" s="10" t="n">
        <x:f>'店长明细'!$D1299</x:f>
        <x:v>156</x:v>
      </x:c>
      <x:c r="O142" s="10" t="n">
        <x:f>'店长明细'!$E1531</x:f>
        <x:v>697</x:v>
      </x:c>
      <x:c r="P142" s="10" t="n">
        <x:f>'店长明细'!$D1531</x:f>
        <x:v>441</x:v>
      </x:c>
      <x:c r="Q142" s="10" t="n">
        <x:f>'店长明细'!$E1763</x:f>
        <x:v>21</x:v>
      </x:c>
      <x:c r="R142" s="10" t="n">
        <x:f>'店长明细'!$D1763</x:f>
        <x:v>7</x:v>
      </x:c>
      <x:c r="S142" s="10" t="n">
        <x:f>'店长明细'!$E1995</x:f>
        <x:v>1</x:v>
      </x:c>
      <x:c r="T142" s="10" t="n">
        <x:f>'店长明细'!$D1995</x:f>
        <x:v>1</x:v>
      </x:c>
      <x:c r="U142" s="10" t="n">
        <x:f>'店长明细'!$E2227</x:f>
        <x:v>88</x:v>
      </x:c>
      <x:c r="V142" s="10" t="n">
        <x:f>'店长明细'!$D2227</x:f>
        <x:v>44</x:v>
      </x:c>
      <x:c r="W142" s="11" t="n">
        <x:f>'店长明细'!$F139</x:f>
        <x:v>1392.78</x:v>
      </x:c>
      <x:c r="X142" s="11" t="n">
        <x:f>'店长明细'!$F371</x:f>
        <x:v>7894.13</x:v>
      </x:c>
      <x:c r="Y142" s="11" t="n">
        <x:f>'店长明细'!$F603</x:f>
        <x:v>9600.53</x:v>
      </x:c>
      <x:c r="Z142" s="11" t="n">
        <x:f>'店长明细'!$F835</x:f>
        <x:v>11386.02</x:v>
      </x:c>
      <x:c r="AA142" s="11" t="n">
        <x:f>'店长明细'!$F1067</x:f>
        <x:v>0</x:v>
      </x:c>
      <x:c r="AB142" s="11" t="n">
        <x:f>'店长明细'!$F1299</x:f>
        <x:v>2473.01</x:v>
      </x:c>
      <x:c r="AC142" s="11" t="n">
        <x:f>'店长明细'!$F1531</x:f>
        <x:v>7293.56</x:v>
      </x:c>
      <x:c r="AD142" s="11" t="n">
        <x:f>'店长明细'!$F1763</x:f>
        <x:v>110.93</x:v>
      </x:c>
      <x:c r="AE142" s="11" t="n">
        <x:f>'店长明细'!$F1995</x:f>
        <x:v>43.4</x:v>
      </x:c>
      <x:c r="AF142" s="11" t="n">
        <x:f>'店长明细'!$F2227</x:f>
        <x:v>1048.45</x:v>
      </x:c>
    </x:row>
    <x:row r="143">
      <x:c r="A143" t="str">
        <x:f>TEXT($B143,"mm-dd")</x:f>
        <x:v>05-19</x:v>
      </x:c>
      <x:c r="B143" s="9" t="n">
        <x:f>'店长明细'!$C140</x:f>
        <x:v>46161</x:v>
      </x:c>
      <x:c r="C143" s="10" t="n">
        <x:f>'店长明细'!$E140</x:f>
        <x:v>160</x:v>
      </x:c>
      <x:c r="D143" s="10" t="n">
        <x:f>'店长明细'!$D140</x:f>
        <x:v>110</x:v>
      </x:c>
      <x:c r="E143" s="10" t="n">
        <x:f>'店长明细'!$E372</x:f>
        <x:v>852</x:v>
      </x:c>
      <x:c r="F143" s="10" t="n">
        <x:f>'店长明细'!$D372</x:f>
        <x:v>601</x:v>
      </x:c>
      <x:c r="G143" s="10" t="n">
        <x:f>'店长明细'!$E604</x:f>
        <x:v>1716</x:v>
      </x:c>
      <x:c r="H143" s="10" t="n">
        <x:f>'店长明细'!$D604</x:f>
        <x:v>1064</x:v>
      </x:c>
      <x:c r="I143" s="10" t="n">
        <x:f>'店长明细'!$E836</x:f>
        <x:v>1212</x:v>
      </x:c>
      <x:c r="J143" s="10" t="n">
        <x:f>'店长明细'!$D836</x:f>
        <x:v>675</x:v>
      </x:c>
      <x:c r="K143" s="10" t="n">
        <x:f>'店长明细'!$E1068</x:f>
        <x:v>2</x:v>
      </x:c>
      <x:c r="L143" s="10" t="n">
        <x:f>'店长明细'!$D1068</x:f>
        <x:v>2</x:v>
      </x:c>
      <x:c r="M143" s="10" t="n">
        <x:f>'店长明细'!$E1300</x:f>
        <x:v>162</x:v>
      </x:c>
      <x:c r="N143" s="10" t="n">
        <x:f>'店长明细'!$D1300</x:f>
        <x:v>112</x:v>
      </x:c>
      <x:c r="O143" s="10" t="n">
        <x:f>'店长明细'!$E1532</x:f>
        <x:v>826</x:v>
      </x:c>
      <x:c r="P143" s="10" t="n">
        <x:f>'店长明细'!$D1532</x:f>
        <x:v>537</x:v>
      </x:c>
      <x:c r="Q143" s="10" t="n">
        <x:f>'店长明细'!$E1764</x:f>
        <x:v>25</x:v>
      </x:c>
      <x:c r="R143" s="10" t="n">
        <x:f>'店长明细'!$D1764</x:f>
        <x:v>20</x:v>
      </x:c>
      <x:c r="S143" s="10" t="n">
        <x:f>'店长明细'!$E1996</x:f>
        <x:v>22</x:v>
      </x:c>
      <x:c r="T143" s="10" t="n">
        <x:f>'店长明细'!$D1996</x:f>
        <x:v>21</x:v>
      </x:c>
      <x:c r="U143" s="10" t="n">
        <x:f>'店长明细'!$E2228</x:f>
        <x:v>161</x:v>
      </x:c>
      <x:c r="V143" s="10" t="n">
        <x:f>'店长明细'!$D2228</x:f>
        <x:v>68</x:v>
      </x:c>
      <x:c r="W143" s="11" t="n">
        <x:f>'店长明细'!$F140</x:f>
        <x:v>1355.05</x:v>
      </x:c>
      <x:c r="X143" s="11" t="n">
        <x:f>'店长明细'!$F372</x:f>
        <x:v>8343.66</x:v>
      </x:c>
      <x:c r="Y143" s="11" t="n">
        <x:f>'店长明细'!$F604</x:f>
        <x:v>13227.28</x:v>
      </x:c>
      <x:c r="Z143" s="11" t="n">
        <x:f>'店长明细'!$F836</x:f>
        <x:v>10221.05</x:v>
      </x:c>
      <x:c r="AA143" s="11" t="n">
        <x:f>'店长明细'!$F1068</x:f>
        <x:v>14.8</x:v>
      </x:c>
      <x:c r="AB143" s="11" t="n">
        <x:f>'店长明细'!$F1300</x:f>
        <x:v>1826</x:v>
      </x:c>
      <x:c r="AC143" s="11" t="n">
        <x:f>'店长明细'!$F1532</x:f>
        <x:v>8268.91</x:v>
      </x:c>
      <x:c r="AD143" s="11" t="n">
        <x:f>'店长明细'!$F1764</x:f>
        <x:v>733.97</x:v>
      </x:c>
      <x:c r="AE143" s="11" t="n">
        <x:f>'店长明细'!$F1996</x:f>
        <x:v>963.4</x:v>
      </x:c>
      <x:c r="AF143" s="11" t="n">
        <x:f>'店长明细'!$F2228</x:f>
        <x:v>857.06</x:v>
      </x:c>
    </x:row>
    <x:row r="144">
      <x:c r="A144" t="str">
        <x:f>TEXT($B144,"mm-dd")</x:f>
        <x:v>05-20</x:v>
      </x:c>
      <x:c r="B144" s="9" t="n">
        <x:f>'店长明细'!$C141</x:f>
        <x:v>46162</x:v>
      </x:c>
      <x:c r="C144" s="10" t="n">
        <x:f>'店长明细'!$E141</x:f>
        <x:v>146</x:v>
      </x:c>
      <x:c r="D144" s="10" t="n">
        <x:f>'店长明细'!$D141</x:f>
        <x:v>79</x:v>
      </x:c>
      <x:c r="E144" s="10" t="n">
        <x:f>'店长明细'!$E373</x:f>
        <x:v>1163</x:v>
      </x:c>
      <x:c r="F144" s="10" t="n">
        <x:f>'店长明细'!$D373</x:f>
        <x:v>565</x:v>
      </x:c>
      <x:c r="G144" s="10" t="n">
        <x:f>'店长明细'!$E605</x:f>
        <x:v>1893</x:v>
      </x:c>
      <x:c r="H144" s="10" t="n">
        <x:f>'店长明细'!$D605</x:f>
        <x:v>1085</x:v>
      </x:c>
      <x:c r="I144" s="10" t="n">
        <x:f>'店长明细'!$E837</x:f>
        <x:v>1136</x:v>
      </x:c>
      <x:c r="J144" s="10" t="n">
        <x:f>'店长明细'!$D837</x:f>
        <x:v>652</x:v>
      </x:c>
      <x:c r="K144" s="10" t="n">
        <x:f>'店长明细'!$E1069</x:f>
        <x:v>0</x:v>
      </x:c>
      <x:c r="L144" s="10" t="n">
        <x:f>'店长明细'!$D1069</x:f>
        <x:v>0</x:v>
      </x:c>
      <x:c r="M144" s="10" t="n">
        <x:f>'店长明细'!$E1301</x:f>
        <x:v>198</x:v>
      </x:c>
      <x:c r="N144" s="10" t="n">
        <x:f>'店长明细'!$D1301</x:f>
        <x:v>130</x:v>
      </x:c>
      <x:c r="O144" s="10" t="n">
        <x:f>'店长明细'!$E1533</x:f>
        <x:v>787</x:v>
      </x:c>
      <x:c r="P144" s="10" t="n">
        <x:f>'店长明细'!$D1533</x:f>
        <x:v>504</x:v>
      </x:c>
      <x:c r="Q144" s="10" t="n">
        <x:f>'店长明细'!$E1765</x:f>
        <x:v>32</x:v>
      </x:c>
      <x:c r="R144" s="10" t="n">
        <x:f>'店长明细'!$D1765</x:f>
        <x:v>16</x:v>
      </x:c>
      <x:c r="S144" s="10" t="n">
        <x:f>'店长明细'!$E1997</x:f>
        <x:v>25</x:v>
      </x:c>
      <x:c r="T144" s="10" t="n">
        <x:f>'店长明细'!$D1997</x:f>
        <x:v>23</x:v>
      </x:c>
      <x:c r="U144" s="10" t="n">
        <x:f>'店长明细'!$E2229</x:f>
        <x:v>98</x:v>
      </x:c>
      <x:c r="V144" s="10" t="n">
        <x:f>'店长明细'!$D2229</x:f>
        <x:v>61</x:v>
      </x:c>
      <x:c r="W144" s="11" t="n">
        <x:f>'店长明细'!$F141</x:f>
        <x:v>1394.69</x:v>
      </x:c>
      <x:c r="X144" s="11" t="n">
        <x:f>'店长明细'!$F373</x:f>
        <x:v>9759.53</x:v>
      </x:c>
      <x:c r="Y144" s="11" t="n">
        <x:f>'店长明细'!$F605</x:f>
        <x:v>13523.39</x:v>
      </x:c>
      <x:c r="Z144" s="11" t="n">
        <x:f>'店长明细'!$F837</x:f>
        <x:v>9391.42</x:v>
      </x:c>
      <x:c r="AA144" s="11" t="n">
        <x:f>'店长明细'!$F1069</x:f>
        <x:v>0</x:v>
      </x:c>
      <x:c r="AB144" s="11" t="n">
        <x:f>'店长明细'!$F1301</x:f>
        <x:v>2007.31</x:v>
      </x:c>
      <x:c r="AC144" s="11" t="n">
        <x:f>'店长明细'!$F1533</x:f>
        <x:v>7696.35</x:v>
      </x:c>
      <x:c r="AD144" s="11" t="n">
        <x:f>'店长明细'!$F1765</x:f>
        <x:v>570.83</x:v>
      </x:c>
      <x:c r="AE144" s="11" t="n">
        <x:f>'店长明细'!$F1997</x:f>
        <x:v>1131.03</x:v>
      </x:c>
      <x:c r="AF144" s="11" t="n">
        <x:f>'店长明细'!$F2229</x:f>
        <x:v>1184.52</x:v>
      </x:c>
    </x:row>
    <x:row r="145">
      <x:c r="A145" t="str">
        <x:f>TEXT($B145,"mm-dd")</x:f>
        <x:v>05-21</x:v>
      </x:c>
      <x:c r="B145" s="9" t="n">
        <x:f>'店长明细'!$C142</x:f>
        <x:v>46163</x:v>
      </x:c>
      <x:c r="C145" s="10" t="n">
        <x:f>'店长明细'!$E142</x:f>
        <x:v>106</x:v>
      </x:c>
      <x:c r="D145" s="10" t="n">
        <x:f>'店长明细'!$D142</x:f>
        <x:v>82</x:v>
      </x:c>
      <x:c r="E145" s="10" t="n">
        <x:f>'店长明细'!$E374</x:f>
        <x:v>884</x:v>
      </x:c>
      <x:c r="F145" s="10" t="n">
        <x:f>'店长明细'!$D374</x:f>
        <x:v>606</x:v>
      </x:c>
      <x:c r="G145" s="10" t="n">
        <x:f>'店长明细'!$E606</x:f>
        <x:v>1694</x:v>
      </x:c>
      <x:c r="H145" s="10" t="n">
        <x:f>'店长明细'!$D606</x:f>
        <x:v>1045</x:v>
      </x:c>
      <x:c r="I145" s="10" t="n">
        <x:f>'店长明细'!$E838</x:f>
        <x:v>1215</x:v>
      </x:c>
      <x:c r="J145" s="10" t="n">
        <x:f>'店长明细'!$D838</x:f>
        <x:v>609</x:v>
      </x:c>
      <x:c r="K145" s="10" t="n">
        <x:f>'店长明细'!$E1070</x:f>
        <x:v>0</x:v>
      </x:c>
      <x:c r="L145" s="10" t="n">
        <x:f>'店长明细'!$D1070</x:f>
        <x:v>0</x:v>
      </x:c>
      <x:c r="M145" s="10" t="n">
        <x:f>'店长明细'!$E1302</x:f>
        <x:v>227</x:v>
      </x:c>
      <x:c r="N145" s="10" t="n">
        <x:f>'店长明细'!$D1302</x:f>
        <x:v>140</x:v>
      </x:c>
      <x:c r="O145" s="10" t="n">
        <x:f>'店长明细'!$E1534</x:f>
        <x:v>569</x:v>
      </x:c>
      <x:c r="P145" s="10" t="n">
        <x:f>'店长明细'!$D1534</x:f>
        <x:v>409</x:v>
      </x:c>
      <x:c r="Q145" s="10" t="n">
        <x:f>'店长明细'!$E1766</x:f>
        <x:v>32</x:v>
      </x:c>
      <x:c r="R145" s="10" t="n">
        <x:f>'店长明细'!$D1766</x:f>
        <x:v>21</x:v>
      </x:c>
      <x:c r="S145" s="10" t="n">
        <x:f>'店长明细'!$E1998</x:f>
        <x:v>10</x:v>
      </x:c>
      <x:c r="T145" s="10" t="n">
        <x:f>'店长明细'!$D1998</x:f>
        <x:v>10</x:v>
      </x:c>
      <x:c r="U145" s="10" t="n">
        <x:f>'店长明细'!$E2230</x:f>
        <x:v>51</x:v>
      </x:c>
      <x:c r="V145" s="10" t="n">
        <x:f>'店长明细'!$D2230</x:f>
        <x:v>34</x:v>
      </x:c>
      <x:c r="W145" s="11" t="n">
        <x:f>'店长明细'!$F142</x:f>
        <x:v>1077.77</x:v>
      </x:c>
      <x:c r="X145" s="11" t="n">
        <x:f>'店长明细'!$F374</x:f>
        <x:v>8282.21</x:v>
      </x:c>
      <x:c r="Y145" s="11" t="n">
        <x:f>'店长明细'!$F606</x:f>
        <x:v>13199.92</x:v>
      </x:c>
      <x:c r="Z145" s="11" t="n">
        <x:f>'店长明细'!$F838</x:f>
        <x:v>9491.37</x:v>
      </x:c>
      <x:c r="AA145" s="11" t="n">
        <x:f>'店长明细'!$F1070</x:f>
        <x:v>0</x:v>
      </x:c>
      <x:c r="AB145" s="11" t="n">
        <x:f>'店长明细'!$F1302</x:f>
        <x:v>2366.38</x:v>
      </x:c>
      <x:c r="AC145" s="11" t="n">
        <x:f>'店长明细'!$F1534</x:f>
        <x:v>5898.59</x:v>
      </x:c>
      <x:c r="AD145" s="11" t="n">
        <x:f>'店长明细'!$F1766</x:f>
        <x:v>702.23</x:v>
      </x:c>
      <x:c r="AE145" s="11" t="n">
        <x:f>'店长明细'!$F1998</x:f>
        <x:v>378</x:v>
      </x:c>
      <x:c r="AF145" s="11" t="n">
        <x:f>'店长明细'!$F2230</x:f>
        <x:v>708.81</x:v>
      </x:c>
    </x:row>
    <x:row r="146">
      <x:c r="A146" t="str">
        <x:f>TEXT($B146,"mm-dd")</x:f>
        <x:v>05-22</x:v>
      </x:c>
      <x:c r="B146" s="9" t="n">
        <x:f>'店长明细'!$C143</x:f>
        <x:v>46164</x:v>
      </x:c>
      <x:c r="C146" s="10" t="n">
        <x:f>'店长明细'!$E143</x:f>
        <x:v>93</x:v>
      </x:c>
      <x:c r="D146" s="10" t="n">
        <x:f>'店长明细'!$D143</x:f>
        <x:v>71</x:v>
      </x:c>
      <x:c r="E146" s="10" t="n">
        <x:f>'店长明细'!$E375</x:f>
        <x:v>977</x:v>
      </x:c>
      <x:c r="F146" s="10" t="n">
        <x:f>'店长明细'!$D375</x:f>
        <x:v>637</x:v>
      </x:c>
      <x:c r="G146" s="10" t="n">
        <x:f>'店长明细'!$E607</x:f>
        <x:v>1656</x:v>
      </x:c>
      <x:c r="H146" s="10" t="n">
        <x:f>'店长明细'!$D607</x:f>
        <x:v>1028</x:v>
      </x:c>
      <x:c r="I146" s="10" t="n">
        <x:f>'店长明细'!$E839</x:f>
        <x:v>1449</x:v>
      </x:c>
      <x:c r="J146" s="10" t="n">
        <x:f>'店长明细'!$D839</x:f>
        <x:v>701</x:v>
      </x:c>
      <x:c r="K146" s="10" t="n">
        <x:f>'店长明细'!$E1071</x:f>
        <x:v>0</x:v>
      </x:c>
      <x:c r="L146" s="10" t="n">
        <x:f>'店长明细'!$D1071</x:f>
        <x:v>0</x:v>
      </x:c>
      <x:c r="M146" s="10" t="n">
        <x:f>'店长明细'!$E1303</x:f>
        <x:v>260</x:v>
      </x:c>
      <x:c r="N146" s="10" t="n">
        <x:f>'店长明细'!$D1303</x:f>
        <x:v>173</x:v>
      </x:c>
      <x:c r="O146" s="10" t="n">
        <x:f>'店长明细'!$E1535</x:f>
        <x:v>768</x:v>
      </x:c>
      <x:c r="P146" s="10" t="n">
        <x:f>'店长明细'!$D1535</x:f>
        <x:v>506</x:v>
      </x:c>
      <x:c r="Q146" s="10" t="n">
        <x:f>'店长明细'!$E1767</x:f>
        <x:v>55</x:v>
      </x:c>
      <x:c r="R146" s="10" t="n">
        <x:f>'店长明细'!$D1767</x:f>
        <x:v>53</x:v>
      </x:c>
      <x:c r="S146" s="10" t="n">
        <x:f>'店长明细'!$E1999</x:f>
        <x:v>28</x:v>
      </x:c>
      <x:c r="T146" s="10" t="n">
        <x:f>'店长明细'!$D1999</x:f>
        <x:v>27</x:v>
      </x:c>
      <x:c r="U146" s="10" t="n">
        <x:f>'店长明细'!$E2231</x:f>
        <x:v>39</x:v>
      </x:c>
      <x:c r="V146" s="10" t="n">
        <x:f>'店长明细'!$D2231</x:f>
        <x:v>26</x:v>
      </x:c>
      <x:c r="W146" s="11" t="n">
        <x:f>'店长明细'!$F143</x:f>
        <x:v>919.48</x:v>
      </x:c>
      <x:c r="X146" s="11" t="n">
        <x:f>'店长明细'!$F375</x:f>
        <x:v>8664.45</x:v>
      </x:c>
      <x:c r="Y146" s="11" t="n">
        <x:f>'店长明细'!$F607</x:f>
        <x:v>12295.92</x:v>
      </x:c>
      <x:c r="Z146" s="11" t="n">
        <x:f>'店长明细'!$F839</x:f>
        <x:v>10811.08</x:v>
      </x:c>
      <x:c r="AA146" s="11" t="n">
        <x:f>'店长明细'!$F1071</x:f>
        <x:v>0</x:v>
      </x:c>
      <x:c r="AB146" s="11" t="n">
        <x:f>'店长明细'!$F1303</x:f>
        <x:v>2409.65</x:v>
      </x:c>
      <x:c r="AC146" s="11" t="n">
        <x:f>'店长明细'!$F1535</x:f>
        <x:v>8236.62</x:v>
      </x:c>
      <x:c r="AD146" s="11" t="n">
        <x:f>'店长明细'!$F1767</x:f>
        <x:v>1283.96</x:v>
      </x:c>
      <x:c r="AE146" s="11" t="n">
        <x:f>'店长明细'!$F1999</x:f>
        <x:v>959.57</x:v>
      </x:c>
      <x:c r="AF146" s="11" t="n">
        <x:f>'店长明细'!$F2231</x:f>
        <x:v>608.81</x:v>
      </x:c>
    </x:row>
    <x:row r="147">
      <x:c r="A147" t="str">
        <x:f>TEXT($B147,"mm-dd")</x:f>
        <x:v>05-23</x:v>
      </x:c>
      <x:c r="B147" s="9" t="n">
        <x:f>'店长明细'!$C144</x:f>
        <x:v>46165</x:v>
      </x:c>
      <x:c r="C147" s="10" t="n">
        <x:f>'店长明细'!$E144</x:f>
        <x:v>128</x:v>
      </x:c>
      <x:c r="D147" s="10" t="n">
        <x:f>'店长明细'!$D144</x:f>
        <x:v>99</x:v>
      </x:c>
      <x:c r="E147" s="10" t="n">
        <x:f>'店长明细'!$E376</x:f>
        <x:v>991</x:v>
      </x:c>
      <x:c r="F147" s="10" t="n">
        <x:f>'店长明细'!$D376</x:f>
        <x:v>688</x:v>
      </x:c>
      <x:c r="G147" s="10" t="n">
        <x:f>'店长明细'!$E608</x:f>
        <x:v>1611</x:v>
      </x:c>
      <x:c r="H147" s="10" t="n">
        <x:f>'店长明细'!$D608</x:f>
        <x:v>1044</x:v>
      </x:c>
      <x:c r="I147" s="10" t="n">
        <x:f>'店长明细'!$E840</x:f>
        <x:v>1413</x:v>
      </x:c>
      <x:c r="J147" s="10" t="n">
        <x:f>'店长明细'!$D840</x:f>
        <x:v>745</x:v>
      </x:c>
      <x:c r="K147" s="10" t="n">
        <x:f>'店长明细'!$E1072</x:f>
        <x:v>3</x:v>
      </x:c>
      <x:c r="L147" s="10" t="n">
        <x:f>'店长明细'!$D1072</x:f>
        <x:v>2</x:v>
      </x:c>
      <x:c r="M147" s="10" t="n">
        <x:f>'店长明细'!$E1304</x:f>
        <x:v>504</x:v>
      </x:c>
      <x:c r="N147" s="10" t="n">
        <x:f>'店长明细'!$D1304</x:f>
        <x:v>408</x:v>
      </x:c>
      <x:c r="O147" s="10" t="n">
        <x:f>'店长明细'!$E1536</x:f>
        <x:v>680</x:v>
      </x:c>
      <x:c r="P147" s="10" t="n">
        <x:f>'店长明细'!$D1536</x:f>
        <x:v>459</x:v>
      </x:c>
      <x:c r="Q147" s="10" t="n">
        <x:f>'店长明细'!$E1768</x:f>
        <x:v>34</x:v>
      </x:c>
      <x:c r="R147" s="10" t="n">
        <x:f>'店长明细'!$D1768</x:f>
        <x:v>23</x:v>
      </x:c>
      <x:c r="S147" s="10" t="n">
        <x:f>'店长明细'!$E2000</x:f>
        <x:v>11</x:v>
      </x:c>
      <x:c r="T147" s="10" t="n">
        <x:f>'店长明细'!$D2000</x:f>
        <x:v>11</x:v>
      </x:c>
      <x:c r="U147" s="10" t="n">
        <x:f>'店长明细'!$E2232</x:f>
        <x:v>31</x:v>
      </x:c>
      <x:c r="V147" s="10" t="n">
        <x:f>'店长明细'!$D2232</x:f>
        <x:v>17</x:v>
      </x:c>
      <x:c r="W147" s="11" t="n">
        <x:f>'店长明细'!$F144</x:f>
        <x:v>1350.18</x:v>
      </x:c>
      <x:c r="X147" s="11" t="n">
        <x:f>'店长明细'!$F376</x:f>
        <x:v>9161.43</x:v>
      </x:c>
      <x:c r="Y147" s="11" t="n">
        <x:f>'店长明细'!$F608</x:f>
        <x:v>12747.78</x:v>
      </x:c>
      <x:c r="Z147" s="11" t="n">
        <x:f>'店长明细'!$F840</x:f>
        <x:v>11758.42</x:v>
      </x:c>
      <x:c r="AA147" s="11" t="n">
        <x:f>'店长明细'!$F1072</x:f>
        <x:v>20.82</x:v>
      </x:c>
      <x:c r="AB147" s="11" t="n">
        <x:f>'店长明细'!$F1304</x:f>
        <x:v>5466.42</x:v>
      </x:c>
      <x:c r="AC147" s="11" t="n">
        <x:f>'店长明细'!$F1536</x:f>
        <x:v>7311.27</x:v>
      </x:c>
      <x:c r="AD147" s="11" t="n">
        <x:f>'店长明细'!$F1768</x:f>
        <x:v>1042.2</x:v>
      </x:c>
      <x:c r="AE147" s="11" t="n">
        <x:f>'店长明细'!$F2000</x:f>
        <x:v>454.93</x:v>
      </x:c>
      <x:c r="AF147" s="11" t="n">
        <x:f>'店长明细'!$F2232</x:f>
        <x:v>480.28</x:v>
      </x:c>
    </x:row>
    <x:row r="148">
      <x:c r="A148" t="str">
        <x:f>TEXT($B148,"mm-dd")</x:f>
        <x:v>05-24</x:v>
      </x:c>
      <x:c r="B148" s="9" t="n">
        <x:f>'店长明细'!$C145</x:f>
        <x:v>46166</x:v>
      </x:c>
      <x:c r="C148" s="10" t="n">
        <x:f>'店长明细'!$E145</x:f>
        <x:v>119</x:v>
      </x:c>
      <x:c r="D148" s="10" t="n">
        <x:f>'店长明细'!$D145</x:f>
        <x:v>92</x:v>
      </x:c>
      <x:c r="E148" s="10" t="n">
        <x:f>'店长明细'!$E377</x:f>
        <x:v>817</x:v>
      </x:c>
      <x:c r="F148" s="10" t="n">
        <x:f>'店长明细'!$D377</x:f>
        <x:v>560</x:v>
      </x:c>
      <x:c r="G148" s="10" t="n">
        <x:f>'店长明细'!$E609</x:f>
        <x:v>1770</x:v>
      </x:c>
      <x:c r="H148" s="10" t="n">
        <x:f>'店长明细'!$D609</x:f>
        <x:v>1071</x:v>
      </x:c>
      <x:c r="I148" s="10" t="n">
        <x:f>'店长明细'!$E841</x:f>
        <x:v>1202</x:v>
      </x:c>
      <x:c r="J148" s="10" t="n">
        <x:f>'店长明细'!$D841</x:f>
        <x:v>652</x:v>
      </x:c>
      <x:c r="K148" s="10" t="n">
        <x:f>'店长明细'!$E1073</x:f>
        <x:v>1</x:v>
      </x:c>
      <x:c r="L148" s="10" t="n">
        <x:f>'店长明细'!$D1073</x:f>
        <x:v>1</x:v>
      </x:c>
      <x:c r="M148" s="10" t="n">
        <x:f>'店长明细'!$E1305</x:f>
        <x:v>277</x:v>
      </x:c>
      <x:c r="N148" s="10" t="n">
        <x:f>'店长明细'!$D1305</x:f>
        <x:v>185</x:v>
      </x:c>
      <x:c r="O148" s="10" t="n">
        <x:f>'店长明细'!$E1537</x:f>
        <x:v>514</x:v>
      </x:c>
      <x:c r="P148" s="10" t="n">
        <x:f>'店长明细'!$D1537</x:f>
        <x:v>369</x:v>
      </x:c>
      <x:c r="Q148" s="10" t="n">
        <x:f>'店长明细'!$E1769</x:f>
        <x:v>25</x:v>
      </x:c>
      <x:c r="R148" s="10" t="n">
        <x:f>'店长明细'!$D1769</x:f>
        <x:v>21</x:v>
      </x:c>
      <x:c r="S148" s="10" t="n">
        <x:f>'店长明细'!$E2001</x:f>
        <x:v>14</x:v>
      </x:c>
      <x:c r="T148" s="10" t="n">
        <x:f>'店长明细'!$D2001</x:f>
        <x:v>12</x:v>
      </x:c>
      <x:c r="U148" s="10" t="n">
        <x:f>'店长明细'!$E2233</x:f>
        <x:v>44</x:v>
      </x:c>
      <x:c r="V148" s="10" t="n">
        <x:f>'店长明细'!$D2233</x:f>
        <x:v>22</x:v>
      </x:c>
      <x:c r="W148" s="11" t="n">
        <x:f>'店长明细'!$F145</x:f>
        <x:v>1191.98</x:v>
      </x:c>
      <x:c r="X148" s="11" t="n">
        <x:f>'店长明细'!$F377</x:f>
        <x:v>7708.05</x:v>
      </x:c>
      <x:c r="Y148" s="11" t="n">
        <x:f>'店长明细'!$F609</x:f>
        <x:v>12352.48</x:v>
      </x:c>
      <x:c r="Z148" s="11" t="n">
        <x:f>'店长明细'!$F841</x:f>
        <x:v>10431.85</x:v>
      </x:c>
      <x:c r="AA148" s="11" t="n">
        <x:f>'店长明细'!$F1073</x:f>
        <x:v>24.3</x:v>
      </x:c>
      <x:c r="AB148" s="11" t="n">
        <x:f>'店长明细'!$F1305</x:f>
        <x:v>2711.74</x:v>
      </x:c>
      <x:c r="AC148" s="11" t="n">
        <x:f>'店长明细'!$F1537</x:f>
        <x:v>5982.19</x:v>
      </x:c>
      <x:c r="AD148" s="11" t="n">
        <x:f>'店长明细'!$F1769</x:f>
        <x:v>884.36</x:v>
      </x:c>
      <x:c r="AE148" s="11" t="n">
        <x:f>'店长明细'!$F2001</x:f>
        <x:v>646.42</x:v>
      </x:c>
      <x:c r="AF148" s="11" t="n">
        <x:f>'店长明细'!$F2233</x:f>
        <x:v>623.37</x:v>
      </x:c>
    </x:row>
    <x:row r="149">
      <x:c r="A149" t="str">
        <x:f>TEXT($B149,"mm-dd")</x:f>
        <x:v>05-25</x:v>
      </x:c>
      <x:c r="B149" s="9" t="n">
        <x:f>'店长明细'!$C146</x:f>
        <x:v>46167</x:v>
      </x:c>
      <x:c r="C149" s="10" t="n">
        <x:f>'店长明细'!$E146</x:f>
        <x:v>145</x:v>
      </x:c>
      <x:c r="D149" s="10" t="n">
        <x:f>'店长明细'!$D146</x:f>
        <x:v>107</x:v>
      </x:c>
      <x:c r="E149" s="10" t="n">
        <x:f>'店长明细'!$E378</x:f>
        <x:v>963</x:v>
      </x:c>
      <x:c r="F149" s="10" t="n">
        <x:f>'店长明细'!$D378</x:f>
        <x:v>676</x:v>
      </x:c>
      <x:c r="G149" s="10" t="n">
        <x:f>'店长明细'!$E610</x:f>
        <x:v>1896</x:v>
      </x:c>
      <x:c r="H149" s="10" t="n">
        <x:f>'店长明细'!$D610</x:f>
        <x:v>1248</x:v>
      </x:c>
      <x:c r="I149" s="10" t="n">
        <x:f>'店长明细'!$E842</x:f>
        <x:v>1512</x:v>
      </x:c>
      <x:c r="J149" s="10" t="n">
        <x:f>'店长明细'!$D842</x:f>
        <x:v>818</x:v>
      </x:c>
      <x:c r="K149" s="10" t="n">
        <x:f>'店长明细'!$E1074</x:f>
        <x:v>2</x:v>
      </x:c>
      <x:c r="L149" s="10" t="n">
        <x:f>'店长明细'!$D1074</x:f>
        <x:v>1</x:v>
      </x:c>
      <x:c r="M149" s="10" t="n">
        <x:f>'店长明细'!$E1306</x:f>
        <x:v>286</x:v>
      </x:c>
      <x:c r="N149" s="10" t="n">
        <x:f>'店长明细'!$D1306</x:f>
        <x:v>197</x:v>
      </x:c>
      <x:c r="O149" s="10" t="n">
        <x:f>'店长明细'!$E1538</x:f>
        <x:v>788</x:v>
      </x:c>
      <x:c r="P149" s="10" t="n">
        <x:f>'店长明细'!$D1538</x:f>
        <x:v>590</x:v>
      </x:c>
      <x:c r="Q149" s="10" t="n">
        <x:f>'店长明细'!$E1770</x:f>
        <x:v>35</x:v>
      </x:c>
      <x:c r="R149" s="10" t="n">
        <x:f>'店长明细'!$D1770</x:f>
        <x:v>19</x:v>
      </x:c>
      <x:c r="S149" s="10" t="n">
        <x:f>'店长明细'!$E2002</x:f>
        <x:v>4</x:v>
      </x:c>
      <x:c r="T149" s="10" t="n">
        <x:f>'店长明细'!$D2002</x:f>
        <x:v>4</x:v>
      </x:c>
      <x:c r="U149" s="10" t="n">
        <x:f>'店长明细'!$E2234</x:f>
        <x:v>23</x:v>
      </x:c>
      <x:c r="V149" s="10" t="n">
        <x:f>'店长明细'!$D2234</x:f>
        <x:v>14</x:v>
      </x:c>
      <x:c r="W149" s="11" t="n">
        <x:f>'店长明细'!$F146</x:f>
        <x:v>1456.37</x:v>
      </x:c>
      <x:c r="X149" s="11" t="n">
        <x:f>'店长明细'!$F378</x:f>
        <x:v>9301.1</x:v>
      </x:c>
      <x:c r="Y149" s="11" t="n">
        <x:f>'店长明细'!$F610</x:f>
        <x:v>14319.79</x:v>
      </x:c>
      <x:c r="Z149" s="11" t="n">
        <x:f>'店长明细'!$F842</x:f>
        <x:v>13403.08</x:v>
      </x:c>
      <x:c r="AA149" s="11" t="n">
        <x:f>'店长明细'!$F1074</x:f>
        <x:v>16.97</x:v>
      </x:c>
      <x:c r="AB149" s="11" t="n">
        <x:f>'店长明细'!$F1306</x:f>
        <x:v>2855.69</x:v>
      </x:c>
      <x:c r="AC149" s="11" t="n">
        <x:f>'店长明细'!$F1538</x:f>
        <x:v>8686.24</x:v>
      </x:c>
      <x:c r="AD149" s="11" t="n">
        <x:f>'店长明细'!$F1770</x:f>
        <x:v>648.44</x:v>
      </x:c>
      <x:c r="AE149" s="11" t="n">
        <x:f>'店长明细'!$F2002</x:f>
        <x:v>200.38</x:v>
      </x:c>
      <x:c r="AF149" s="11" t="n">
        <x:f>'店长明细'!$F2234</x:f>
        <x:v>372.26</x:v>
      </x:c>
    </x:row>
    <x:row r="150">
      <x:c r="A150" t="str">
        <x:f>TEXT($B150,"mm-dd")</x:f>
        <x:v>05-26</x:v>
      </x:c>
      <x:c r="B150" s="9" t="n">
        <x:f>'店长明细'!$C147</x:f>
        <x:v>46168</x:v>
      </x:c>
      <x:c r="C150" s="10" t="n">
        <x:f>'店长明细'!$E147</x:f>
        <x:v>144</x:v>
      </x:c>
      <x:c r="D150" s="10" t="n">
        <x:f>'店长明细'!$D147</x:f>
        <x:v>105</x:v>
      </x:c>
      <x:c r="E150" s="10" t="n">
        <x:f>'店长明细'!$E379</x:f>
        <x:v>1426</x:v>
      </x:c>
      <x:c r="F150" s="10" t="n">
        <x:f>'店长明细'!$D379</x:f>
        <x:v>653</x:v>
      </x:c>
      <x:c r="G150" s="10" t="n">
        <x:f>'店长明细'!$E611</x:f>
        <x:v>1770</x:v>
      </x:c>
      <x:c r="H150" s="10" t="n">
        <x:f>'店长明细'!$D611</x:f>
        <x:v>1155</x:v>
      </x:c>
      <x:c r="I150" s="10" t="n">
        <x:f>'店长明细'!$E843</x:f>
        <x:v>1443</x:v>
      </x:c>
      <x:c r="J150" s="10" t="n">
        <x:f>'店长明细'!$D843</x:f>
        <x:v>764</x:v>
      </x:c>
      <x:c r="K150" s="10" t="n">
        <x:f>'店长明细'!$E1075</x:f>
        <x:v>1</x:v>
      </x:c>
      <x:c r="L150" s="10" t="n">
        <x:f>'店长明细'!$D1075</x:f>
        <x:v>1</x:v>
      </x:c>
      <x:c r="M150" s="10" t="n">
        <x:f>'店长明细'!$E1307</x:f>
        <x:v>272</x:v>
      </x:c>
      <x:c r="N150" s="10" t="n">
        <x:f>'店长明细'!$D1307</x:f>
        <x:v>184</x:v>
      </x:c>
      <x:c r="O150" s="10" t="n">
        <x:f>'店长明细'!$E1539</x:f>
        <x:v>794</x:v>
      </x:c>
      <x:c r="P150" s="10" t="n">
        <x:f>'店长明细'!$D1539</x:f>
        <x:v>559</x:v>
      </x:c>
      <x:c r="Q150" s="10" t="n">
        <x:f>'店长明细'!$E1771</x:f>
        <x:v>27</x:v>
      </x:c>
      <x:c r="R150" s="10" t="n">
        <x:f>'店长明细'!$D1771</x:f>
        <x:v>18</x:v>
      </x:c>
      <x:c r="S150" s="10" t="n">
        <x:f>'店长明细'!$E2003</x:f>
        <x:v>8</x:v>
      </x:c>
      <x:c r="T150" s="10" t="n">
        <x:f>'店长明细'!$D2003</x:f>
        <x:v>8</x:v>
      </x:c>
      <x:c r="U150" s="10" t="n">
        <x:f>'店长明细'!$E2235</x:f>
        <x:v>49</x:v>
      </x:c>
      <x:c r="V150" s="10" t="n">
        <x:f>'店长明细'!$D2235</x:f>
        <x:v>27</x:v>
      </x:c>
      <x:c r="W150" s="11" t="n">
        <x:f>'店长明细'!$F147</x:f>
        <x:v>1425.33</x:v>
      </x:c>
      <x:c r="X150" s="11" t="n">
        <x:f>'店长明细'!$F379</x:f>
        <x:v>12067.03</x:v>
      </x:c>
      <x:c r="Y150" s="11" t="n">
        <x:f>'店长明细'!$F611</x:f>
        <x:v>13431.66</x:v>
      </x:c>
      <x:c r="Z150" s="11" t="n">
        <x:f>'店长明细'!$F843</x:f>
        <x:v>12313.57</x:v>
      </x:c>
      <x:c r="AA150" s="11" t="n">
        <x:f>'店长明细'!$F1075</x:f>
        <x:v>24.26</x:v>
      </x:c>
      <x:c r="AB150" s="11" t="n">
        <x:f>'店长明细'!$F1307</x:f>
        <x:v>2670.75</x:v>
      </x:c>
      <x:c r="AC150" s="11" t="n">
        <x:f>'店长明细'!$F1539</x:f>
        <x:v>7935.05</x:v>
      </x:c>
      <x:c r="AD150" s="11" t="n">
        <x:f>'店长明细'!$F1771</x:f>
        <x:v>481.58</x:v>
      </x:c>
      <x:c r="AE150" s="11" t="n">
        <x:f>'店长明细'!$F2003</x:f>
        <x:v>371.69</x:v>
      </x:c>
      <x:c r="AF150" s="11" t="n">
        <x:f>'店长明细'!$F2235</x:f>
        <x:v>748.88</x:v>
      </x:c>
    </x:row>
    <x:row r="151">
      <x:c r="A151" t="str">
        <x:f>TEXT($B151,"mm-dd")</x:f>
        <x:v>05-27</x:v>
      </x:c>
      <x:c r="B151" s="9" t="n">
        <x:f>'店长明细'!$C148</x:f>
        <x:v>46169</x:v>
      </x:c>
      <x:c r="C151" s="10" t="n">
        <x:f>'店长明细'!$E148</x:f>
        <x:v>158</x:v>
      </x:c>
      <x:c r="D151" s="10" t="n">
        <x:f>'店长明细'!$D148</x:f>
        <x:v>121</x:v>
      </x:c>
      <x:c r="E151" s="10" t="n">
        <x:f>'店长明细'!$E380</x:f>
        <x:v>716</x:v>
      </x:c>
      <x:c r="F151" s="10" t="n">
        <x:f>'店长明细'!$D380</x:f>
        <x:v>479</x:v>
      </x:c>
      <x:c r="G151" s="10" t="n">
        <x:f>'店长明细'!$E612</x:f>
        <x:v>1994</x:v>
      </x:c>
      <x:c r="H151" s="10" t="n">
        <x:f>'店长明细'!$D612</x:f>
        <x:v>1248</x:v>
      </x:c>
      <x:c r="I151" s="10" t="n">
        <x:f>'店长明细'!$E844</x:f>
        <x:v>1311</x:v>
      </x:c>
      <x:c r="J151" s="10" t="n">
        <x:f>'店长明细'!$D844</x:f>
        <x:v>710</x:v>
      </x:c>
      <x:c r="K151" s="10" t="n">
        <x:f>'店长明细'!$E1076</x:f>
        <x:v>2</x:v>
      </x:c>
      <x:c r="L151" s="10" t="n">
        <x:f>'店长明细'!$D1076</x:f>
        <x:v>1</x:v>
      </x:c>
      <x:c r="M151" s="10" t="n">
        <x:f>'店长明细'!$E1308</x:f>
        <x:v>329</x:v>
      </x:c>
      <x:c r="N151" s="10" t="n">
        <x:f>'店长明细'!$D1308</x:f>
        <x:v>217</x:v>
      </x:c>
      <x:c r="O151" s="10" t="n">
        <x:f>'店长明细'!$E1540</x:f>
        <x:v>621</x:v>
      </x:c>
      <x:c r="P151" s="10" t="n">
        <x:f>'店长明细'!$D1540</x:f>
        <x:v>458</x:v>
      </x:c>
      <x:c r="Q151" s="10" t="n">
        <x:f>'店长明细'!$E1772</x:f>
        <x:v>23</x:v>
      </x:c>
      <x:c r="R151" s="10" t="n">
        <x:f>'店长明细'!$D1772</x:f>
        <x:v>19</x:v>
      </x:c>
      <x:c r="S151" s="10" t="n">
        <x:f>'店长明细'!$E2004</x:f>
        <x:v>21</x:v>
      </x:c>
      <x:c r="T151" s="10" t="n">
        <x:f>'店长明细'!$D2004</x:f>
        <x:v>16</x:v>
      </x:c>
      <x:c r="U151" s="10" t="n">
        <x:f>'店长明细'!$E2236</x:f>
        <x:v>36</x:v>
      </x:c>
      <x:c r="V151" s="10" t="n">
        <x:f>'店长明细'!$D2236</x:f>
        <x:v>14</x:v>
      </x:c>
      <x:c r="W151" s="11" t="n">
        <x:f>'店长明细'!$F148</x:f>
        <x:v>1436.03</x:v>
      </x:c>
      <x:c r="X151" s="11" t="n">
        <x:f>'店长明细'!$F380</x:f>
        <x:v>6885.82</x:v>
      </x:c>
      <x:c r="Y151" s="11" t="n">
        <x:f>'店长明细'!$F612</x:f>
        <x:v>14574.27</x:v>
      </x:c>
      <x:c r="Z151" s="11" t="n">
        <x:f>'店长明细'!$F844</x:f>
        <x:v>11465.11</x:v>
      </x:c>
      <x:c r="AA151" s="11" t="n">
        <x:f>'店长明细'!$F1076</x:f>
        <x:v>23.82</x:v>
      </x:c>
      <x:c r="AB151" s="11" t="n">
        <x:f>'店长明细'!$F1308</x:f>
        <x:v>3181.66</x:v>
      </x:c>
      <x:c r="AC151" s="11" t="n">
        <x:f>'店长明细'!$F1540</x:f>
        <x:v>6700.5</x:v>
      </x:c>
      <x:c r="AD151" s="11" t="n">
        <x:f>'店长明细'!$F1772</x:f>
        <x:v>822.31</x:v>
      </x:c>
      <x:c r="AE151" s="11" t="n">
        <x:f>'店长明细'!$F2004</x:f>
        <x:v>1011.08</x:v>
      </x:c>
      <x:c r="AF151" s="11" t="n">
        <x:f>'店长明细'!$F2236</x:f>
        <x:v>634.48</x:v>
      </x:c>
    </x:row>
    <x:row r="152">
      <x:c r="A152" t="str">
        <x:f>TEXT($B152,"mm-dd")</x:f>
        <x:v>05-28</x:v>
      </x:c>
      <x:c r="B152" s="9" t="n">
        <x:f>'店长明细'!$C149</x:f>
        <x:v>46170</x:v>
      </x:c>
      <x:c r="C152" s="10" t="n">
        <x:f>'店长明细'!$E149</x:f>
        <x:v>168</x:v>
      </x:c>
      <x:c r="D152" s="10" t="n">
        <x:f>'店长明细'!$D149</x:f>
        <x:v>126</x:v>
      </x:c>
      <x:c r="E152" s="10" t="n">
        <x:f>'店长明细'!$E381</x:f>
        <x:v>864</x:v>
      </x:c>
      <x:c r="F152" s="10" t="n">
        <x:f>'店长明细'!$D381</x:f>
        <x:v>586</x:v>
      </x:c>
      <x:c r="G152" s="10" t="n">
        <x:f>'店长明细'!$E613</x:f>
        <x:v>2179</x:v>
      </x:c>
      <x:c r="H152" s="10" t="n">
        <x:f>'店长明细'!$D613</x:f>
        <x:v>1292</x:v>
      </x:c>
      <x:c r="I152" s="10" t="n">
        <x:f>'店长明细'!$E845</x:f>
        <x:v>1341</x:v>
      </x:c>
      <x:c r="J152" s="10" t="n">
        <x:f>'店长明细'!$D845</x:f>
        <x:v>707</x:v>
      </x:c>
      <x:c r="K152" s="10" t="n">
        <x:f>'店长明细'!$E1077</x:f>
        <x:v>6</x:v>
      </x:c>
      <x:c r="L152" s="10" t="n">
        <x:f>'店长明细'!$D1077</x:f>
        <x:v>5</x:v>
      </x:c>
      <x:c r="M152" s="10" t="n">
        <x:f>'店长明细'!$E1309</x:f>
        <x:v>333</x:v>
      </x:c>
      <x:c r="N152" s="10" t="n">
        <x:f>'店长明细'!$D1309</x:f>
        <x:v>216</x:v>
      </x:c>
      <x:c r="O152" s="10" t="n">
        <x:f>'店长明细'!$E1541</x:f>
        <x:v>639</x:v>
      </x:c>
      <x:c r="P152" s="10" t="n">
        <x:f>'店长明细'!$D1541</x:f>
        <x:v>455</x:v>
      </x:c>
      <x:c r="Q152" s="10" t="n">
        <x:f>'店长明细'!$E1773</x:f>
        <x:v>43</x:v>
      </x:c>
      <x:c r="R152" s="10" t="n">
        <x:f>'店长明细'!$D1773</x:f>
        <x:v>29</x:v>
      </x:c>
      <x:c r="S152" s="10" t="n">
        <x:f>'店长明细'!$E2005</x:f>
        <x:v>8</x:v>
      </x:c>
      <x:c r="T152" s="10" t="n">
        <x:f>'店长明细'!$D2005</x:f>
        <x:v>8</x:v>
      </x:c>
      <x:c r="U152" s="10" t="n">
        <x:f>'店长明细'!$E2237</x:f>
        <x:v>48</x:v>
      </x:c>
      <x:c r="V152" s="10" t="n">
        <x:f>'店长明细'!$D2237</x:f>
        <x:v>32</x:v>
      </x:c>
      <x:c r="W152" s="11" t="n">
        <x:f>'店长明细'!$F149</x:f>
        <x:v>1575.29</x:v>
      </x:c>
      <x:c r="X152" s="11" t="n">
        <x:f>'店长明细'!$F381</x:f>
        <x:v>8434.03</x:v>
      </x:c>
      <x:c r="Y152" s="11" t="n">
        <x:f>'店长明细'!$F613</x:f>
        <x:v>15269.65</x:v>
      </x:c>
      <x:c r="Z152" s="11" t="n">
        <x:f>'店长明细'!$F845</x:f>
        <x:v>11155.32</x:v>
      </x:c>
      <x:c r="AA152" s="11" t="n">
        <x:f>'店长明细'!$F1077</x:f>
        <x:v>90.91</x:v>
      </x:c>
      <x:c r="AB152" s="11" t="n">
        <x:f>'店长明细'!$F1309</x:f>
        <x:v>3244.43</x:v>
      </x:c>
      <x:c r="AC152" s="11" t="n">
        <x:f>'店长明细'!$F1541</x:f>
        <x:v>6547.83</x:v>
      </x:c>
      <x:c r="AD152" s="11" t="n">
        <x:f>'店长明细'!$F1773</x:f>
        <x:v>1373.61</x:v>
      </x:c>
      <x:c r="AE152" s="11" t="n">
        <x:f>'店长明细'!$F2005</x:f>
        <x:v>462.38</x:v>
      </x:c>
      <x:c r="AF152" s="11" t="n">
        <x:f>'店长明细'!$F2237</x:f>
        <x:v>755.08</x:v>
      </x:c>
    </x:row>
    <x:row r="153">
      <x:c r="A153" t="str">
        <x:f>TEXT($B153,"mm-dd")</x:f>
        <x:v>05-29</x:v>
      </x:c>
      <x:c r="B153" s="9" t="n">
        <x:f>'店长明细'!$C150</x:f>
        <x:v>46171</x:v>
      </x:c>
      <x:c r="C153" s="10" t="n">
        <x:f>'店长明细'!$E150</x:f>
        <x:v>171</x:v>
      </x:c>
      <x:c r="D153" s="10" t="n">
        <x:f>'店长明细'!$D150</x:f>
        <x:v>150</x:v>
      </x:c>
      <x:c r="E153" s="10" t="n">
        <x:f>'店长明细'!$E382</x:f>
        <x:v>971</x:v>
      </x:c>
      <x:c r="F153" s="10" t="n">
        <x:f>'店长明细'!$D382</x:f>
        <x:v>654</x:v>
      </x:c>
      <x:c r="G153" s="10" t="n">
        <x:f>'店长明细'!$E614</x:f>
        <x:v>2311</x:v>
      </x:c>
      <x:c r="H153" s="10" t="n">
        <x:f>'店长明细'!$D614</x:f>
        <x:v>1355</x:v>
      </x:c>
      <x:c r="I153" s="10" t="n">
        <x:f>'店长明细'!$E846</x:f>
        <x:v>1288</x:v>
      </x:c>
      <x:c r="J153" s="10" t="n">
        <x:f>'店长明细'!$D846</x:f>
        <x:v>704</x:v>
      </x:c>
      <x:c r="K153" s="10" t="n">
        <x:f>'店长明细'!$E1078</x:f>
        <x:v>0</x:v>
      </x:c>
      <x:c r="L153" s="10" t="n">
        <x:f>'店长明细'!$D1078</x:f>
        <x:v>0</x:v>
      </x:c>
      <x:c r="M153" s="10" t="n">
        <x:f>'店长明细'!$E1310</x:f>
        <x:v>387</x:v>
      </x:c>
      <x:c r="N153" s="10" t="n">
        <x:f>'店长明细'!$D1310</x:f>
        <x:v>243</x:v>
      </x:c>
      <x:c r="O153" s="10" t="n">
        <x:f>'店长明细'!$E1542</x:f>
        <x:v>755</x:v>
      </x:c>
      <x:c r="P153" s="10" t="n">
        <x:f>'店长明细'!$D1542</x:f>
        <x:v>591</x:v>
      </x:c>
      <x:c r="Q153" s="10" t="n">
        <x:f>'店长明细'!$E1774</x:f>
        <x:v>29</x:v>
      </x:c>
      <x:c r="R153" s="10" t="n">
        <x:f>'店长明细'!$D1774</x:f>
        <x:v>17</x:v>
      </x:c>
      <x:c r="S153" s="10" t="n">
        <x:f>'店长明细'!$E2006</x:f>
        <x:v>16</x:v>
      </x:c>
      <x:c r="T153" s="10" t="n">
        <x:f>'店长明细'!$D2006</x:f>
        <x:v>11</x:v>
      </x:c>
      <x:c r="U153" s="10" t="n">
        <x:f>'店长明细'!$E2238</x:f>
        <x:v>41</x:v>
      </x:c>
      <x:c r="V153" s="10" t="n">
        <x:f>'店长明细'!$D2238</x:f>
        <x:v>33</x:v>
      </x:c>
      <x:c r="W153" s="11" t="n">
        <x:f>'店长明细'!$F150</x:f>
        <x:v>1650.47</x:v>
      </x:c>
      <x:c r="X153" s="11" t="n">
        <x:f>'店长明细'!$F382</x:f>
        <x:v>9493.46</x:v>
      </x:c>
      <x:c r="Y153" s="11" t="n">
        <x:f>'店长明细'!$F614</x:f>
        <x:v>15715.38</x:v>
      </x:c>
      <x:c r="Z153" s="11" t="n">
        <x:f>'店长明细'!$F846</x:f>
        <x:v>10877.56</x:v>
      </x:c>
      <x:c r="AA153" s="11" t="n">
        <x:f>'店长明细'!$F1078</x:f>
        <x:v>0</x:v>
      </x:c>
      <x:c r="AB153" s="11" t="n">
        <x:f>'店长明细'!$F1310</x:f>
        <x:v>3975.74</x:v>
      </x:c>
      <x:c r="AC153" s="11" t="n">
        <x:f>'店长明细'!$F1542</x:f>
        <x:v>8044.12</x:v>
      </x:c>
      <x:c r="AD153" s="11" t="n">
        <x:f>'店长明细'!$F1774</x:f>
        <x:v>685.34</x:v>
      </x:c>
      <x:c r="AE153" s="11" t="n">
        <x:f>'店长明细'!$F2006</x:f>
        <x:v>571.5</x:v>
      </x:c>
      <x:c r="AF153" s="11" t="n">
        <x:f>'店长明细'!$F2238</x:f>
        <x:v>658.77</x:v>
      </x:c>
    </x:row>
    <x:row r="154">
      <x:c r="A154" t="str">
        <x:f>TEXT($B154,"mm-dd")</x:f>
        <x:v>05-30</x:v>
      </x:c>
      <x:c r="B154" s="9" t="n">
        <x:f>'店长明细'!$C151</x:f>
        <x:v>46172</x:v>
      </x:c>
      <x:c r="C154" s="10" t="n">
        <x:f>'店长明细'!$E151</x:f>
        <x:v>209</x:v>
      </x:c>
      <x:c r="D154" s="10" t="n">
        <x:f>'店长明细'!$D151</x:f>
        <x:v>141</x:v>
      </x:c>
      <x:c r="E154" s="10" t="n">
        <x:f>'店长明细'!$E383</x:f>
        <x:v>999</x:v>
      </x:c>
      <x:c r="F154" s="10" t="n">
        <x:f>'店长明细'!$D383</x:f>
        <x:v>668</x:v>
      </x:c>
      <x:c r="G154" s="10" t="n">
        <x:f>'店长明细'!$E615</x:f>
        <x:v>2317</x:v>
      </x:c>
      <x:c r="H154" s="10" t="n">
        <x:f>'店长明细'!$D615</x:f>
        <x:v>1367</x:v>
      </x:c>
      <x:c r="I154" s="10" t="n">
        <x:f>'店长明细'!$E847</x:f>
        <x:v>1117</x:v>
      </x:c>
      <x:c r="J154" s="10" t="n">
        <x:f>'店长明细'!$D847</x:f>
        <x:v>587</x:v>
      </x:c>
      <x:c r="K154" s="10" t="n">
        <x:f>'店长明细'!$E1079</x:f>
        <x:v>2</x:v>
      </x:c>
      <x:c r="L154" s="10" t="n">
        <x:f>'店长明细'!$D1079</x:f>
        <x:v>1</x:v>
      </x:c>
      <x:c r="M154" s="10" t="n">
        <x:f>'店长明细'!$E1311</x:f>
        <x:v>412</x:v>
      </x:c>
      <x:c r="N154" s="10" t="n">
        <x:f>'店长明细'!$D1311</x:f>
        <x:v>288</x:v>
      </x:c>
      <x:c r="O154" s="10" t="n">
        <x:f>'店长明细'!$E1543</x:f>
        <x:v>736</x:v>
      </x:c>
      <x:c r="P154" s="10" t="n">
        <x:f>'店长明细'!$D1543</x:f>
        <x:v>543</x:v>
      </x:c>
      <x:c r="Q154" s="10" t="n">
        <x:f>'店长明细'!$E1775</x:f>
        <x:v>18</x:v>
      </x:c>
      <x:c r="R154" s="10" t="n">
        <x:f>'店长明细'!$D1775</x:f>
        <x:v>14</x:v>
      </x:c>
      <x:c r="S154" s="10" t="n">
        <x:f>'店长明细'!$E2007</x:f>
        <x:v>17</x:v>
      </x:c>
      <x:c r="T154" s="10" t="n">
        <x:f>'店长明细'!$D2007</x:f>
        <x:v>11</x:v>
      </x:c>
      <x:c r="U154" s="10" t="n">
        <x:f>'店长明细'!$E2239</x:f>
        <x:v>47</x:v>
      </x:c>
      <x:c r="V154" s="10" t="n">
        <x:f>'店长明细'!$D2239</x:f>
        <x:v>26</x:v>
      </x:c>
      <x:c r="W154" s="11" t="n">
        <x:f>'店长明细'!$F151</x:f>
        <x:v>1675.92</x:v>
      </x:c>
      <x:c r="X154" s="11" t="n">
        <x:f>'店长明细'!$F383</x:f>
        <x:v>9405.06</x:v>
      </x:c>
      <x:c r="Y154" s="11" t="n">
        <x:f>'店长明细'!$F615</x:f>
        <x:v>16125.79</x:v>
      </x:c>
      <x:c r="Z154" s="11" t="n">
        <x:f>'店长明细'!$F847</x:f>
        <x:v>9396.49</x:v>
      </x:c>
      <x:c r="AA154" s="11" t="n">
        <x:f>'店长明细'!$F1079</x:f>
        <x:v>13.13</x:v>
      </x:c>
      <x:c r="AB154" s="11" t="n">
        <x:f>'店长明细'!$F1311</x:f>
        <x:v>4191.96</x:v>
      </x:c>
      <x:c r="AC154" s="11" t="n">
        <x:f>'店长明细'!$F1543</x:f>
        <x:v>7520.45</x:v>
      </x:c>
      <x:c r="AD154" s="11" t="n">
        <x:f>'店长明细'!$F1775</x:f>
        <x:v>481.85</x:v>
      </x:c>
      <x:c r="AE154" s="11" t="n">
        <x:f>'店长明细'!$F2007</x:f>
        <x:v>645.12</x:v>
      </x:c>
      <x:c r="AF154" s="11" t="n">
        <x:f>'店长明细'!$F2239</x:f>
        <x:v>732.39</x:v>
      </x:c>
    </x:row>
    <x:row r="155">
      <x:c r="A155" t="str">
        <x:f>TEXT($B155,"mm-dd")</x:f>
        <x:v>05-31</x:v>
      </x:c>
      <x:c r="B155" s="9" t="n">
        <x:f>'店长明细'!$C152</x:f>
        <x:v>46173</x:v>
      </x:c>
      <x:c r="C155" s="10" t="n">
        <x:f>'店长明细'!$E152</x:f>
        <x:v>237</x:v>
      </x:c>
      <x:c r="D155" s="10" t="n">
        <x:f>'店长明细'!$D152</x:f>
        <x:v>134</x:v>
      </x:c>
      <x:c r="E155" s="10" t="n">
        <x:f>'店长明细'!$E384</x:f>
        <x:v>920</x:v>
      </x:c>
      <x:c r="F155" s="10" t="n">
        <x:f>'店长明细'!$D384</x:f>
        <x:v>628</x:v>
      </x:c>
      <x:c r="G155" s="10" t="n">
        <x:f>'店长明细'!$E616</x:f>
        <x:v>2165</x:v>
      </x:c>
      <x:c r="H155" s="10" t="n">
        <x:f>'店长明细'!$D616</x:f>
        <x:v>1287</x:v>
      </x:c>
      <x:c r="I155" s="10" t="n">
        <x:f>'店长明细'!$E848</x:f>
        <x:v>1092</x:v>
      </x:c>
      <x:c r="J155" s="10" t="n">
        <x:f>'店长明细'!$D848</x:f>
        <x:v>554</x:v>
      </x:c>
      <x:c r="K155" s="10" t="n">
        <x:f>'店长明细'!$E1080</x:f>
        <x:v>4</x:v>
      </x:c>
      <x:c r="L155" s="10" t="n">
        <x:f>'店长明细'!$D1080</x:f>
        <x:v>3</x:v>
      </x:c>
      <x:c r="M155" s="10" t="n">
        <x:f>'店长明细'!$E1312</x:f>
        <x:v>450</x:v>
      </x:c>
      <x:c r="N155" s="10" t="n">
        <x:f>'店长明细'!$D1312</x:f>
        <x:v>310</x:v>
      </x:c>
      <x:c r="O155" s="10" t="n">
        <x:f>'店长明细'!$E1544</x:f>
        <x:v>702</x:v>
      </x:c>
      <x:c r="P155" s="10" t="n">
        <x:f>'店长明细'!$D1544</x:f>
        <x:v>501</x:v>
      </x:c>
      <x:c r="Q155" s="10" t="n">
        <x:f>'店长明细'!$E1776</x:f>
        <x:v>23</x:v>
      </x:c>
      <x:c r="R155" s="10" t="n">
        <x:f>'店长明细'!$D1776</x:f>
        <x:v>17</x:v>
      </x:c>
      <x:c r="S155" s="10" t="n">
        <x:f>'店长明细'!$E2008</x:f>
        <x:v>12</x:v>
      </x:c>
      <x:c r="T155" s="10" t="n">
        <x:f>'店长明细'!$D2008</x:f>
        <x:v>10</x:v>
      </x:c>
      <x:c r="U155" s="10" t="n">
        <x:f>'店长明细'!$E2240</x:f>
        <x:v>33</x:v>
      </x:c>
      <x:c r="V155" s="10" t="n">
        <x:f>'店长明细'!$D2240</x:f>
        <x:v>24</x:v>
      </x:c>
      <x:c r="W155" s="11" t="n">
        <x:f>'店长明细'!$F152</x:f>
        <x:v>1803.9</x:v>
      </x:c>
      <x:c r="X155" s="11" t="n">
        <x:f>'店长明细'!$F384</x:f>
        <x:v>8683.08</x:v>
      </x:c>
      <x:c r="Y155" s="11" t="n">
        <x:f>'店长明细'!$F616</x:f>
        <x:v>15304.77</x:v>
      </x:c>
      <x:c r="Z155" s="11" t="n">
        <x:f>'店长明细'!$F848</x:f>
        <x:v>15459.14</x:v>
      </x:c>
      <x:c r="AA155" s="11" t="n">
        <x:f>'店长明细'!$F1080</x:f>
        <x:v>37.25</x:v>
      </x:c>
      <x:c r="AB155" s="11" t="n">
        <x:f>'店长明细'!$F1312</x:f>
        <x:v>4812.44</x:v>
      </x:c>
      <x:c r="AC155" s="11" t="n">
        <x:f>'店长明细'!$F1544</x:f>
        <x:v>7733.64</x:v>
      </x:c>
      <x:c r="AD155" s="11" t="n">
        <x:f>'店长明细'!$F1776</x:f>
        <x:v>839.57</x:v>
      </x:c>
      <x:c r="AE155" s="11" t="n">
        <x:f>'店长明细'!$F2008</x:f>
        <x:v>234.55</x:v>
      </x:c>
      <x:c r="AF155" s="11" t="n">
        <x:f>'店长明细'!$F2240</x:f>
        <x:v>360.76</x:v>
      </x:c>
    </x:row>
    <x:row r="156">
      <x:c r="A156" t="str">
        <x:f>TEXT($B156,"mm-dd")</x:f>
        <x:v>06-01</x:v>
      </x:c>
      <x:c r="B156" s="9" t="n">
        <x:f>'店长明细'!$C153</x:f>
        <x:v>46174</x:v>
      </x:c>
      <x:c r="C156" s="10" t="n">
        <x:f>'店长明细'!$E153</x:f>
        <x:v>287</x:v>
      </x:c>
      <x:c r="D156" s="10" t="n">
        <x:f>'店长明细'!$D153</x:f>
        <x:v>162</x:v>
      </x:c>
      <x:c r="E156" s="10" t="n">
        <x:f>'店长明细'!$E385</x:f>
        <x:v>1193</x:v>
      </x:c>
      <x:c r="F156" s="10" t="n">
        <x:f>'店长明细'!$D385</x:f>
        <x:v>819</x:v>
      </x:c>
      <x:c r="G156" s="10" t="n">
        <x:f>'店长明细'!$E617</x:f>
        <x:v>2002</x:v>
      </x:c>
      <x:c r="H156" s="10" t="n">
        <x:f>'店长明细'!$D617</x:f>
        <x:v>1127</x:v>
      </x:c>
      <x:c r="I156" s="10" t="n">
        <x:f>'店长明细'!$E849</x:f>
        <x:v>1135</x:v>
      </x:c>
      <x:c r="J156" s="10" t="n">
        <x:f>'店长明细'!$D849</x:f>
        <x:v>616</x:v>
      </x:c>
      <x:c r="K156" s="10" t="n">
        <x:f>'店长明细'!$E1081</x:f>
        <x:v>10</x:v>
      </x:c>
      <x:c r="L156" s="10" t="n">
        <x:f>'店长明细'!$D1081</x:f>
        <x:v>3</x:v>
      </x:c>
      <x:c r="M156" s="10" t="n">
        <x:f>'店长明细'!$E1313</x:f>
        <x:v>454</x:v>
      </x:c>
      <x:c r="N156" s="10" t="n">
        <x:f>'店长明细'!$D1313</x:f>
        <x:v>287</x:v>
      </x:c>
      <x:c r="O156" s="10" t="n">
        <x:f>'店长明细'!$E1545</x:f>
        <x:v>861</x:v>
      </x:c>
      <x:c r="P156" s="10" t="n">
        <x:f>'店长明细'!$D1545</x:f>
        <x:v>595</x:v>
      </x:c>
      <x:c r="Q156" s="10" t="n">
        <x:f>'店长明细'!$E1777</x:f>
        <x:v>30</x:v>
      </x:c>
      <x:c r="R156" s="10" t="n">
        <x:f>'店长明细'!$D1777</x:f>
        <x:v>24</x:v>
      </x:c>
      <x:c r="S156" s="10" t="n">
        <x:f>'店长明细'!$E2009</x:f>
        <x:v>11</x:v>
      </x:c>
      <x:c r="T156" s="10" t="n">
        <x:f>'店长明细'!$D2009</x:f>
        <x:v>9</x:v>
      </x:c>
      <x:c r="U156" s="10" t="n">
        <x:f>'店长明细'!$E2241</x:f>
        <x:v>34</x:v>
      </x:c>
      <x:c r="V156" s="10" t="n">
        <x:f>'店长明细'!$D2241</x:f>
        <x:v>22</x:v>
      </x:c>
      <x:c r="W156" s="11" t="n">
        <x:f>'店长明细'!$F153</x:f>
        <x:v>2060.45</x:v>
      </x:c>
      <x:c r="X156" s="11" t="n">
        <x:f>'店长明细'!$F385</x:f>
        <x:v>11388.12</x:v>
      </x:c>
      <x:c r="Y156" s="11" t="n">
        <x:f>'店长明细'!$F617</x:f>
        <x:v>13507.87</x:v>
      </x:c>
      <x:c r="Z156" s="11" t="n">
        <x:f>'店长明细'!$F849</x:f>
        <x:v>9770.25</x:v>
      </x:c>
      <x:c r="AA156" s="11" t="n">
        <x:f>'店长明细'!$F1081</x:f>
        <x:v>73.84</x:v>
      </x:c>
      <x:c r="AB156" s="11" t="n">
        <x:f>'店长明细'!$F1313</x:f>
        <x:v>4666.69</x:v>
      </x:c>
      <x:c r="AC156" s="11" t="n">
        <x:f>'店长明细'!$F1545</x:f>
        <x:v>9108.39</x:v>
      </x:c>
      <x:c r="AD156" s="11" t="n">
        <x:f>'店长明细'!$F1777</x:f>
        <x:v>867.59</x:v>
      </x:c>
      <x:c r="AE156" s="11" t="n">
        <x:f>'店长明细'!$F2009</x:f>
        <x:v>561.01</x:v>
      </x:c>
      <x:c r="AF156" s="11" t="n">
        <x:f>'店长明细'!$F2241</x:f>
        <x:v>438.79</x:v>
      </x:c>
    </x:row>
    <x:row r="157">
      <x:c r="A157" t="str">
        <x:f>TEXT($B157,"mm-dd")</x:f>
        <x:v>06-02</x:v>
      </x:c>
      <x:c r="B157" s="9" t="n">
        <x:f>'店长明细'!$C154</x:f>
        <x:v>46175</x:v>
      </x:c>
      <x:c r="C157" s="10" t="n">
        <x:f>'店长明细'!$E154</x:f>
        <x:v>326</x:v>
      </x:c>
      <x:c r="D157" s="10" t="n">
        <x:f>'店长明细'!$D154</x:f>
        <x:v>173</x:v>
      </x:c>
      <x:c r="E157" s="10" t="n">
        <x:f>'店长明细'!$E386</x:f>
        <x:v>1255</x:v>
      </x:c>
      <x:c r="F157" s="10" t="n">
        <x:f>'店长明细'!$D386</x:f>
        <x:v>886</x:v>
      </x:c>
      <x:c r="G157" s="10" t="n">
        <x:f>'店长明细'!$E618</x:f>
        <x:v>1643</x:v>
      </x:c>
      <x:c r="H157" s="10" t="n">
        <x:f>'店长明细'!$D618</x:f>
        <x:v>949</x:v>
      </x:c>
      <x:c r="I157" s="10" t="n">
        <x:f>'店长明细'!$E850</x:f>
        <x:v>1150</x:v>
      </x:c>
      <x:c r="J157" s="10" t="n">
        <x:f>'店长明细'!$D850</x:f>
        <x:v>580</x:v>
      </x:c>
      <x:c r="K157" s="10" t="n">
        <x:f>'店长明细'!$E1082</x:f>
        <x:v>4</x:v>
      </x:c>
      <x:c r="L157" s="10" t="n">
        <x:f>'店长明细'!$D1082</x:f>
        <x:v>3</x:v>
      </x:c>
      <x:c r="M157" s="10" t="n">
        <x:f>'店长明细'!$E1314</x:f>
        <x:v>516</x:v>
      </x:c>
      <x:c r="N157" s="10" t="n">
        <x:f>'店长明细'!$D1314</x:f>
        <x:v>308</x:v>
      </x:c>
      <x:c r="O157" s="10" t="n">
        <x:f>'店长明细'!$E1546</x:f>
        <x:v>793</x:v>
      </x:c>
      <x:c r="P157" s="10" t="n">
        <x:f>'店长明细'!$D1546</x:f>
        <x:v>607</x:v>
      </x:c>
      <x:c r="Q157" s="10" t="n">
        <x:f>'店长明细'!$E1778</x:f>
        <x:v>35</x:v>
      </x:c>
      <x:c r="R157" s="10" t="n">
        <x:f>'店长明细'!$D1778</x:f>
        <x:v>11</x:v>
      </x:c>
      <x:c r="S157" s="10" t="n">
        <x:f>'店长明细'!$E2010</x:f>
        <x:v>10</x:v>
      </x:c>
      <x:c r="T157" s="10" t="n">
        <x:f>'店长明细'!$D2010</x:f>
        <x:v>9</x:v>
      </x:c>
      <x:c r="U157" s="10" t="n">
        <x:f>'店长明细'!$E2242</x:f>
        <x:v>42</x:v>
      </x:c>
      <x:c r="V157" s="10" t="n">
        <x:f>'店长明细'!$D2242</x:f>
        <x:v>28</x:v>
      </x:c>
      <x:c r="W157" s="11" t="n">
        <x:f>'店长明细'!$F154</x:f>
        <x:v>2231.97</x:v>
      </x:c>
      <x:c r="X157" s="11" t="n">
        <x:f>'店长明细'!$F386</x:f>
        <x:v>11848.74</x:v>
      </x:c>
      <x:c r="Y157" s="11" t="n">
        <x:f>'店长明细'!$F618</x:f>
        <x:v>11779.25</x:v>
      </x:c>
      <x:c r="Z157" s="11" t="n">
        <x:f>'店长明细'!$F850</x:f>
        <x:v>9376.77</x:v>
      </x:c>
      <x:c r="AA157" s="11" t="n">
        <x:f>'店长明细'!$F1082</x:f>
        <x:v>27.93</x:v>
      </x:c>
      <x:c r="AB157" s="11" t="n">
        <x:f>'店长明细'!$F1314</x:f>
        <x:v>5164.62</x:v>
      </x:c>
      <x:c r="AC157" s="11" t="n">
        <x:f>'店长明细'!$F1546</x:f>
        <x:v>8206.11</x:v>
      </x:c>
      <x:c r="AD157" s="11" t="n">
        <x:f>'店长明细'!$F1778</x:f>
        <x:v>1080.34</x:v>
      </x:c>
      <x:c r="AE157" s="11" t="n">
        <x:f>'店长明细'!$F2010</x:f>
        <x:v>454.24</x:v>
      </x:c>
      <x:c r="AF157" s="11" t="n">
        <x:f>'店长明细'!$F2242</x:f>
        <x:v>562.97</x:v>
      </x:c>
    </x:row>
    <x:row r="158">
      <x:c r="A158" t="str">
        <x:f>TEXT($B158,"mm-dd")</x:f>
        <x:v>06-03</x:v>
      </x:c>
      <x:c r="B158" s="9" t="n">
        <x:f>'店长明细'!$C155</x:f>
        <x:v>46176</x:v>
      </x:c>
      <x:c r="C158" s="10" t="n">
        <x:f>'店长明细'!$E155</x:f>
        <x:v>334</x:v>
      </x:c>
      <x:c r="D158" s="10" t="n">
        <x:f>'店长明细'!$D155</x:f>
        <x:v>188</x:v>
      </x:c>
      <x:c r="E158" s="10" t="n">
        <x:f>'店长明细'!$E387</x:f>
        <x:v>1153</x:v>
      </x:c>
      <x:c r="F158" s="10" t="n">
        <x:f>'店长明细'!$D387</x:f>
        <x:v>778</x:v>
      </x:c>
      <x:c r="G158" s="10" t="n">
        <x:f>'店长明细'!$E619</x:f>
        <x:v>1749</x:v>
      </x:c>
      <x:c r="H158" s="10" t="n">
        <x:f>'店长明细'!$D619</x:f>
        <x:v>936</x:v>
      </x:c>
      <x:c r="I158" s="10" t="n">
        <x:f>'店长明细'!$E851</x:f>
        <x:v>1198</x:v>
      </x:c>
      <x:c r="J158" s="10" t="n">
        <x:f>'店长明细'!$D851</x:f>
        <x:v>601</x:v>
      </x:c>
      <x:c r="K158" s="10" t="n">
        <x:f>'店长明细'!$E1083</x:f>
        <x:v>4</x:v>
      </x:c>
      <x:c r="L158" s="10" t="n">
        <x:f>'店长明细'!$D1083</x:f>
        <x:v>4</x:v>
      </x:c>
      <x:c r="M158" s="10" t="n">
        <x:f>'店长明细'!$E1315</x:f>
        <x:v>440</x:v>
      </x:c>
      <x:c r="N158" s="10" t="n">
        <x:f>'店长明细'!$D1315</x:f>
        <x:v>275</x:v>
      </x:c>
      <x:c r="O158" s="10" t="n">
        <x:f>'店长明细'!$E1547</x:f>
        <x:v>802</x:v>
      </x:c>
      <x:c r="P158" s="10" t="n">
        <x:f>'店长明细'!$D1547</x:f>
        <x:v>612</x:v>
      </x:c>
      <x:c r="Q158" s="10" t="n">
        <x:f>'店长明细'!$E1779</x:f>
        <x:v>69</x:v>
      </x:c>
      <x:c r="R158" s="10" t="n">
        <x:f>'店长明细'!$D1779</x:f>
        <x:v>50</x:v>
      </x:c>
      <x:c r="S158" s="10" t="n">
        <x:f>'店长明细'!$E2011</x:f>
        <x:v>29</x:v>
      </x:c>
      <x:c r="T158" s="10" t="n">
        <x:f>'店长明细'!$D2011</x:f>
        <x:v>16</x:v>
      </x:c>
      <x:c r="U158" s="10" t="n">
        <x:f>'店长明细'!$E2243</x:f>
        <x:v>35</x:v>
      </x:c>
      <x:c r="V158" s="10" t="n">
        <x:f>'店长明细'!$D2243</x:f>
        <x:v>21</x:v>
      </x:c>
      <x:c r="W158" s="11" t="n">
        <x:f>'店长明细'!$F155</x:f>
        <x:v>2156.66</x:v>
      </x:c>
      <x:c r="X158" s="11" t="n">
        <x:f>'店长明细'!$F387</x:f>
        <x:v>10802.81</x:v>
      </x:c>
      <x:c r="Y158" s="11" t="n">
        <x:f>'店长明细'!$F619</x:f>
        <x:v>11738.98</x:v>
      </x:c>
      <x:c r="Z158" s="11" t="n">
        <x:f>'店长明细'!$F851</x:f>
        <x:v>9387.45</x:v>
      </x:c>
      <x:c r="AA158" s="11" t="n">
        <x:f>'店长明细'!$F1083</x:f>
        <x:v>29.6</x:v>
      </x:c>
      <x:c r="AB158" s="11" t="n">
        <x:f>'店长明细'!$F1315</x:f>
        <x:v>4313.48</x:v>
      </x:c>
      <x:c r="AC158" s="11" t="n">
        <x:f>'店长明细'!$F1547</x:f>
        <x:v>8528.14</x:v>
      </x:c>
      <x:c r="AD158" s="11" t="n">
        <x:f>'店长明细'!$F1779</x:f>
        <x:v>1961.47</x:v>
      </x:c>
      <x:c r="AE158" s="11" t="n">
        <x:f>'店长明细'!$F2011</x:f>
        <x:v>940.92</x:v>
      </x:c>
      <x:c r="AF158" s="11" t="n">
        <x:f>'店长明细'!$F2243</x:f>
        <x:v>505.97</x:v>
      </x:c>
    </x:row>
    <x:row r="159">
      <x:c r="A159" t="str">
        <x:f>TEXT($B159,"mm-dd")</x:f>
        <x:v>06-04</x:v>
      </x:c>
      <x:c r="B159" s="9" t="n">
        <x:f>'店长明细'!$C156</x:f>
        <x:v>46177</x:v>
      </x:c>
      <x:c r="C159" s="10" t="n">
        <x:f>'店长明细'!$E156</x:f>
        <x:v>334</x:v>
      </x:c>
      <x:c r="D159" s="10" t="n">
        <x:f>'店长明细'!$D156</x:f>
        <x:v>187</x:v>
      </x:c>
      <x:c r="E159" s="10" t="n">
        <x:f>'店长明细'!$E388</x:f>
        <x:v>1537</x:v>
      </x:c>
      <x:c r="F159" s="10" t="n">
        <x:f>'店长明细'!$D388</x:f>
        <x:v>1127</x:v>
      </x:c>
      <x:c r="G159" s="10" t="n">
        <x:f>'店长明细'!$E620</x:f>
        <x:v>2395</x:v>
      </x:c>
      <x:c r="H159" s="10" t="n">
        <x:f>'店长明细'!$D620</x:f>
        <x:v>1176</x:v>
      </x:c>
      <x:c r="I159" s="10" t="n">
        <x:f>'店长明细'!$E852</x:f>
        <x:v>1240</x:v>
      </x:c>
      <x:c r="J159" s="10" t="n">
        <x:f>'店长明细'!$D852</x:f>
        <x:v>621</x:v>
      </x:c>
      <x:c r="K159" s="10" t="n">
        <x:f>'店长明细'!$E1084</x:f>
        <x:v>2</x:v>
      </x:c>
      <x:c r="L159" s="10" t="n">
        <x:f>'店长明细'!$D1084</x:f>
        <x:v>2</x:v>
      </x:c>
      <x:c r="M159" s="10" t="n">
        <x:f>'店长明细'!$E1316</x:f>
        <x:v>375</x:v>
      </x:c>
      <x:c r="N159" s="10" t="n">
        <x:f>'店长明细'!$D1316</x:f>
        <x:v>266</x:v>
      </x:c>
      <x:c r="O159" s="10" t="n">
        <x:f>'店长明细'!$E1548</x:f>
        <x:v>726</x:v>
      </x:c>
      <x:c r="P159" s="10" t="n">
        <x:f>'店长明细'!$D1548</x:f>
        <x:v>526</x:v>
      </x:c>
      <x:c r="Q159" s="10" t="n">
        <x:f>'店长明细'!$E1780</x:f>
        <x:v>32</x:v>
      </x:c>
      <x:c r="R159" s="10" t="n">
        <x:f>'店长明细'!$D1780</x:f>
        <x:v>16</x:v>
      </x:c>
      <x:c r="S159" s="10" t="n">
        <x:f>'店长明细'!$E2012</x:f>
        <x:v>2</x:v>
      </x:c>
      <x:c r="T159" s="10" t="n">
        <x:f>'店长明细'!$D2012</x:f>
        <x:v>1</x:v>
      </x:c>
      <x:c r="U159" s="10" t="n">
        <x:f>'店长明细'!$E2244</x:f>
        <x:v>51</x:v>
      </x:c>
      <x:c r="V159" s="10" t="n">
        <x:f>'店长明细'!$D2244</x:f>
        <x:v>28</x:v>
      </x:c>
      <x:c r="W159" s="11" t="n">
        <x:f>'店长明细'!$F156</x:f>
        <x:v>2326.87</x:v>
      </x:c>
      <x:c r="X159" s="11" t="n">
        <x:f>'店长明细'!$F388</x:f>
        <x:v>15663.36</x:v>
      </x:c>
      <x:c r="Y159" s="11" t="n">
        <x:f>'店长明细'!$F620</x:f>
        <x:v>14595.82</x:v>
      </x:c>
      <x:c r="Z159" s="11" t="n">
        <x:f>'店长明细'!$F852</x:f>
        <x:v>10000.68</x:v>
      </x:c>
      <x:c r="AA159" s="11" t="n">
        <x:f>'店长明细'!$F1084</x:f>
        <x:v>14.8</x:v>
      </x:c>
      <x:c r="AB159" s="11" t="n">
        <x:f>'店长明细'!$F1316</x:f>
        <x:v>3888.28</x:v>
      </x:c>
      <x:c r="AC159" s="11" t="n">
        <x:f>'店长明细'!$F1548</x:f>
        <x:v>7898.48</x:v>
      </x:c>
      <x:c r="AD159" s="11" t="n">
        <x:f>'店长明细'!$F1780</x:f>
        <x:v>808.78</x:v>
      </x:c>
      <x:c r="AE159" s="11" t="n">
        <x:f>'店长明细'!$F2012</x:f>
        <x:v>214.7</x:v>
      </x:c>
      <x:c r="AF159" s="11" t="n">
        <x:f>'店长明细'!$F2244</x:f>
        <x:v>754.29</x:v>
      </x:c>
    </x:row>
    <x:row r="160">
      <x:c r="A160" t="str">
        <x:f>TEXT($B160,"mm-dd")</x:f>
        <x:v>06-05</x:v>
      </x:c>
      <x:c r="B160" s="9" t="n">
        <x:f>'店长明细'!$C157</x:f>
        <x:v>46178</x:v>
      </x:c>
      <x:c r="C160" s="10" t="n">
        <x:f>'店长明细'!$E157</x:f>
        <x:v>304</x:v>
      </x:c>
      <x:c r="D160" s="10" t="n">
        <x:f>'店长明细'!$D157</x:f>
        <x:v>175</x:v>
      </x:c>
      <x:c r="E160" s="10" t="n">
        <x:f>'店长明细'!$E389</x:f>
        <x:v>1297</x:v>
      </x:c>
      <x:c r="F160" s="10" t="n">
        <x:f>'店长明细'!$D389</x:f>
        <x:v>863</x:v>
      </x:c>
      <x:c r="G160" s="10" t="n">
        <x:f>'店长明细'!$E621</x:f>
        <x:v>2044</x:v>
      </x:c>
      <x:c r="H160" s="10" t="n">
        <x:f>'店长明细'!$D621</x:f>
        <x:v>919</x:v>
      </x:c>
      <x:c r="I160" s="10" t="n">
        <x:f>'店长明细'!$E853</x:f>
        <x:v>954</x:v>
      </x:c>
      <x:c r="J160" s="10" t="n">
        <x:f>'店长明细'!$D853</x:f>
        <x:v>447</x:v>
      </x:c>
      <x:c r="K160" s="10" t="n">
        <x:f>'店长明细'!$E1085</x:f>
        <x:v>3</x:v>
      </x:c>
      <x:c r="L160" s="10" t="n">
        <x:f>'店长明细'!$D1085</x:f>
        <x:v>3</x:v>
      </x:c>
      <x:c r="M160" s="10" t="n">
        <x:f>'店长明细'!$E1317</x:f>
        <x:v>364</x:v>
      </x:c>
      <x:c r="N160" s="10" t="n">
        <x:f>'店长明细'!$D1317</x:f>
        <x:v>234</x:v>
      </x:c>
      <x:c r="O160" s="10" t="n">
        <x:f>'店长明细'!$E1549</x:f>
        <x:v>729</x:v>
      </x:c>
      <x:c r="P160" s="10" t="n">
        <x:f>'店长明细'!$D1549</x:f>
        <x:v>527</x:v>
      </x:c>
      <x:c r="Q160" s="10" t="n">
        <x:f>'店长明细'!$E1781</x:f>
        <x:v>51</x:v>
      </x:c>
      <x:c r="R160" s="10" t="n">
        <x:f>'店长明细'!$D1781</x:f>
        <x:v>35</x:v>
      </x:c>
      <x:c r="S160" s="10" t="n">
        <x:f>'店长明细'!$E2013</x:f>
        <x:v>30</x:v>
      </x:c>
      <x:c r="T160" s="10" t="n">
        <x:f>'店长明细'!$D2013</x:f>
        <x:v>17</x:v>
      </x:c>
      <x:c r="U160" s="10" t="n">
        <x:f>'店长明细'!$E2245</x:f>
        <x:v>28</x:v>
      </x:c>
      <x:c r="V160" s="10" t="n">
        <x:f>'店长明细'!$D2245</x:f>
        <x:v>20</x:v>
      </x:c>
      <x:c r="W160" s="11" t="n">
        <x:f>'店长明细'!$F157</x:f>
        <x:v>2107.17</x:v>
      </x:c>
      <x:c r="X160" s="11" t="n">
        <x:f>'店长明细'!$F389</x:f>
        <x:v>12272.78</x:v>
      </x:c>
      <x:c r="Y160" s="11" t="n">
        <x:f>'店长明细'!$F621</x:f>
        <x:v>11979.87</x:v>
      </x:c>
      <x:c r="Z160" s="11" t="n">
        <x:f>'店长明细'!$F853</x:f>
        <x:v>6828.11</x:v>
      </x:c>
      <x:c r="AA160" s="11" t="n">
        <x:f>'店长明细'!$F1085</x:f>
        <x:v>23.46</x:v>
      </x:c>
      <x:c r="AB160" s="11" t="n">
        <x:f>'店长明细'!$F1317</x:f>
        <x:v>3701.69</x:v>
      </x:c>
      <x:c r="AC160" s="11" t="n">
        <x:f>'店长明细'!$F1549</x:f>
        <x:v>7723.4</x:v>
      </x:c>
      <x:c r="AD160" s="11" t="n">
        <x:f>'店长明细'!$F1781</x:f>
        <x:v>1590.45</x:v>
      </x:c>
      <x:c r="AE160" s="11" t="n">
        <x:f>'店长明细'!$F2013</x:f>
        <x:v>1244.83</x:v>
      </x:c>
      <x:c r="AF160" s="11" t="n">
        <x:f>'店长明细'!$F2245</x:f>
        <x:v>492.23</x:v>
      </x:c>
    </x:row>
    <x:row r="161">
      <x:c r="A161" t="str">
        <x:f>TEXT($B161,"mm-dd")</x:f>
        <x:v>06-06</x:v>
      </x:c>
      <x:c r="B161" s="9" t="n">
        <x:f>'店长明细'!$C158</x:f>
        <x:v>46179</x:v>
      </x:c>
      <x:c r="C161" s="10" t="n">
        <x:f>'店长明细'!$E158</x:f>
        <x:v>380</x:v>
      </x:c>
      <x:c r="D161" s="10" t="n">
        <x:f>'店长明细'!$D158</x:f>
        <x:v>195</x:v>
      </x:c>
      <x:c r="E161" s="10" t="n">
        <x:f>'店长明细'!$E390</x:f>
        <x:v>1365</x:v>
      </x:c>
      <x:c r="F161" s="10" t="n">
        <x:f>'店长明细'!$D390</x:f>
        <x:v>975</x:v>
      </x:c>
      <x:c r="G161" s="10" t="n">
        <x:f>'店长明细'!$E622</x:f>
        <x:v>3197</x:v>
      </x:c>
      <x:c r="H161" s="10" t="n">
        <x:f>'店长明细'!$D622</x:f>
        <x:v>1408</x:v>
      </x:c>
      <x:c r="I161" s="10" t="n">
        <x:f>'店长明细'!$E854</x:f>
        <x:v>1142</x:v>
      </x:c>
      <x:c r="J161" s="10" t="n">
        <x:f>'店长明细'!$D854</x:f>
        <x:v>566</x:v>
      </x:c>
      <x:c r="K161" s="10" t="n">
        <x:f>'店长明细'!$E1086</x:f>
        <x:v>2</x:v>
      </x:c>
      <x:c r="L161" s="10" t="n">
        <x:f>'店长明细'!$D1086</x:f>
        <x:v>2</x:v>
      </x:c>
      <x:c r="M161" s="10" t="n">
        <x:f>'店长明细'!$E1318</x:f>
        <x:v>541</x:v>
      </x:c>
      <x:c r="N161" s="10" t="n">
        <x:f>'店长明细'!$D1318</x:f>
        <x:v>330</x:v>
      </x:c>
      <x:c r="O161" s="10" t="n">
        <x:f>'店长明细'!$E1550</x:f>
        <x:v>1157</x:v>
      </x:c>
      <x:c r="P161" s="10" t="n">
        <x:f>'店长明细'!$D1550</x:f>
        <x:v>830</x:v>
      </x:c>
      <x:c r="Q161" s="10" t="n">
        <x:f>'店长明细'!$E1782</x:f>
        <x:v>36</x:v>
      </x:c>
      <x:c r="R161" s="10" t="n">
        <x:f>'店长明细'!$D1782</x:f>
        <x:v>27</x:v>
      </x:c>
      <x:c r="S161" s="10" t="n">
        <x:f>'店长明细'!$E2014</x:f>
        <x:v>25</x:v>
      </x:c>
      <x:c r="T161" s="10" t="n">
        <x:f>'店长明细'!$D2014</x:f>
        <x:v>15</x:v>
      </x:c>
      <x:c r="U161" s="10" t="n">
        <x:f>'店长明细'!$E2246</x:f>
        <x:v>50</x:v>
      </x:c>
      <x:c r="V161" s="10" t="n">
        <x:f>'店长明细'!$D2246</x:f>
        <x:v>29</x:v>
      </x:c>
      <x:c r="W161" s="11" t="n">
        <x:f>'店长明细'!$F158</x:f>
        <x:v>2511.72</x:v>
      </x:c>
      <x:c r="X161" s="11" t="n">
        <x:f>'店长明细'!$F390</x:f>
        <x:v>13614.45</x:v>
      </x:c>
      <x:c r="Y161" s="11" t="n">
        <x:f>'店长明细'!$F622</x:f>
        <x:v>18015.34</x:v>
      </x:c>
      <x:c r="Z161" s="11" t="n">
        <x:f>'店长明细'!$F854</x:f>
        <x:v>9440.72</x:v>
      </x:c>
      <x:c r="AA161" s="11" t="n">
        <x:f>'店长明细'!$F1086</x:f>
        <x:v>18.43</x:v>
      </x:c>
      <x:c r="AB161" s="11" t="n">
        <x:f>'店长明细'!$F1318</x:f>
        <x:v>5041.18</x:v>
      </x:c>
      <x:c r="AC161" s="11" t="n">
        <x:f>'店长明细'!$F1550</x:f>
        <x:v>11944.57</x:v>
      </x:c>
      <x:c r="AD161" s="11" t="n">
        <x:f>'店长明细'!$F1782</x:f>
        <x:v>1118.13</x:v>
      </x:c>
      <x:c r="AE161" s="11" t="n">
        <x:f>'店长明细'!$F2014</x:f>
        <x:v>1013.99</x:v>
      </x:c>
      <x:c r="AF161" s="11" t="n">
        <x:f>'店长明细'!$F2246</x:f>
        <x:v>761.3</x:v>
      </x:c>
    </x:row>
    <x:row r="162">
      <x:c r="A162" t="str">
        <x:f>TEXT($B162,"mm-dd")</x:f>
        <x:v>06-07</x:v>
      </x:c>
      <x:c r="B162" s="9" t="n">
        <x:f>'店长明细'!$C159</x:f>
        <x:v>46180</x:v>
      </x:c>
      <x:c r="C162" s="10" t="n">
        <x:f>'店长明细'!$E159</x:f>
        <x:v>326</x:v>
      </x:c>
      <x:c r="D162" s="10" t="n">
        <x:f>'店长明细'!$D159</x:f>
        <x:v>192</x:v>
      </x:c>
      <x:c r="E162" s="10" t="n">
        <x:f>'店长明细'!$E391</x:f>
        <x:v>1527</x:v>
      </x:c>
      <x:c r="F162" s="10" t="n">
        <x:f>'店长明细'!$D391</x:f>
        <x:v>991</x:v>
      </x:c>
      <x:c r="G162" s="10" t="n">
        <x:f>'店长明细'!$E623</x:f>
        <x:v>3572</x:v>
      </x:c>
      <x:c r="H162" s="10" t="n">
        <x:f>'店长明细'!$D623</x:f>
        <x:v>1525</x:v>
      </x:c>
      <x:c r="I162" s="10" t="n">
        <x:f>'店长明细'!$E855</x:f>
        <x:v>1337</x:v>
      </x:c>
      <x:c r="J162" s="10" t="n">
        <x:f>'店长明细'!$D855</x:f>
        <x:v>651</x:v>
      </x:c>
      <x:c r="K162" s="10" t="n">
        <x:f>'店长明细'!$E1087</x:f>
        <x:v>3</x:v>
      </x:c>
      <x:c r="L162" s="10" t="n">
        <x:f>'店长明细'!$D1087</x:f>
        <x:v>2</x:v>
      </x:c>
      <x:c r="M162" s="10" t="n">
        <x:f>'店长明细'!$E1319</x:f>
        <x:v>575</x:v>
      </x:c>
      <x:c r="N162" s="10" t="n">
        <x:f>'店长明细'!$D1319</x:f>
        <x:v>375</x:v>
      </x:c>
      <x:c r="O162" s="10" t="n">
        <x:f>'店长明细'!$E1551</x:f>
        <x:v>1052</x:v>
      </x:c>
      <x:c r="P162" s="10" t="n">
        <x:f>'店长明细'!$D1551</x:f>
        <x:v>720</x:v>
      </x:c>
      <x:c r="Q162" s="10" t="n">
        <x:f>'店长明细'!$E1783</x:f>
        <x:v>14</x:v>
      </x:c>
      <x:c r="R162" s="10" t="n">
        <x:f>'店长明细'!$D1783</x:f>
        <x:v>13</x:v>
      </x:c>
      <x:c r="S162" s="10" t="n">
        <x:f>'店长明细'!$E2015</x:f>
        <x:v>6</x:v>
      </x:c>
      <x:c r="T162" s="10" t="n">
        <x:f>'店长明细'!$D2015</x:f>
        <x:v>5</x:v>
      </x:c>
      <x:c r="U162" s="10" t="n">
        <x:f>'店长明细'!$E2247</x:f>
        <x:v>39</x:v>
      </x:c>
      <x:c r="V162" s="10" t="n">
        <x:f>'店长明细'!$D2247</x:f>
        <x:v>18</x:v>
      </x:c>
      <x:c r="W162" s="11" t="n">
        <x:f>'店长明细'!$F159</x:f>
        <x:v>2466.3</x:v>
      </x:c>
      <x:c r="X162" s="11" t="n">
        <x:f>'店长明细'!$F391</x:f>
        <x:v>14499.64</x:v>
      </x:c>
      <x:c r="Y162" s="11" t="n">
        <x:f>'店长明细'!$F623</x:f>
        <x:v>19938.75</x:v>
      </x:c>
      <x:c r="Z162" s="11" t="n">
        <x:f>'店长明细'!$F855</x:f>
        <x:v>11150.16</x:v>
      </x:c>
      <x:c r="AA162" s="11" t="n">
        <x:f>'店长明细'!$F1087</x:f>
        <x:v>20.53</x:v>
      </x:c>
      <x:c r="AB162" s="11" t="n">
        <x:f>'店长明细'!$F1319</x:f>
        <x:v>5230.34</x:v>
      </x:c>
      <x:c r="AC162" s="11" t="n">
        <x:f>'店长明细'!$F1551</x:f>
        <x:v>10853.17</x:v>
      </x:c>
      <x:c r="AD162" s="11" t="n">
        <x:f>'店长明细'!$F1783</x:f>
        <x:v>614.02</x:v>
      </x:c>
      <x:c r="AE162" s="11" t="n">
        <x:f>'店长明细'!$F2015</x:f>
        <x:v>337.18</x:v>
      </x:c>
      <x:c r="AF162" s="11" t="n">
        <x:f>'店长明细'!$F2247</x:f>
        <x:v>496.42</x:v>
      </x:c>
    </x:row>
    <x:row r="163">
      <x:c r="A163" t="str">
        <x:f>TEXT($B163,"mm-dd")</x:f>
        <x:v>06-08</x:v>
      </x:c>
      <x:c r="B163" s="9" t="n">
        <x:f>'店长明细'!$C160</x:f>
        <x:v>46181</x:v>
      </x:c>
      <x:c r="C163" s="10" t="n">
        <x:f>'店长明细'!$E160</x:f>
        <x:v>255</x:v>
      </x:c>
      <x:c r="D163" s="10" t="n">
        <x:f>'店长明细'!$D160</x:f>
        <x:v>147</x:v>
      </x:c>
      <x:c r="E163" s="10" t="n">
        <x:f>'店长明细'!$E392</x:f>
        <x:v>1292</x:v>
      </x:c>
      <x:c r="F163" s="10" t="n">
        <x:f>'店长明细'!$D392</x:f>
        <x:v>857</x:v>
      </x:c>
      <x:c r="G163" s="10" t="n">
        <x:f>'店长明细'!$E624</x:f>
        <x:v>3108</x:v>
      </x:c>
      <x:c r="H163" s="10" t="n">
        <x:f>'店长明细'!$D624</x:f>
        <x:v>1309</x:v>
      </x:c>
      <x:c r="I163" s="10" t="n">
        <x:f>'店长明细'!$E856</x:f>
        <x:v>1172</x:v>
      </x:c>
      <x:c r="J163" s="10" t="n">
        <x:f>'店长明细'!$D856</x:f>
        <x:v>556</x:v>
      </x:c>
      <x:c r="K163" s="10" t="n">
        <x:f>'店长明细'!$E1088</x:f>
        <x:v>6</x:v>
      </x:c>
      <x:c r="L163" s="10" t="n">
        <x:f>'店长明细'!$D1088</x:f>
        <x:v>4</x:v>
      </x:c>
      <x:c r="M163" s="10" t="n">
        <x:f>'店长明细'!$E1320</x:f>
        <x:v>424</x:v>
      </x:c>
      <x:c r="N163" s="10" t="n">
        <x:f>'店长明细'!$D1320</x:f>
        <x:v>252</x:v>
      </x:c>
      <x:c r="O163" s="10" t="n">
        <x:f>'店长明细'!$E1552</x:f>
        <x:v>1208</x:v>
      </x:c>
      <x:c r="P163" s="10" t="n">
        <x:f>'店长明细'!$D1552</x:f>
        <x:v>827</x:v>
      </x:c>
      <x:c r="Q163" s="10" t="n">
        <x:f>'店长明细'!$E1784</x:f>
        <x:v>11</x:v>
      </x:c>
      <x:c r="R163" s="10" t="n">
        <x:f>'店长明细'!$D1784</x:f>
        <x:v>11</x:v>
      </x:c>
      <x:c r="S163" s="10" t="n">
        <x:f>'店长明细'!$E2016</x:f>
        <x:v>4</x:v>
      </x:c>
      <x:c r="T163" s="10" t="n">
        <x:f>'店长明细'!$D2016</x:f>
        <x:v>4</x:v>
      </x:c>
      <x:c r="U163" s="10" t="n">
        <x:f>'店长明细'!$E2248</x:f>
        <x:v>37</x:v>
      </x:c>
      <x:c r="V163" s="10" t="n">
        <x:f>'店长明细'!$D2248</x:f>
        <x:v>23</x:v>
      </x:c>
      <x:c r="W163" s="11" t="n">
        <x:f>'店长明细'!$F160</x:f>
        <x:v>1982.28</x:v>
      </x:c>
      <x:c r="X163" s="11" t="n">
        <x:f>'店长明细'!$F392</x:f>
        <x:v>11948.5</x:v>
      </x:c>
      <x:c r="Y163" s="11" t="n">
        <x:f>'店长明细'!$F624</x:f>
        <x:v>16606.39</x:v>
      </x:c>
      <x:c r="Z163" s="11" t="n">
        <x:f>'店长明细'!$F856</x:f>
        <x:v>9241.11</x:v>
      </x:c>
      <x:c r="AA163" s="11" t="n">
        <x:f>'店长明细'!$F1088</x:f>
        <x:v>48.05</x:v>
      </x:c>
      <x:c r="AB163" s="11" t="n">
        <x:f>'店长明细'!$F1320</x:f>
        <x:v>4158.78</x:v>
      </x:c>
      <x:c r="AC163" s="11" t="n">
        <x:f>'店长明细'!$F1552</x:f>
        <x:v>11063.79</x:v>
      </x:c>
      <x:c r="AD163" s="11" t="n">
        <x:f>'店长明细'!$F1784</x:f>
        <x:v>462.56</x:v>
      </x:c>
      <x:c r="AE163" s="11" t="n">
        <x:f>'店长明细'!$F2016</x:f>
        <x:v>177.5</x:v>
      </x:c>
      <x:c r="AF163" s="11" t="n">
        <x:f>'店长明细'!$F2248</x:f>
        <x:v>650.04</x:v>
      </x:c>
    </x:row>
    <x:row r="164">
      <x:c r="A164" t="str">
        <x:f>TEXT($B164,"mm-dd")</x:f>
        <x:v>06-09</x:v>
      </x:c>
      <x:c r="B164" s="9" t="n">
        <x:f>'店长明细'!$C161</x:f>
        <x:v>46182</x:v>
      </x:c>
      <x:c r="C164" s="10" t="n">
        <x:f>'店长明细'!$E161</x:f>
        <x:v>228</x:v>
      </x:c>
      <x:c r="D164" s="10" t="n">
        <x:f>'店长明细'!$D161</x:f>
        <x:v>127</x:v>
      </x:c>
      <x:c r="E164" s="10" t="n">
        <x:f>'店长明细'!$E393</x:f>
        <x:v>1606</x:v>
      </x:c>
      <x:c r="F164" s="10" t="n">
        <x:f>'店长明细'!$D393</x:f>
        <x:v>1052</x:v>
      </x:c>
      <x:c r="G164" s="10" t="n">
        <x:f>'店长明细'!$E625</x:f>
        <x:v>3038</x:v>
      </x:c>
      <x:c r="H164" s="10" t="n">
        <x:f>'店长明细'!$D625</x:f>
        <x:v>1279</x:v>
      </x:c>
      <x:c r="I164" s="10" t="n">
        <x:f>'店长明细'!$E857</x:f>
        <x:v>1077</x:v>
      </x:c>
      <x:c r="J164" s="10" t="n">
        <x:f>'店长明细'!$D857</x:f>
        <x:v>520</x:v>
      </x:c>
      <x:c r="K164" s="10" t="n">
        <x:f>'店长明细'!$E1089</x:f>
        <x:v>5</x:v>
      </x:c>
      <x:c r="L164" s="10" t="n">
        <x:f>'店长明细'!$D1089</x:f>
        <x:v>3</x:v>
      </x:c>
      <x:c r="M164" s="10" t="n">
        <x:f>'店长明细'!$E1321</x:f>
        <x:v>484</x:v>
      </x:c>
      <x:c r="N164" s="10" t="n">
        <x:f>'店长明细'!$D1321</x:f>
        <x:v>312</x:v>
      </x:c>
      <x:c r="O164" s="10" t="n">
        <x:f>'店长明细'!$E1553</x:f>
        <x:v>1119</x:v>
      </x:c>
      <x:c r="P164" s="10" t="n">
        <x:f>'店长明细'!$D1553</x:f>
        <x:v>749</x:v>
      </x:c>
      <x:c r="Q164" s="10" t="n">
        <x:f>'店长明细'!$E1785</x:f>
        <x:v>52</x:v>
      </x:c>
      <x:c r="R164" s="10" t="n">
        <x:f>'店长明细'!$D1785</x:f>
        <x:v>30</x:v>
      </x:c>
      <x:c r="S164" s="10" t="n">
        <x:f>'店长明细'!$E2017</x:f>
        <x:v>18</x:v>
      </x:c>
      <x:c r="T164" s="10" t="n">
        <x:f>'店长明细'!$D2017</x:f>
        <x:v>15</x:v>
      </x:c>
      <x:c r="U164" s="10" t="n">
        <x:f>'店长明细'!$E2249</x:f>
        <x:v>33</x:v>
      </x:c>
      <x:c r="V164" s="10" t="n">
        <x:f>'店长明细'!$D2249</x:f>
        <x:v>18</x:v>
      </x:c>
      <x:c r="W164" s="11" t="n">
        <x:f>'店长明细'!$F161</x:f>
        <x:v>1769.31</x:v>
      </x:c>
      <x:c r="X164" s="11" t="n">
        <x:f>'店长明细'!$F393</x:f>
        <x:v>15268.08</x:v>
      </x:c>
      <x:c r="Y164" s="11" t="n">
        <x:f>'店长明细'!$F625</x:f>
        <x:v>16762.63</x:v>
      </x:c>
      <x:c r="Z164" s="11" t="n">
        <x:f>'店长明细'!$F857</x:f>
        <x:v>8795.53</x:v>
      </x:c>
      <x:c r="AA164" s="11" t="n">
        <x:f>'店长明细'!$F1089</x:f>
        <x:v>29.47</x:v>
      </x:c>
      <x:c r="AB164" s="11" t="n">
        <x:f>'店长明细'!$F1321</x:f>
        <x:v>4799.88</x:v>
      </x:c>
      <x:c r="AC164" s="11" t="n">
        <x:f>'店长明细'!$F1553</x:f>
        <x:v>10844.17</x:v>
      </x:c>
      <x:c r="AD164" s="11" t="n">
        <x:f>'店长明细'!$F1785</x:f>
        <x:v>1779.5</x:v>
      </x:c>
      <x:c r="AE164" s="11" t="n">
        <x:f>'店长明细'!$F2017</x:f>
        <x:v>832.15</x:v>
      </x:c>
      <x:c r="AF164" s="11" t="n">
        <x:f>'店长明细'!$F2249</x:f>
        <x:v>435.57</x:v>
      </x:c>
    </x:row>
    <x:row r="165">
      <x:c r="A165" t="str">
        <x:f>TEXT($B165,"mm-dd")</x:f>
        <x:v>06-10</x:v>
      </x:c>
      <x:c r="B165" s="9" t="n">
        <x:f>'店长明细'!$C162</x:f>
        <x:v>46183</x:v>
      </x:c>
      <x:c r="C165" s="10" t="n">
        <x:f>'店长明细'!$E162</x:f>
        <x:v>201</x:v>
      </x:c>
      <x:c r="D165" s="10" t="n">
        <x:f>'店长明细'!$D162</x:f>
        <x:v>113</x:v>
      </x:c>
      <x:c r="E165" s="10" t="n">
        <x:f>'店长明细'!$E394</x:f>
        <x:v>1540</x:v>
      </x:c>
      <x:c r="F165" s="10" t="n">
        <x:f>'店长明细'!$D394</x:f>
        <x:v>978</x:v>
      </x:c>
      <x:c r="G165" s="10" t="n">
        <x:f>'店长明细'!$E626</x:f>
        <x:v>2863</x:v>
      </x:c>
      <x:c r="H165" s="10" t="n">
        <x:f>'店长明细'!$D626</x:f>
        <x:v>1218</x:v>
      </x:c>
      <x:c r="I165" s="10" t="n">
        <x:f>'店长明细'!$E858</x:f>
        <x:v>1061</x:v>
      </x:c>
      <x:c r="J165" s="10" t="n">
        <x:f>'店长明细'!$D858</x:f>
        <x:v>517</x:v>
      </x:c>
      <x:c r="K165" s="10" t="n">
        <x:f>'店长明细'!$E1090</x:f>
        <x:v>4</x:v>
      </x:c>
      <x:c r="L165" s="10" t="n">
        <x:f>'店长明细'!$D1090</x:f>
        <x:v>2</x:v>
      </x:c>
      <x:c r="M165" s="10" t="n">
        <x:f>'店长明细'!$E1322</x:f>
        <x:v>433</x:v>
      </x:c>
      <x:c r="N165" s="10" t="n">
        <x:f>'店长明细'!$D1322</x:f>
        <x:v>284</x:v>
      </x:c>
      <x:c r="O165" s="10" t="n">
        <x:f>'店长明细'!$E1554</x:f>
        <x:v>1036</x:v>
      </x:c>
      <x:c r="P165" s="10" t="n">
        <x:f>'店长明细'!$D1554</x:f>
        <x:v>677</x:v>
      </x:c>
      <x:c r="Q165" s="10" t="n">
        <x:f>'店长明细'!$E1786</x:f>
        <x:v>40</x:v>
      </x:c>
      <x:c r="R165" s="10" t="n">
        <x:f>'店长明细'!$D1786</x:f>
        <x:v>33</x:v>
      </x:c>
      <x:c r="S165" s="10" t="n">
        <x:f>'店长明细'!$E2018</x:f>
        <x:v>16</x:v>
      </x:c>
      <x:c r="T165" s="10" t="n">
        <x:f>'店长明细'!$D2018</x:f>
        <x:v>12</x:v>
      </x:c>
      <x:c r="U165" s="10" t="n">
        <x:f>'店长明细'!$E2250</x:f>
        <x:v>38</x:v>
      </x:c>
      <x:c r="V165" s="10" t="n">
        <x:f>'店长明细'!$D2250</x:f>
        <x:v>22</x:v>
      </x:c>
      <x:c r="W165" s="11" t="n">
        <x:f>'店长明细'!$F162</x:f>
        <x:v>1530.21</x:v>
      </x:c>
      <x:c r="X165" s="11" t="n">
        <x:f>'店长明细'!$F394</x:f>
        <x:v>14007.58</x:v>
      </x:c>
      <x:c r="Y165" s="11" t="n">
        <x:f>'店长明细'!$F626</x:f>
        <x:v>15750.08</x:v>
      </x:c>
      <x:c r="Z165" s="11" t="n">
        <x:f>'店长明细'!$F858</x:f>
        <x:v>9027.84</x:v>
      </x:c>
      <x:c r="AA165" s="11" t="n">
        <x:f>'店长明细'!$F1090</x:f>
        <x:v>27.72</x:v>
      </x:c>
      <x:c r="AB165" s="11" t="n">
        <x:f>'店长明细'!$F1322</x:f>
        <x:v>4352.54</x:v>
      </x:c>
      <x:c r="AC165" s="11" t="n">
        <x:f>'店长明细'!$F1554</x:f>
        <x:v>9267.28</x:v>
      </x:c>
      <x:c r="AD165" s="11" t="n">
        <x:f>'店长明细'!$F1786</x:f>
        <x:v>1441.02</x:v>
      </x:c>
      <x:c r="AE165" s="11" t="n">
        <x:f>'店长明细'!$F2018</x:f>
        <x:v>859.16</x:v>
      </x:c>
      <x:c r="AF165" s="11" t="n">
        <x:f>'店长明细'!$F2250</x:f>
        <x:v>422.47</x:v>
      </x:c>
    </x:row>
    <x:row r="166">
      <x:c r="A166" t="str">
        <x:f>TEXT($B166,"mm-dd")</x:f>
        <x:v>06-11</x:v>
      </x:c>
      <x:c r="B166" s="9" t="n">
        <x:f>'店长明细'!$C163</x:f>
        <x:v>46184</x:v>
      </x:c>
      <x:c r="C166" s="10" t="n">
        <x:f>'店长明细'!$E163</x:f>
        <x:v>261</x:v>
      </x:c>
      <x:c r="D166" s="10" t="n">
        <x:f>'店长明细'!$D163</x:f>
        <x:v>148</x:v>
      </x:c>
      <x:c r="E166" s="10" t="n">
        <x:f>'店长明细'!$E395</x:f>
        <x:v>1480</x:v>
      </x:c>
      <x:c r="F166" s="10" t="n">
        <x:f>'店长明细'!$D395</x:f>
        <x:v>934</x:v>
      </x:c>
      <x:c r="G166" s="10" t="n">
        <x:f>'店长明细'!$E627</x:f>
        <x:v>2464</x:v>
      </x:c>
      <x:c r="H166" s="10" t="n">
        <x:f>'店长明细'!$D627</x:f>
        <x:v>1060</x:v>
      </x:c>
      <x:c r="I166" s="10" t="n">
        <x:f>'店长明细'!$E859</x:f>
        <x:v>1058</x:v>
      </x:c>
      <x:c r="J166" s="10" t="n">
        <x:f>'店长明细'!$D859</x:f>
        <x:v>541</x:v>
      </x:c>
      <x:c r="K166" s="10" t="n">
        <x:f>'店长明细'!$E1091</x:f>
        <x:v>4</x:v>
      </x:c>
      <x:c r="L166" s="10" t="n">
        <x:f>'店长明细'!$D1091</x:f>
        <x:v>3</x:v>
      </x:c>
      <x:c r="M166" s="10" t="n">
        <x:f>'店长明细'!$E1323</x:f>
        <x:v>433</x:v>
      </x:c>
      <x:c r="N166" s="10" t="n">
        <x:f>'店长明细'!$D1323</x:f>
        <x:v>307</x:v>
      </x:c>
      <x:c r="O166" s="10" t="n">
        <x:f>'店长明细'!$E1555</x:f>
        <x:v>1147</x:v>
      </x:c>
      <x:c r="P166" s="10" t="n">
        <x:f>'店长明细'!$D1555</x:f>
        <x:v>776</x:v>
      </x:c>
      <x:c r="Q166" s="10" t="n">
        <x:f>'店长明细'!$E1787</x:f>
        <x:v>30</x:v>
      </x:c>
      <x:c r="R166" s="10" t="n">
        <x:f>'店长明细'!$D1787</x:f>
        <x:v>24</x:v>
      </x:c>
      <x:c r="S166" s="10" t="n">
        <x:f>'店长明细'!$E2019</x:f>
        <x:v>15</x:v>
      </x:c>
      <x:c r="T166" s="10" t="n">
        <x:f>'店长明细'!$D2019</x:f>
        <x:v>13</x:v>
      </x:c>
      <x:c r="U166" s="10" t="n">
        <x:f>'店长明细'!$E2251</x:f>
        <x:v>36</x:v>
      </x:c>
      <x:c r="V166" s="10" t="n">
        <x:f>'店长明细'!$D2251</x:f>
        <x:v>19</x:v>
      </x:c>
      <x:c r="W166" s="11" t="n">
        <x:f>'店长明细'!$F163</x:f>
        <x:v>1950.01</x:v>
      </x:c>
      <x:c r="X166" s="11" t="n">
        <x:f>'店长明细'!$F395</x:f>
        <x:v>13528.86</x:v>
      </x:c>
      <x:c r="Y166" s="11" t="n">
        <x:f>'店长明细'!$F627</x:f>
        <x:v>14129.62</x:v>
      </x:c>
      <x:c r="Z166" s="11" t="n">
        <x:f>'店长明细'!$F859</x:f>
        <x:v>8694.36</x:v>
      </x:c>
      <x:c r="AA166" s="11" t="n">
        <x:f>'店长明细'!$F1091</x:f>
        <x:v>28.77</x:v>
      </x:c>
      <x:c r="AB166" s="11" t="n">
        <x:f>'店长明细'!$F1323</x:f>
        <x:v>4493.93</x:v>
      </x:c>
      <x:c r="AC166" s="11" t="n">
        <x:f>'店长明细'!$F1555</x:f>
        <x:v>10971.8</x:v>
      </x:c>
      <x:c r="AD166" s="11" t="n">
        <x:f>'店长明细'!$F1787</x:f>
        <x:v>1804.5</x:v>
      </x:c>
      <x:c r="AE166" s="11" t="n">
        <x:f>'店长明细'!$F2019</x:f>
        <x:v>987.56</x:v>
      </x:c>
      <x:c r="AF166" s="11" t="n">
        <x:f>'店长明细'!$F2251</x:f>
        <x:v>542.58</x:v>
      </x:c>
    </x:row>
    <x:row r="167">
      <x:c r="A167" t="str">
        <x:f>TEXT($B167,"mm-dd")</x:f>
        <x:v>06-12</x:v>
      </x:c>
      <x:c r="B167" s="9" t="n">
        <x:f>'店长明细'!$C164</x:f>
        <x:v>46185</x:v>
      </x:c>
      <x:c r="C167" s="10" t="n">
        <x:f>'店长明细'!$E164</x:f>
        <x:v>266</x:v>
      </x:c>
      <x:c r="D167" s="10" t="n">
        <x:f>'店长明细'!$D164</x:f>
        <x:v>150</x:v>
      </x:c>
      <x:c r="E167" s="10" t="n">
        <x:f>'店长明细'!$E396</x:f>
        <x:v>1767</x:v>
      </x:c>
      <x:c r="F167" s="10" t="n">
        <x:f>'店长明细'!$D396</x:f>
        <x:v>1146</x:v>
      </x:c>
      <x:c r="G167" s="10" t="n">
        <x:f>'店长明细'!$E628</x:f>
        <x:v>2463</x:v>
      </x:c>
      <x:c r="H167" s="10" t="n">
        <x:f>'店长明细'!$D628</x:f>
        <x:v>1047</x:v>
      </x:c>
      <x:c r="I167" s="10" t="n">
        <x:f>'店长明细'!$E860</x:f>
        <x:v>1298</x:v>
      </x:c>
      <x:c r="J167" s="10" t="n">
        <x:f>'店长明细'!$D860</x:f>
        <x:v>606</x:v>
      </x:c>
      <x:c r="K167" s="10" t="n">
        <x:f>'店长明细'!$E1092</x:f>
        <x:v>6</x:v>
      </x:c>
      <x:c r="L167" s="10" t="n">
        <x:f>'店长明细'!$D1092</x:f>
        <x:v>6</x:v>
      </x:c>
      <x:c r="M167" s="10" t="n">
        <x:f>'店长明细'!$E1324</x:f>
        <x:v>469</x:v>
      </x:c>
      <x:c r="N167" s="10" t="n">
        <x:f>'店长明细'!$D1324</x:f>
        <x:v>310</x:v>
      </x:c>
      <x:c r="O167" s="10" t="n">
        <x:f>'店长明细'!$E1556</x:f>
        <x:v>1052</x:v>
      </x:c>
      <x:c r="P167" s="10" t="n">
        <x:f>'店长明细'!$D1556</x:f>
        <x:v>713</x:v>
      </x:c>
      <x:c r="Q167" s="10" t="n">
        <x:f>'店长明细'!$E1788</x:f>
        <x:v>28</x:v>
      </x:c>
      <x:c r="R167" s="10" t="n">
        <x:f>'店长明细'!$D1788</x:f>
        <x:v>16</x:v>
      </x:c>
      <x:c r="S167" s="10" t="n">
        <x:f>'店长明细'!$E2020</x:f>
        <x:v>19</x:v>
      </x:c>
      <x:c r="T167" s="10" t="n">
        <x:f>'店长明细'!$D2020</x:f>
        <x:v>10</x:v>
      </x:c>
      <x:c r="U167" s="10" t="n">
        <x:f>'店长明细'!$E2252</x:f>
        <x:v>26</x:v>
      </x:c>
      <x:c r="V167" s="10" t="n">
        <x:f>'店长明细'!$D2252</x:f>
        <x:v>19</x:v>
      </x:c>
      <x:c r="W167" s="11" t="n">
        <x:f>'店长明细'!$F164</x:f>
        <x:v>2085.1</x:v>
      </x:c>
      <x:c r="X167" s="11" t="n">
        <x:f>'店长明细'!$F396</x:f>
        <x:v>16200.6</x:v>
      </x:c>
      <x:c r="Y167" s="11" t="n">
        <x:f>'店长明细'!$F628</x:f>
        <x:v>14159.8</x:v>
      </x:c>
      <x:c r="Z167" s="11" t="n">
        <x:f>'店长明细'!$F860</x:f>
        <x:v>10096.13</x:v>
      </x:c>
      <x:c r="AA167" s="11" t="n">
        <x:f>'店长明细'!$F1092</x:f>
        <x:v>48.14</x:v>
      </x:c>
      <x:c r="AB167" s="11" t="n">
        <x:f>'店长明细'!$F1324</x:f>
        <x:v>4882.27</x:v>
      </x:c>
      <x:c r="AC167" s="11" t="n">
        <x:f>'店长明细'!$F1556</x:f>
        <x:v>11049.89</x:v>
      </x:c>
      <x:c r="AD167" s="11" t="n">
        <x:f>'店长明细'!$F1788</x:f>
        <x:v>1325.1</x:v>
      </x:c>
      <x:c r="AE167" s="11" t="n">
        <x:f>'店长明细'!$F2020</x:f>
        <x:v>555.53</x:v>
      </x:c>
      <x:c r="AF167" s="11" t="n">
        <x:f>'店长明细'!$F2252</x:f>
        <x:v>346.96</x:v>
      </x:c>
    </x:row>
    <x:row r="168">
      <x:c r="A168" t="str">
        <x:f>TEXT($B168,"mm-dd")</x:f>
        <x:v>06-13</x:v>
      </x:c>
      <x:c r="B168" s="9" t="n">
        <x:f>'店长明细'!$C165</x:f>
        <x:v>46186</x:v>
      </x:c>
      <x:c r="C168" s="10" t="n">
        <x:f>'店长明细'!$E165</x:f>
        <x:v>250</x:v>
      </x:c>
      <x:c r="D168" s="10" t="n">
        <x:f>'店长明细'!$D165</x:f>
        <x:v>148</x:v>
      </x:c>
      <x:c r="E168" s="10" t="n">
        <x:f>'店长明细'!$E397</x:f>
        <x:v>1783</x:v>
      </x:c>
      <x:c r="F168" s="10" t="n">
        <x:f>'店长明细'!$D397</x:f>
        <x:v>1118</x:v>
      </x:c>
      <x:c r="G168" s="10" t="n">
        <x:f>'店长明细'!$E629</x:f>
        <x:v>2593</x:v>
      </x:c>
      <x:c r="H168" s="10" t="n">
        <x:f>'店长明细'!$D629</x:f>
        <x:v>1111</x:v>
      </x:c>
      <x:c r="I168" s="10" t="n">
        <x:f>'店长明细'!$E861</x:f>
        <x:v>1398</x:v>
      </x:c>
      <x:c r="J168" s="10" t="n">
        <x:f>'店长明细'!$D861</x:f>
        <x:v>680</x:v>
      </x:c>
      <x:c r="K168" s="10" t="n">
        <x:f>'店长明细'!$E1093</x:f>
        <x:v>8</x:v>
      </x:c>
      <x:c r="L168" s="10" t="n">
        <x:f>'店长明细'!$D1093</x:f>
        <x:v>8</x:v>
      </x:c>
      <x:c r="M168" s="10" t="n">
        <x:f>'店长明细'!$E1325</x:f>
        <x:v>392</x:v>
      </x:c>
      <x:c r="N168" s="10" t="n">
        <x:f>'店长明细'!$D1325</x:f>
        <x:v>283</x:v>
      </x:c>
      <x:c r="O168" s="10" t="n">
        <x:f>'店长明细'!$E1557</x:f>
        <x:v>1031</x:v>
      </x:c>
      <x:c r="P168" s="10" t="n">
        <x:f>'店长明细'!$D1557</x:f>
        <x:v>668</x:v>
      </x:c>
      <x:c r="Q168" s="10" t="n">
        <x:f>'店长明细'!$E1789</x:f>
        <x:v>34</x:v>
      </x:c>
      <x:c r="R168" s="10" t="n">
        <x:f>'店长明细'!$D1789</x:f>
        <x:v>23</x:v>
      </x:c>
      <x:c r="S168" s="10" t="n">
        <x:f>'店长明细'!$E2021</x:f>
        <x:v>8</x:v>
      </x:c>
      <x:c r="T168" s="10" t="n">
        <x:f>'店长明细'!$D2021</x:f>
        <x:v>7</x:v>
      </x:c>
      <x:c r="U168" s="10" t="n">
        <x:f>'店长明细'!$E2253</x:f>
        <x:v>32</x:v>
      </x:c>
      <x:c r="V168" s="10" t="n">
        <x:f>'店长明细'!$D2253</x:f>
        <x:v>19</x:v>
      </x:c>
      <x:c r="W168" s="11" t="n">
        <x:f>'店长明细'!$F165</x:f>
        <x:v>2011.9</x:v>
      </x:c>
      <x:c r="X168" s="11" t="n">
        <x:f>'店长明细'!$F397</x:f>
        <x:v>15379.02</x:v>
      </x:c>
      <x:c r="Y168" s="11" t="n">
        <x:f>'店长明细'!$F629</x:f>
        <x:v>15754.02</x:v>
      </x:c>
      <x:c r="Z168" s="11" t="n">
        <x:f>'店长明细'!$F861</x:f>
        <x:v>11201.49</x:v>
      </x:c>
      <x:c r="AA168" s="11" t="n">
        <x:f>'店长明细'!$F1093</x:f>
        <x:v>60.6</x:v>
      </x:c>
      <x:c r="AB168" s="11" t="n">
        <x:f>'店长明细'!$F1325</x:f>
        <x:v>4172.97</x:v>
      </x:c>
      <x:c r="AC168" s="11" t="n">
        <x:f>'店长明细'!$F1557</x:f>
        <x:v>9606.19</x:v>
      </x:c>
      <x:c r="AD168" s="11" t="n">
        <x:f>'店长明细'!$F1789</x:f>
        <x:v>1808.84</x:v>
      </x:c>
      <x:c r="AE168" s="11" t="n">
        <x:f>'店长明细'!$F2021</x:f>
        <x:v>448.08</x:v>
      </x:c>
      <x:c r="AF168" s="11" t="n">
        <x:f>'店长明细'!$F2253</x:f>
        <x:v>390.64</x:v>
      </x:c>
    </x:row>
    <x:row r="169">
      <x:c r="A169" t="str">
        <x:f>TEXT($B169,"mm-dd")</x:f>
        <x:v>06-14</x:v>
      </x:c>
      <x:c r="B169" s="9" t="n">
        <x:f>'店长明细'!$C166</x:f>
        <x:v>46187</x:v>
      </x:c>
      <x:c r="C169" s="10" t="n">
        <x:f>'店长明细'!$E166</x:f>
        <x:v>240</x:v>
      </x:c>
      <x:c r="D169" s="10" t="n">
        <x:f>'店长明细'!$D166</x:f>
        <x:v>131</x:v>
      </x:c>
      <x:c r="E169" s="10" t="n">
        <x:f>'店长明细'!$E398</x:f>
        <x:v>1610</x:v>
      </x:c>
      <x:c r="F169" s="10" t="n">
        <x:f>'店长明细'!$D398</x:f>
        <x:v>1020</x:v>
      </x:c>
      <x:c r="G169" s="10" t="n">
        <x:f>'店长明细'!$E630</x:f>
        <x:v>2356</x:v>
      </x:c>
      <x:c r="H169" s="10" t="n">
        <x:f>'店长明细'!$D630</x:f>
        <x:v>1024</x:v>
      </x:c>
      <x:c r="I169" s="10" t="n">
        <x:f>'店长明细'!$E862</x:f>
        <x:v>1350</x:v>
      </x:c>
      <x:c r="J169" s="10" t="n">
        <x:f>'店长明细'!$D862</x:f>
        <x:v>643</x:v>
      </x:c>
      <x:c r="K169" s="10" t="n">
        <x:f>'店长明细'!$E1094</x:f>
        <x:v>13</x:v>
      </x:c>
      <x:c r="L169" s="10" t="n">
        <x:f>'店长明细'!$D1094</x:f>
        <x:v>12</x:v>
      </x:c>
      <x:c r="M169" s="10" t="n">
        <x:f>'店长明细'!$E1326</x:f>
        <x:v>384</x:v>
      </x:c>
      <x:c r="N169" s="10" t="n">
        <x:f>'店长明细'!$D1326</x:f>
        <x:v>263</x:v>
      </x:c>
      <x:c r="O169" s="10" t="n">
        <x:f>'店长明细'!$E1558</x:f>
        <x:v>1003</x:v>
      </x:c>
      <x:c r="P169" s="10" t="n">
        <x:f>'店长明细'!$D1558</x:f>
        <x:v>682</x:v>
      </x:c>
      <x:c r="Q169" s="10" t="n">
        <x:f>'店长明细'!$E1790</x:f>
        <x:v>42</x:v>
      </x:c>
      <x:c r="R169" s="10" t="n">
        <x:f>'店长明细'!$D1790</x:f>
        <x:v>26</x:v>
      </x:c>
      <x:c r="S169" s="10" t="n">
        <x:f>'店长明细'!$E2022</x:f>
        <x:v>7</x:v>
      </x:c>
      <x:c r="T169" s="10" t="n">
        <x:f>'店长明细'!$D2022</x:f>
        <x:v>7</x:v>
      </x:c>
      <x:c r="U169" s="10" t="n">
        <x:f>'店长明细'!$E2254</x:f>
        <x:v>38</x:v>
      </x:c>
      <x:c r="V169" s="10" t="n">
        <x:f>'店长明细'!$D2254</x:f>
        <x:v>18</x:v>
      </x:c>
      <x:c r="W169" s="11" t="n">
        <x:f>'店长明细'!$F166</x:f>
        <x:v>1782.32</x:v>
      </x:c>
      <x:c r="X169" s="11" t="n">
        <x:f>'店长明细'!$F398</x:f>
        <x:v>13782.24</x:v>
      </x:c>
      <x:c r="Y169" s="11" t="n">
        <x:f>'店长明细'!$F630</x:f>
        <x:v>13924.48</x:v>
      </x:c>
      <x:c r="Z169" s="11" t="n">
        <x:f>'店长明细'!$F862</x:f>
        <x:v>10879.41</x:v>
      </x:c>
      <x:c r="AA169" s="11" t="n">
        <x:f>'店长明细'!$F1094</x:f>
        <x:v>96.2</x:v>
      </x:c>
      <x:c r="AB169" s="11" t="n">
        <x:f>'店长明细'!$F1326</x:f>
        <x:v>3781.9</x:v>
      </x:c>
      <x:c r="AC169" s="11" t="n">
        <x:f>'店长明细'!$F1558</x:f>
        <x:v>9558.8</x:v>
      </x:c>
      <x:c r="AD169" s="11" t="n">
        <x:f>'店长明细'!$F1790</x:f>
        <x:v>1827.25</x:v>
      </x:c>
      <x:c r="AE169" s="11" t="n">
        <x:f>'店长明细'!$F2022</x:f>
        <x:v>520.38</x:v>
      </x:c>
      <x:c r="AF169" s="11" t="n">
        <x:f>'店长明细'!$F2254</x:f>
        <x:v>546.14</x:v>
      </x:c>
    </x:row>
    <x:row r="170">
      <x:c r="A170" t="str">
        <x:f>TEXT($B170,"mm-dd")</x:f>
        <x:v>06-15</x:v>
      </x:c>
      <x:c r="B170" s="9" t="n">
        <x:f>'店长明细'!$C167</x:f>
        <x:v>46188</x:v>
      </x:c>
      <x:c r="C170" s="10" t="n">
        <x:f>'店长明细'!$E167</x:f>
        <x:v>226</x:v>
      </x:c>
      <x:c r="D170" s="10" t="n">
        <x:f>'店长明细'!$D167</x:f>
        <x:v>113</x:v>
      </x:c>
      <x:c r="E170" s="10" t="n">
        <x:f>'店长明细'!$E399</x:f>
        <x:v>1695</x:v>
      </x:c>
      <x:c r="F170" s="10" t="n">
        <x:f>'店长明细'!$D399</x:f>
        <x:v>1099</x:v>
      </x:c>
      <x:c r="G170" s="10" t="n">
        <x:f>'店长明细'!$E631</x:f>
        <x:v>2404</x:v>
      </x:c>
      <x:c r="H170" s="10" t="n">
        <x:f>'店长明细'!$D631</x:f>
        <x:v>1025</x:v>
      </x:c>
      <x:c r="I170" s="10" t="n">
        <x:f>'店长明细'!$E863</x:f>
        <x:v>1222</x:v>
      </x:c>
      <x:c r="J170" s="10" t="n">
        <x:f>'店长明细'!$D863</x:f>
        <x:v>576</x:v>
      </x:c>
      <x:c r="K170" s="10" t="n">
        <x:f>'店长明细'!$E1095</x:f>
        <x:v>6</x:v>
      </x:c>
      <x:c r="L170" s="10" t="n">
        <x:f>'店长明细'!$D1095</x:f>
        <x:v>6</x:v>
      </x:c>
      <x:c r="M170" s="10" t="n">
        <x:f>'店长明细'!$E1327</x:f>
        <x:v>512</x:v>
      </x:c>
      <x:c r="N170" s="10" t="n">
        <x:f>'店长明细'!$D1327</x:f>
        <x:v>334</x:v>
      </x:c>
      <x:c r="O170" s="10" t="n">
        <x:f>'店长明细'!$E1559</x:f>
        <x:v>938</x:v>
      </x:c>
      <x:c r="P170" s="10" t="n">
        <x:f>'店长明细'!$D1559</x:f>
        <x:v>624</x:v>
      </x:c>
      <x:c r="Q170" s="10" t="n">
        <x:f>'店长明细'!$E1791</x:f>
        <x:v>15</x:v>
      </x:c>
      <x:c r="R170" s="10" t="n">
        <x:f>'店长明细'!$D1791</x:f>
        <x:v>12</x:v>
      </x:c>
      <x:c r="S170" s="10" t="n">
        <x:f>'店长明细'!$E2023</x:f>
        <x:v>4</x:v>
      </x:c>
      <x:c r="T170" s="10" t="n">
        <x:f>'店长明细'!$D2023</x:f>
        <x:v>3</x:v>
      </x:c>
      <x:c r="U170" s="10" t="n">
        <x:f>'店长明细'!$E2255</x:f>
        <x:v>37</x:v>
      </x:c>
      <x:c r="V170" s="10" t="n">
        <x:f>'店长明细'!$D2255</x:f>
        <x:v>20</x:v>
      </x:c>
      <x:c r="W170" s="11" t="n">
        <x:f>'店长明细'!$F167</x:f>
        <x:v>1509.26</x:v>
      </x:c>
      <x:c r="X170" s="11" t="n">
        <x:f>'店长明细'!$F399</x:f>
        <x:v>15050.87</x:v>
      </x:c>
      <x:c r="Y170" s="11" t="n">
        <x:f>'店长明细'!$F631</x:f>
        <x:v>14780.18</x:v>
      </x:c>
      <x:c r="Z170" s="11" t="n">
        <x:f>'店长明细'!$F863</x:f>
        <x:v>9586.78</x:v>
      </x:c>
      <x:c r="AA170" s="11" t="n">
        <x:f>'店长明细'!$F1095</x:f>
        <x:v>48.41</x:v>
      </x:c>
      <x:c r="AB170" s="11" t="n">
        <x:f>'店长明细'!$F1327</x:f>
        <x:v>5281.69</x:v>
      </x:c>
      <x:c r="AC170" s="11" t="n">
        <x:f>'店长明细'!$F1559</x:f>
        <x:v>9400.48</x:v>
      </x:c>
      <x:c r="AD170" s="11" t="n">
        <x:f>'店长明细'!$F1791</x:f>
        <x:v>550.91</x:v>
      </x:c>
      <x:c r="AE170" s="11" t="n">
        <x:f>'店长明细'!$F2023</x:f>
        <x:v>155.37</x:v>
      </x:c>
      <x:c r="AF170" s="11" t="n">
        <x:f>'店长明细'!$F2255</x:f>
        <x:v>424.62</x:v>
      </x:c>
    </x:row>
    <x:row r="171">
      <x:c r="A171" t="str">
        <x:f>TEXT($B171,"mm-dd")</x:f>
        <x:v>06-16</x:v>
      </x:c>
      <x:c r="B171" s="9" t="n">
        <x:f>'店长明细'!$C168</x:f>
        <x:v>46189</x:v>
      </x:c>
      <x:c r="C171" s="10" t="n">
        <x:f>'店长明细'!$E168</x:f>
        <x:v>201</x:v>
      </x:c>
      <x:c r="D171" s="10" t="n">
        <x:f>'店长明细'!$D168</x:f>
        <x:v>118</x:v>
      </x:c>
      <x:c r="E171" s="10" t="n">
        <x:f>'店长明细'!$E400</x:f>
        <x:v>1721</x:v>
      </x:c>
      <x:c r="F171" s="10" t="n">
        <x:f>'店长明细'!$D400</x:f>
        <x:v>1109</x:v>
      </x:c>
      <x:c r="G171" s="10" t="n">
        <x:f>'店长明细'!$E632</x:f>
        <x:v>2514</x:v>
      </x:c>
      <x:c r="H171" s="10" t="n">
        <x:f>'店长明细'!$D632</x:f>
        <x:v>1051</x:v>
      </x:c>
      <x:c r="I171" s="10" t="n">
        <x:f>'店长明细'!$E864</x:f>
        <x:v>1440</x:v>
      </x:c>
      <x:c r="J171" s="10" t="n">
        <x:f>'店长明细'!$D864</x:f>
        <x:v>696</x:v>
      </x:c>
      <x:c r="K171" s="10" t="n">
        <x:f>'店长明细'!$E1096</x:f>
        <x:v>7</x:v>
      </x:c>
      <x:c r="L171" s="10" t="n">
        <x:f>'店长明细'!$D1096</x:f>
        <x:v>7</x:v>
      </x:c>
      <x:c r="M171" s="10" t="n">
        <x:f>'店长明细'!$E1328</x:f>
        <x:v>489</x:v>
      </x:c>
      <x:c r="N171" s="10" t="n">
        <x:f>'店长明细'!$D1328</x:f>
        <x:v>317</x:v>
      </x:c>
      <x:c r="O171" s="10" t="n">
        <x:f>'店长明细'!$E1560</x:f>
        <x:v>998</x:v>
      </x:c>
      <x:c r="P171" s="10" t="n">
        <x:f>'店长明细'!$D1560</x:f>
        <x:v>682</x:v>
      </x:c>
      <x:c r="Q171" s="10" t="n">
        <x:f>'店长明细'!$E1792</x:f>
        <x:v>77</x:v>
      </x:c>
      <x:c r="R171" s="10" t="n">
        <x:f>'店长明细'!$D1792</x:f>
        <x:v>50</x:v>
      </x:c>
      <x:c r="S171" s="10" t="n">
        <x:f>'店长明细'!$E2024</x:f>
        <x:v>12</x:v>
      </x:c>
      <x:c r="T171" s="10" t="n">
        <x:f>'店长明细'!$D2024</x:f>
        <x:v>12</x:v>
      </x:c>
      <x:c r="U171" s="10" t="n">
        <x:f>'店长明细'!$E2256</x:f>
        <x:v>24</x:v>
      </x:c>
      <x:c r="V171" s="10" t="n">
        <x:f>'店长明细'!$D2256</x:f>
        <x:v>15</x:v>
      </x:c>
      <x:c r="W171" s="11" t="n">
        <x:f>'店长明细'!$F168</x:f>
        <x:v>1583.96</x:v>
      </x:c>
      <x:c r="X171" s="11" t="n">
        <x:f>'店长明细'!$F400</x:f>
        <x:v>14943.31</x:v>
      </x:c>
      <x:c r="Y171" s="11" t="n">
        <x:f>'店长明细'!$F632</x:f>
        <x:v>15455.65</x:v>
      </x:c>
      <x:c r="Z171" s="11" t="n">
        <x:f>'店长明细'!$F864</x:f>
        <x:v>11429.1</x:v>
      </x:c>
      <x:c r="AA171" s="11" t="n">
        <x:f>'店长明细'!$F1096</x:f>
        <x:v>51.8</x:v>
      </x:c>
      <x:c r="AB171" s="11" t="n">
        <x:f>'店长明细'!$F1328</x:f>
        <x:v>4849.74</x:v>
      </x:c>
      <x:c r="AC171" s="11" t="n">
        <x:f>'店长明细'!$F1560</x:f>
        <x:v>10451.58</x:v>
      </x:c>
      <x:c r="AD171" s="11" t="n">
        <x:f>'店长明细'!$F1792</x:f>
        <x:v>3252</x:v>
      </x:c>
      <x:c r="AE171" s="11" t="n">
        <x:f>'店长明细'!$F2024</x:f>
        <x:v>623.47</x:v>
      </x:c>
      <x:c r="AF171" s="11" t="n">
        <x:f>'店长明细'!$F2256</x:f>
        <x:v>355.91</x:v>
      </x:c>
    </x:row>
    <x:row r="172">
      <x:c r="A172" t="str">
        <x:f>TEXT($B172,"mm-dd")</x:f>
        <x:v>06-17</x:v>
      </x:c>
      <x:c r="B172" s="9" t="n">
        <x:f>'店长明细'!$C169</x:f>
        <x:v>46190</x:v>
      </x:c>
      <x:c r="C172" s="10" t="n">
        <x:f>'店长明细'!$E169</x:f>
        <x:v>225</x:v>
      </x:c>
      <x:c r="D172" s="10" t="n">
        <x:f>'店长明细'!$D169</x:f>
        <x:v>127</x:v>
      </x:c>
      <x:c r="E172" s="10" t="n">
        <x:f>'店长明细'!$E401</x:f>
        <x:v>1641</x:v>
      </x:c>
      <x:c r="F172" s="10" t="n">
        <x:f>'店长明细'!$D401</x:f>
        <x:v>1018</x:v>
      </x:c>
      <x:c r="G172" s="10" t="n">
        <x:f>'店长明细'!$E633</x:f>
        <x:v>2856</x:v>
      </x:c>
      <x:c r="H172" s="10" t="n">
        <x:f>'店长明细'!$D633</x:f>
        <x:v>1203</x:v>
      </x:c>
      <x:c r="I172" s="10" t="n">
        <x:f>'店长明细'!$E865</x:f>
        <x:v>1337</x:v>
      </x:c>
      <x:c r="J172" s="10" t="n">
        <x:f>'店长明细'!$D865</x:f>
        <x:v>628</x:v>
      </x:c>
      <x:c r="K172" s="10" t="n">
        <x:f>'店长明细'!$E1097</x:f>
        <x:v>11</x:v>
      </x:c>
      <x:c r="L172" s="10" t="n">
        <x:f>'店长明细'!$D1097</x:f>
        <x:v>10</x:v>
      </x:c>
      <x:c r="M172" s="10" t="n">
        <x:f>'店长明细'!$E1329</x:f>
        <x:v>336</x:v>
      </x:c>
      <x:c r="N172" s="10" t="n">
        <x:f>'店长明细'!$D1329</x:f>
        <x:v>235</x:v>
      </x:c>
      <x:c r="O172" s="10" t="n">
        <x:f>'店长明细'!$E1561</x:f>
        <x:v>927</x:v>
      </x:c>
      <x:c r="P172" s="10" t="n">
        <x:f>'店长明细'!$D1561</x:f>
        <x:v>579</x:v>
      </x:c>
      <x:c r="Q172" s="10" t="n">
        <x:f>'店长明细'!$E1793</x:f>
        <x:v>37</x:v>
      </x:c>
      <x:c r="R172" s="10" t="n">
        <x:f>'店长明细'!$D1793</x:f>
        <x:v>28</x:v>
      </x:c>
      <x:c r="S172" s="10" t="n">
        <x:f>'店长明细'!$E2025</x:f>
        <x:v>12</x:v>
      </x:c>
      <x:c r="T172" s="10" t="n">
        <x:f>'店长明细'!$D2025</x:f>
        <x:v>9</x:v>
      </x:c>
      <x:c r="U172" s="10" t="n">
        <x:f>'店长明细'!$E2257</x:f>
        <x:v>36</x:v>
      </x:c>
      <x:c r="V172" s="10" t="n">
        <x:f>'店长明细'!$D2257</x:f>
        <x:v>22</x:v>
      </x:c>
      <x:c r="W172" s="11" t="n">
        <x:f>'店长明细'!$F169</x:f>
        <x:v>1641.87</x:v>
      </x:c>
      <x:c r="X172" s="11" t="n">
        <x:f>'店长明细'!$F401</x:f>
        <x:v>14481.67</x:v>
      </x:c>
      <x:c r="Y172" s="11" t="n">
        <x:f>'店长明细'!$F633</x:f>
        <x:v>17345.53</x:v>
      </x:c>
      <x:c r="Z172" s="11" t="n">
        <x:f>'店长明细'!$F865</x:f>
        <x:v>10605.97</x:v>
      </x:c>
      <x:c r="AA172" s="11" t="n">
        <x:f>'店长明细'!$F1097</x:f>
        <x:v>92.48</x:v>
      </x:c>
      <x:c r="AB172" s="11" t="n">
        <x:f>'店长明细'!$F1329</x:f>
        <x:v>3532.67</x:v>
      </x:c>
      <x:c r="AC172" s="11" t="n">
        <x:f>'店长明细'!$F1561</x:f>
        <x:v>10154.41</x:v>
      </x:c>
      <x:c r="AD172" s="11" t="n">
        <x:f>'店长明细'!$F1793</x:f>
        <x:v>1925.34</x:v>
      </x:c>
      <x:c r="AE172" s="11" t="n">
        <x:f>'店长明细'!$F2025</x:f>
        <x:v>460.88</x:v>
      </x:c>
      <x:c r="AF172" s="11" t="n">
        <x:f>'店长明细'!$F2257</x:f>
        <x:v>485.58</x:v>
      </x:c>
    </x:row>
    <x:row r="173">
      <x:c r="A173" t="str">
        <x:f>TEXT($B173,"mm-dd")</x:f>
        <x:v>06-18</x:v>
      </x:c>
      <x:c r="B173" s="9" t="n">
        <x:f>'店长明细'!$C170</x:f>
        <x:v>46191</x:v>
      </x:c>
      <x:c r="C173" s="10" t="n">
        <x:f>'店长明细'!$E170</x:f>
        <x:v>195</x:v>
      </x:c>
      <x:c r="D173" s="10" t="n">
        <x:f>'店长明细'!$D170</x:f>
        <x:v>97</x:v>
      </x:c>
      <x:c r="E173" s="10" t="n">
        <x:f>'店长明细'!$E402</x:f>
        <x:v>1706</x:v>
      </x:c>
      <x:c r="F173" s="10" t="n">
        <x:f>'店长明细'!$D402</x:f>
        <x:v>1060</x:v>
      </x:c>
      <x:c r="G173" s="10" t="n">
        <x:f>'店长明细'!$E634</x:f>
        <x:v>3058</x:v>
      </x:c>
      <x:c r="H173" s="10" t="n">
        <x:f>'店长明细'!$D634</x:f>
        <x:v>1277</x:v>
      </x:c>
      <x:c r="I173" s="10" t="n">
        <x:f>'店长明细'!$E866</x:f>
        <x:v>1381</x:v>
      </x:c>
      <x:c r="J173" s="10" t="n">
        <x:f>'店长明细'!$D866</x:f>
        <x:v>669</x:v>
      </x:c>
      <x:c r="K173" s="10" t="n">
        <x:f>'店长明细'!$E1098</x:f>
        <x:v>7</x:v>
      </x:c>
      <x:c r="L173" s="10" t="n">
        <x:f>'店长明细'!$D1098</x:f>
        <x:v>6</x:v>
      </x:c>
      <x:c r="M173" s="10" t="n">
        <x:f>'店长明细'!$E1330</x:f>
        <x:v>420</x:v>
      </x:c>
      <x:c r="N173" s="10" t="n">
        <x:f>'店长明细'!$D1330</x:f>
        <x:v>266</x:v>
      </x:c>
      <x:c r="O173" s="10" t="n">
        <x:f>'店长明细'!$E1562</x:f>
        <x:v>980</x:v>
      </x:c>
      <x:c r="P173" s="10" t="n">
        <x:f>'店长明细'!$D1562</x:f>
        <x:v>625</x:v>
      </x:c>
      <x:c r="Q173" s="10" t="n">
        <x:f>'店长明细'!$E1794</x:f>
        <x:v>52</x:v>
      </x:c>
      <x:c r="R173" s="10" t="n">
        <x:f>'店长明细'!$D1794</x:f>
        <x:v>32</x:v>
      </x:c>
      <x:c r="S173" s="10" t="n">
        <x:f>'店长明细'!$E2026</x:f>
        <x:v>9</x:v>
      </x:c>
      <x:c r="T173" s="10" t="n">
        <x:f>'店长明细'!$D2026</x:f>
        <x:v>8</x:v>
      </x:c>
      <x:c r="U173" s="10" t="n">
        <x:f>'店长明细'!$E2258</x:f>
        <x:v>24</x:v>
      </x:c>
      <x:c r="V173" s="10" t="n">
        <x:f>'店长明细'!$D2258</x:f>
        <x:v>14</x:v>
      </x:c>
      <x:c r="W173" s="11" t="n">
        <x:f>'店长明细'!$F170</x:f>
        <x:v>1610.57</x:v>
      </x:c>
      <x:c r="X173" s="11" t="n">
        <x:f>'店长明细'!$F402</x:f>
        <x:v>14703.72</x:v>
      </x:c>
      <x:c r="Y173" s="11" t="n">
        <x:f>'店长明细'!$F634</x:f>
        <x:v>18071.79</x:v>
      </x:c>
      <x:c r="Z173" s="11" t="n">
        <x:f>'店长明细'!$F866</x:f>
        <x:v>10783.73</x:v>
      </x:c>
      <x:c r="AA173" s="11" t="n">
        <x:f>'店长明细'!$F1098</x:f>
        <x:v>60.98</x:v>
      </x:c>
      <x:c r="AB173" s="11" t="n">
        <x:f>'店长明细'!$F1330</x:f>
        <x:v>4310</x:v>
      </x:c>
      <x:c r="AC173" s="11" t="n">
        <x:f>'店长明细'!$F1562</x:f>
        <x:v>11463.24</x:v>
      </x:c>
      <x:c r="AD173" s="11" t="n">
        <x:f>'店长明细'!$F1794</x:f>
        <x:v>1862.76</x:v>
      </x:c>
      <x:c r="AE173" s="11" t="n">
        <x:f>'店长明细'!$F2026</x:f>
        <x:v>469.29</x:v>
      </x:c>
      <x:c r="AF173" s="11" t="n">
        <x:f>'店长明细'!$F2258</x:f>
        <x:v>303.13</x:v>
      </x:c>
    </x:row>
    <x:row r="174">
      <x:c r="A174" t="str">
        <x:f>TEXT($B174,"mm-dd")</x:f>
        <x:v>06-19</x:v>
      </x:c>
      <x:c r="B174" s="9" t="n">
        <x:f>'店长明细'!$C171</x:f>
        <x:v>46192</x:v>
      </x:c>
      <x:c r="C174" s="10" t="n">
        <x:f>'店长明细'!$E171</x:f>
        <x:v>182</x:v>
      </x:c>
      <x:c r="D174" s="10" t="n">
        <x:f>'店长明细'!$D171</x:f>
        <x:v>99</x:v>
      </x:c>
      <x:c r="E174" s="10" t="n">
        <x:f>'店长明细'!$E403</x:f>
        <x:v>1675</x:v>
      </x:c>
      <x:c r="F174" s="10" t="n">
        <x:f>'店长明细'!$D403</x:f>
        <x:v>1006</x:v>
      </x:c>
      <x:c r="G174" s="10" t="n">
        <x:f>'店长明细'!$E635</x:f>
        <x:v>2711</x:v>
      </x:c>
      <x:c r="H174" s="10" t="n">
        <x:f>'店长明细'!$D635</x:f>
        <x:v>1137</x:v>
      </x:c>
      <x:c r="I174" s="10" t="n">
        <x:f>'店长明细'!$E867</x:f>
        <x:v>1280</x:v>
      </x:c>
      <x:c r="J174" s="10" t="n">
        <x:f>'店长明细'!$D867</x:f>
        <x:v>616</x:v>
      </x:c>
      <x:c r="K174" s="10" t="n">
        <x:f>'店长明细'!$E1099</x:f>
        <x:v>13</x:v>
      </x:c>
      <x:c r="L174" s="10" t="n">
        <x:f>'店长明细'!$D1099</x:f>
        <x:v>13</x:v>
      </x:c>
      <x:c r="M174" s="10" t="n">
        <x:f>'店长明细'!$E1331</x:f>
        <x:v>421</x:v>
      </x:c>
      <x:c r="N174" s="10" t="n">
        <x:f>'店长明细'!$D1331</x:f>
        <x:v>273</x:v>
      </x:c>
      <x:c r="O174" s="10" t="n">
        <x:f>'店长明细'!$E1563</x:f>
        <x:v>844</x:v>
      </x:c>
      <x:c r="P174" s="10" t="n">
        <x:f>'店长明细'!$D1563</x:f>
        <x:v>556</x:v>
      </x:c>
      <x:c r="Q174" s="10" t="n">
        <x:f>'店长明细'!$E1795</x:f>
        <x:v>30</x:v>
      </x:c>
      <x:c r="R174" s="10" t="n">
        <x:f>'店长明细'!$D1795</x:f>
        <x:v>26</x:v>
      </x:c>
      <x:c r="S174" s="10" t="n">
        <x:f>'店长明细'!$E2027</x:f>
        <x:v>1</x:v>
      </x:c>
      <x:c r="T174" s="10" t="n">
        <x:f>'店长明细'!$D2027</x:f>
        <x:v>1</x:v>
      </x:c>
      <x:c r="U174" s="10" t="n">
        <x:f>'店长明细'!$E2259</x:f>
        <x:v>30</x:v>
      </x:c>
      <x:c r="V174" s="10" t="n">
        <x:f>'店长明细'!$D2259</x:f>
        <x:v>18</x:v>
      </x:c>
      <x:c r="W174" s="11" t="n">
        <x:f>'店长明细'!$F171</x:f>
        <x:v>1270.83</x:v>
      </x:c>
      <x:c r="X174" s="11" t="n">
        <x:f>'店长明细'!$F403</x:f>
        <x:v>14657.09</x:v>
      </x:c>
      <x:c r="Y174" s="11" t="n">
        <x:f>'店长明细'!$F635</x:f>
        <x:v>15999.64</x:v>
      </x:c>
      <x:c r="Z174" s="11" t="n">
        <x:f>'店长明细'!$F867</x:f>
        <x:v>10464.26</x:v>
      </x:c>
      <x:c r="AA174" s="11" t="n">
        <x:f>'店长明细'!$F1099</x:f>
        <x:v>100.98</x:v>
      </x:c>
      <x:c r="AB174" s="11" t="n">
        <x:f>'店长明细'!$F1331</x:f>
        <x:v>4502.23</x:v>
      </x:c>
      <x:c r="AC174" s="11" t="n">
        <x:f>'店长明细'!$F1563</x:f>
        <x:v>9561.76</x:v>
      </x:c>
      <x:c r="AD174" s="11" t="n">
        <x:f>'店长明细'!$F1795</x:f>
        <x:v>1504.3</x:v>
      </x:c>
      <x:c r="AE174" s="11" t="n">
        <x:f>'店长明细'!$F2027</x:f>
        <x:v>43.4</x:v>
      </x:c>
      <x:c r="AF174" s="11" t="n">
        <x:f>'店长明细'!$F2259</x:f>
        <x:v>443.16</x:v>
      </x:c>
    </x:row>
    <x:row r="175">
      <x:c r="A175" t="str">
        <x:f>TEXT($B175,"mm-dd")</x:f>
        <x:v>06-20</x:v>
      </x:c>
      <x:c r="B175" s="9" t="n">
        <x:f>'店长明细'!$C172</x:f>
        <x:v>46193</x:v>
      </x:c>
      <x:c r="C175" s="10" t="n">
        <x:f>'店长明细'!$E172</x:f>
        <x:v>189</x:v>
      </x:c>
      <x:c r="D175" s="10" t="n">
        <x:f>'店长明细'!$D172</x:f>
        <x:v>106</x:v>
      </x:c>
      <x:c r="E175" s="10" t="n">
        <x:f>'店长明细'!$E404</x:f>
        <x:v>1325</x:v>
      </x:c>
      <x:c r="F175" s="10" t="n">
        <x:f>'店长明细'!$D404</x:f>
        <x:v>822</x:v>
      </x:c>
      <x:c r="G175" s="10" t="n">
        <x:f>'店长明细'!$E636</x:f>
        <x:v>2760</x:v>
      </x:c>
      <x:c r="H175" s="10" t="n">
        <x:f>'店长明细'!$D636</x:f>
        <x:v>1115</x:v>
      </x:c>
      <x:c r="I175" s="10" t="n">
        <x:f>'店长明细'!$E868</x:f>
        <x:v>1007</x:v>
      </x:c>
      <x:c r="J175" s="10" t="n">
        <x:f>'店长明细'!$D868</x:f>
        <x:v>485</x:v>
      </x:c>
      <x:c r="K175" s="10" t="n">
        <x:f>'店长明细'!$E1100</x:f>
        <x:v>21</x:v>
      </x:c>
      <x:c r="L175" s="10" t="n">
        <x:f>'店长明细'!$D1100</x:f>
        <x:v>14</x:v>
      </x:c>
      <x:c r="M175" s="10" t="n">
        <x:f>'店长明细'!$E1332</x:f>
        <x:v>375</x:v>
      </x:c>
      <x:c r="N175" s="10" t="n">
        <x:f>'店长明细'!$D1332</x:f>
        <x:v>235</x:v>
      </x:c>
      <x:c r="O175" s="10" t="n">
        <x:f>'店长明细'!$E1564</x:f>
        <x:v>893</x:v>
      </x:c>
      <x:c r="P175" s="10" t="n">
        <x:f>'店长明细'!$D1564</x:f>
        <x:v>561</x:v>
      </x:c>
      <x:c r="Q175" s="10" t="n">
        <x:f>'店长明细'!$E1796</x:f>
        <x:v>18</x:v>
      </x:c>
      <x:c r="R175" s="10" t="n">
        <x:f>'店长明细'!$D1796</x:f>
        <x:v>14</x:v>
      </x:c>
      <x:c r="S175" s="10" t="n">
        <x:f>'店长明细'!$E2028</x:f>
        <x:v>8</x:v>
      </x:c>
      <x:c r="T175" s="10" t="n">
        <x:f>'店长明细'!$D2028</x:f>
        <x:v>8</x:v>
      </x:c>
      <x:c r="U175" s="10" t="n">
        <x:f>'店长明细'!$E2260</x:f>
        <x:v>33</x:v>
      </x:c>
      <x:c r="V175" s="10" t="n">
        <x:f>'店长明细'!$D2260</x:f>
        <x:v>22</x:v>
      </x:c>
      <x:c r="W175" s="11" t="n">
        <x:f>'店长明细'!$F172</x:f>
        <x:v>1369.88</x:v>
      </x:c>
      <x:c r="X175" s="11" t="n">
        <x:f>'店长明细'!$F404</x:f>
        <x:v>11710.54</x:v>
      </x:c>
      <x:c r="Y175" s="11" t="n">
        <x:f>'店长明细'!$F636</x:f>
        <x:v>15111.26</x:v>
      </x:c>
      <x:c r="Z175" s="11" t="n">
        <x:f>'店长明细'!$F868</x:f>
        <x:v>7730.6</x:v>
      </x:c>
      <x:c r="AA175" s="11" t="n">
        <x:f>'店长明细'!$F1100</x:f>
        <x:v>166.89</x:v>
      </x:c>
      <x:c r="AB175" s="11" t="n">
        <x:f>'店长明细'!$F1332</x:f>
        <x:v>3818.6</x:v>
      </x:c>
      <x:c r="AC175" s="11" t="n">
        <x:f>'店长明细'!$F1564</x:f>
        <x:v>9515.03</x:v>
      </x:c>
      <x:c r="AD175" s="11" t="n">
        <x:f>'店长明细'!$F1796</x:f>
        <x:v>724.86</x:v>
      </x:c>
      <x:c r="AE175" s="11" t="n">
        <x:f>'店长明细'!$F2028</x:f>
        <x:v>332.82</x:v>
      </x:c>
      <x:c r="AF175" s="11" t="n">
        <x:f>'店长明细'!$F2260</x:f>
        <x:v>510.23</x:v>
      </x:c>
    </x:row>
    <x:row r="176">
      <x:c r="A176" t="str">
        <x:f>TEXT($B176,"mm-dd")</x:f>
        <x:v>06-21</x:v>
      </x:c>
      <x:c r="B176" s="9" t="n">
        <x:f>'店长明细'!$C173</x:f>
        <x:v>46194</x:v>
      </x:c>
      <x:c r="C176" s="10" t="n">
        <x:f>'店长明细'!$E173</x:f>
        <x:v>229</x:v>
      </x:c>
      <x:c r="D176" s="10" t="n">
        <x:f>'店长明细'!$D173</x:f>
        <x:v>124</x:v>
      </x:c>
      <x:c r="E176" s="10" t="n">
        <x:f>'店长明细'!$E405</x:f>
        <x:v>1579</x:v>
      </x:c>
      <x:c r="F176" s="10" t="n">
        <x:f>'店长明细'!$D405</x:f>
        <x:v>937</x:v>
      </x:c>
      <x:c r="G176" s="10" t="n">
        <x:f>'店长明细'!$E637</x:f>
        <x:v>3233</x:v>
      </x:c>
      <x:c r="H176" s="10" t="n">
        <x:f>'店长明细'!$D637</x:f>
        <x:v>1351</x:v>
      </x:c>
      <x:c r="I176" s="10" t="n">
        <x:f>'店长明细'!$E869</x:f>
        <x:v>1233</x:v>
      </x:c>
      <x:c r="J176" s="10" t="n">
        <x:f>'店长明细'!$D869</x:f>
        <x:v>592</x:v>
      </x:c>
      <x:c r="K176" s="10" t="n">
        <x:f>'店长明细'!$E1101</x:f>
        <x:v>17</x:v>
      </x:c>
      <x:c r="L176" s="10" t="n">
        <x:f>'店长明细'!$D1101</x:f>
        <x:v>15</x:v>
      </x:c>
      <x:c r="M176" s="10" t="n">
        <x:f>'店长明细'!$E1333</x:f>
        <x:v>497</x:v>
      </x:c>
      <x:c r="N176" s="10" t="n">
        <x:f>'店长明细'!$D1333</x:f>
        <x:v>308</x:v>
      </x:c>
      <x:c r="O176" s="10" t="n">
        <x:f>'店长明细'!$E1565</x:f>
        <x:v>906</x:v>
      </x:c>
      <x:c r="P176" s="10" t="n">
        <x:f>'店长明细'!$D1565</x:f>
        <x:v>571</x:v>
      </x:c>
      <x:c r="Q176" s="10" t="n">
        <x:f>'店长明细'!$E1797</x:f>
        <x:v>29</x:v>
      </x:c>
      <x:c r="R176" s="10" t="n">
        <x:f>'店长明细'!$D1797</x:f>
        <x:v>16</x:v>
      </x:c>
      <x:c r="S176" s="10" t="n">
        <x:f>'店长明细'!$E2029</x:f>
        <x:v>5</x:v>
      </x:c>
      <x:c r="T176" s="10" t="n">
        <x:f>'店长明细'!$D2029</x:f>
        <x:v>4</x:v>
      </x:c>
      <x:c r="U176" s="10" t="n">
        <x:f>'店长明细'!$E2261</x:f>
        <x:v>29</x:v>
      </x:c>
      <x:c r="V176" s="10" t="n">
        <x:f>'店长明细'!$D2261</x:f>
        <x:v>16</x:v>
      </x:c>
      <x:c r="W176" s="11" t="n">
        <x:f>'店长明细'!$F173</x:f>
        <x:v>1644.76</x:v>
      </x:c>
      <x:c r="X176" s="11" t="n">
        <x:f>'店长明细'!$F405</x:f>
        <x:v>13687.29</x:v>
      </x:c>
      <x:c r="Y176" s="11" t="n">
        <x:f>'店长明细'!$F637</x:f>
        <x:v>18008.07</x:v>
      </x:c>
      <x:c r="Z176" s="11" t="n">
        <x:f>'店长明细'!$F869</x:f>
        <x:v>9687.61</x:v>
      </x:c>
      <x:c r="AA176" s="11" t="n">
        <x:f>'店长明细'!$F1101</x:f>
        <x:v>118.01</x:v>
      </x:c>
      <x:c r="AB176" s="11" t="n">
        <x:f>'店长明细'!$F1333</x:f>
        <x:v>4964.68</x:v>
      </x:c>
      <x:c r="AC176" s="11" t="n">
        <x:f>'店长明细'!$F1565</x:f>
        <x:v>9626.33</x:v>
      </x:c>
      <x:c r="AD176" s="11" t="n">
        <x:f>'店长明细'!$F1797</x:f>
        <x:v>522.17</x:v>
      </x:c>
      <x:c r="AE176" s="11" t="n">
        <x:f>'店长明细'!$F2029</x:f>
        <x:v>172.45</x:v>
      </x:c>
      <x:c r="AF176" s="11" t="n">
        <x:f>'店长明细'!$F2261</x:f>
        <x:v>415.57</x:v>
      </x:c>
    </x:row>
    <x:row r="177">
      <x:c r="A177" t="str">
        <x:f>TEXT($B177,"mm-dd")</x:f>
        <x:v>06-22</x:v>
      </x:c>
      <x:c r="B177" s="9" t="n">
        <x:f>'店长明细'!$C174</x:f>
        <x:v>46195</x:v>
      </x:c>
      <x:c r="C177" s="10" t="n">
        <x:f>'店长明细'!$E174</x:f>
        <x:v>182</x:v>
      </x:c>
      <x:c r="D177" s="10" t="n">
        <x:f>'店长明细'!$D174</x:f>
        <x:v>94</x:v>
      </x:c>
      <x:c r="E177" s="10" t="n">
        <x:f>'店长明细'!$E406</x:f>
        <x:v>1390</x:v>
      </x:c>
      <x:c r="F177" s="10" t="n">
        <x:f>'店长明细'!$D406</x:f>
        <x:v>852</x:v>
      </x:c>
      <x:c r="G177" s="10" t="n">
        <x:f>'店长明细'!$E638</x:f>
        <x:v>2662</x:v>
      </x:c>
      <x:c r="H177" s="10" t="n">
        <x:f>'店长明细'!$D638</x:f>
        <x:v>1103</x:v>
      </x:c>
      <x:c r="I177" s="10" t="n">
        <x:f>'店长明细'!$E870</x:f>
        <x:v>1224</x:v>
      </x:c>
      <x:c r="J177" s="10" t="n">
        <x:f>'店长明细'!$D870</x:f>
        <x:v>620</x:v>
      </x:c>
      <x:c r="K177" s="10" t="n">
        <x:f>'店长明细'!$E1102</x:f>
        <x:v>12</x:v>
      </x:c>
      <x:c r="L177" s="10" t="n">
        <x:f>'店长明细'!$D1102</x:f>
        <x:v>11</x:v>
      </x:c>
      <x:c r="M177" s="10" t="n">
        <x:f>'店长明细'!$E1334</x:f>
        <x:v>548</x:v>
      </x:c>
      <x:c r="N177" s="10" t="n">
        <x:f>'店长明细'!$D1334</x:f>
        <x:v>310</x:v>
      </x:c>
      <x:c r="O177" s="10" t="n">
        <x:f>'店长明细'!$E1566</x:f>
        <x:v>935</x:v>
      </x:c>
      <x:c r="P177" s="10" t="n">
        <x:f>'店长明细'!$D1566</x:f>
        <x:v>593</x:v>
      </x:c>
      <x:c r="Q177" s="10" t="n">
        <x:f>'店长明细'!$E1798</x:f>
        <x:v>13</x:v>
      </x:c>
      <x:c r="R177" s="10" t="n">
        <x:f>'店长明细'!$D1798</x:f>
        <x:v>7</x:v>
      </x:c>
      <x:c r="S177" s="10" t="n">
        <x:f>'店长明细'!$E2030</x:f>
        <x:v>3</x:v>
      </x:c>
      <x:c r="T177" s="10" t="n">
        <x:f>'店长明细'!$D2030</x:f>
        <x:v>3</x:v>
      </x:c>
      <x:c r="U177" s="10" t="n">
        <x:f>'店长明细'!$E2262</x:f>
        <x:v>34</x:v>
      </x:c>
      <x:c r="V177" s="10" t="n">
        <x:f>'店长明细'!$D2262</x:f>
        <x:v>18</x:v>
      </x:c>
      <x:c r="W177" s="11" t="n">
        <x:f>'店长明细'!$F174</x:f>
        <x:v>1344.68</x:v>
      </x:c>
      <x:c r="X177" s="11" t="n">
        <x:f>'店长明细'!$F406</x:f>
        <x:v>12644.62</x:v>
      </x:c>
      <x:c r="Y177" s="11" t="n">
        <x:f>'店长明细'!$F638</x:f>
        <x:v>15534.61</x:v>
      </x:c>
      <x:c r="Z177" s="11" t="n">
        <x:f>'店长明细'!$F870</x:f>
        <x:v>10042.66</x:v>
      </x:c>
      <x:c r="AA177" s="11" t="n">
        <x:f>'店长明细'!$F1102</x:f>
        <x:v>92.43</x:v>
      </x:c>
      <x:c r="AB177" s="11" t="n">
        <x:f>'店长明细'!$F1334</x:f>
        <x:v>5174.76</x:v>
      </x:c>
      <x:c r="AC177" s="11" t="n">
        <x:f>'店长明细'!$F1566</x:f>
        <x:v>9630.74</x:v>
      </x:c>
      <x:c r="AD177" s="11" t="n">
        <x:f>'店长明细'!$F1798</x:f>
        <x:v>135.65</x:v>
      </x:c>
      <x:c r="AE177" s="11" t="n">
        <x:f>'店长明细'!$F2030</x:f>
        <x:v>123.52</x:v>
      </x:c>
      <x:c r="AF177" s="11" t="n">
        <x:f>'店长明细'!$F2262</x:f>
        <x:v>496.17</x:v>
      </x:c>
    </x:row>
    <x:row r="178">
      <x:c r="A178" t="str">
        <x:f>TEXT($B178,"mm-dd")</x:f>
        <x:v>06-23</x:v>
      </x:c>
      <x:c r="B178" s="9" t="n">
        <x:f>'店长明细'!$C175</x:f>
        <x:v>46196</x:v>
      </x:c>
      <x:c r="C178" s="10" t="n">
        <x:f>'店长明细'!$E175</x:f>
        <x:v>231</x:v>
      </x:c>
      <x:c r="D178" s="10" t="n">
        <x:f>'店长明细'!$D175</x:f>
        <x:v>118</x:v>
      </x:c>
      <x:c r="E178" s="10" t="n">
        <x:f>'店长明细'!$E407</x:f>
        <x:v>1303</x:v>
      </x:c>
      <x:c r="F178" s="10" t="n">
        <x:f>'店长明细'!$D407</x:f>
        <x:v>748</x:v>
      </x:c>
      <x:c r="G178" s="10" t="n">
        <x:f>'店长明细'!$E639</x:f>
        <x:v>2444</x:v>
      </x:c>
      <x:c r="H178" s="10" t="n">
        <x:f>'店长明细'!$D639</x:f>
        <x:v>1026</x:v>
      </x:c>
      <x:c r="I178" s="10" t="n">
        <x:f>'店长明细'!$E871</x:f>
        <x:v>1353</x:v>
      </x:c>
      <x:c r="J178" s="10" t="n">
        <x:f>'店长明细'!$D871</x:f>
        <x:v>667</x:v>
      </x:c>
      <x:c r="K178" s="10" t="n">
        <x:f>'店长明细'!$E1103</x:f>
        <x:v>29</x:v>
      </x:c>
      <x:c r="L178" s="10" t="n">
        <x:f>'店长明细'!$D1103</x:f>
        <x:v>25</x:v>
      </x:c>
      <x:c r="M178" s="10" t="n">
        <x:f>'店长明细'!$E1335</x:f>
        <x:v>447</x:v>
      </x:c>
      <x:c r="N178" s="10" t="n">
        <x:f>'店长明细'!$D1335</x:f>
        <x:v>290</x:v>
      </x:c>
      <x:c r="O178" s="10" t="n">
        <x:f>'店长明细'!$E1567</x:f>
        <x:v>1052</x:v>
      </x:c>
      <x:c r="P178" s="10" t="n">
        <x:f>'店长明细'!$D1567</x:f>
        <x:v>658</x:v>
      </x:c>
      <x:c r="Q178" s="10" t="n">
        <x:f>'店长明细'!$E1799</x:f>
        <x:v>55</x:v>
      </x:c>
      <x:c r="R178" s="10" t="n">
        <x:f>'店长明细'!$D1799</x:f>
        <x:v>49</x:v>
      </x:c>
      <x:c r="S178" s="10" t="n">
        <x:f>'店长明细'!$E2031</x:f>
        <x:v>17</x:v>
      </x:c>
      <x:c r="T178" s="10" t="n">
        <x:f>'店长明细'!$D2031</x:f>
        <x:v>15</x:v>
      </x:c>
      <x:c r="U178" s="10" t="n">
        <x:f>'店长明细'!$E2263</x:f>
        <x:v>31</x:v>
      </x:c>
      <x:c r="V178" s="10" t="n">
        <x:f>'店长明细'!$D2263</x:f>
        <x:v>19</x:v>
      </x:c>
      <x:c r="W178" s="11" t="n">
        <x:f>'店长明细'!$F175</x:f>
        <x:v>1728.02</x:v>
      </x:c>
      <x:c r="X178" s="11" t="n">
        <x:f>'店长明细'!$F407</x:f>
        <x:v>11644.36</x:v>
      </x:c>
      <x:c r="Y178" s="11" t="n">
        <x:f>'店长明细'!$F639</x:f>
        <x:v>14620.39</x:v>
      </x:c>
      <x:c r="Z178" s="11" t="n">
        <x:f>'店长明细'!$F871</x:f>
        <x:v>10790.03</x:v>
      </x:c>
      <x:c r="AA178" s="11" t="n">
        <x:f>'店长明细'!$F1103</x:f>
        <x:v>209.17</x:v>
      </x:c>
      <x:c r="AB178" s="11" t="n">
        <x:f>'店长明细'!$F1335</x:f>
        <x:v>4705.97</x:v>
      </x:c>
      <x:c r="AC178" s="11" t="n">
        <x:f>'店长明细'!$F1567</x:f>
        <x:v>11157.05</x:v>
      </x:c>
      <x:c r="AD178" s="11" t="n">
        <x:f>'店长明细'!$F1799</x:f>
        <x:v>2331.21</x:v>
      </x:c>
      <x:c r="AE178" s="11" t="n">
        <x:f>'店长明细'!$F2031</x:f>
        <x:v>809.91</x:v>
      </x:c>
      <x:c r="AF178" s="11" t="n">
        <x:f>'店长明细'!$F2263</x:f>
        <x:v>422.24</x:v>
      </x:c>
    </x:row>
    <x:row r="179">
      <x:c r="A179" t="str">
        <x:f>TEXT($B179,"mm-dd")</x:f>
        <x:v>06-24</x:v>
      </x:c>
      <x:c r="B179" s="9" t="n">
        <x:f>'店长明细'!$C176</x:f>
        <x:v>46197</x:v>
      </x:c>
      <x:c r="C179" s="10" t="n">
        <x:f>'店长明细'!$E176</x:f>
        <x:v>207</x:v>
      </x:c>
      <x:c r="D179" s="10" t="n">
        <x:f>'店长明细'!$D176</x:f>
        <x:v>108</x:v>
      </x:c>
      <x:c r="E179" s="10" t="n">
        <x:f>'店长明细'!$E408</x:f>
        <x:v>1331</x:v>
      </x:c>
      <x:c r="F179" s="10" t="n">
        <x:f>'店长明细'!$D408</x:f>
        <x:v>791</x:v>
      </x:c>
      <x:c r="G179" s="10" t="n">
        <x:f>'店长明细'!$E640</x:f>
        <x:v>2298</x:v>
      </x:c>
      <x:c r="H179" s="10" t="n">
        <x:f>'店长明细'!$D640</x:f>
        <x:v>965</x:v>
      </x:c>
      <x:c r="I179" s="10" t="n">
        <x:f>'店长明细'!$E872</x:f>
        <x:v>1301</x:v>
      </x:c>
      <x:c r="J179" s="10" t="n">
        <x:f>'店长明细'!$D872</x:f>
        <x:v>652</x:v>
      </x:c>
      <x:c r="K179" s="10" t="n">
        <x:f>'店长明细'!$E1104</x:f>
        <x:v>5</x:v>
      </x:c>
      <x:c r="L179" s="10" t="n">
        <x:f>'店长明细'!$D1104</x:f>
        <x:v>4</x:v>
      </x:c>
      <x:c r="M179" s="10" t="n">
        <x:f>'店长明细'!$E1336</x:f>
        <x:v>518</x:v>
      </x:c>
      <x:c r="N179" s="10" t="n">
        <x:f>'店长明细'!$D1336</x:f>
        <x:v>320</x:v>
      </x:c>
      <x:c r="O179" s="10" t="n">
        <x:f>'店长明细'!$E1568</x:f>
        <x:v>996</x:v>
      </x:c>
      <x:c r="P179" s="10" t="n">
        <x:f>'店长明细'!$D1568</x:f>
        <x:v>637</x:v>
      </x:c>
      <x:c r="Q179" s="10" t="n">
        <x:f>'店长明细'!$E1800</x:f>
        <x:v>36</x:v>
      </x:c>
      <x:c r="R179" s="10" t="n">
        <x:f>'店长明细'!$D1800</x:f>
        <x:v>27</x:v>
      </x:c>
      <x:c r="S179" s="10" t="n">
        <x:f>'店长明细'!$E2032</x:f>
        <x:v>15</x:v>
      </x:c>
      <x:c r="T179" s="10" t="n">
        <x:f>'店长明细'!$D2032</x:f>
        <x:v>10</x:v>
      </x:c>
      <x:c r="U179" s="10" t="n">
        <x:f>'店长明细'!$E2264</x:f>
        <x:v>36</x:v>
      </x:c>
      <x:c r="V179" s="10" t="n">
        <x:f>'店长明细'!$D2264</x:f>
        <x:v>22</x:v>
      </x:c>
      <x:c r="W179" s="11" t="n">
        <x:f>'店长明细'!$F176</x:f>
        <x:v>1627.18</x:v>
      </x:c>
      <x:c r="X179" s="11" t="n">
        <x:f>'店长明细'!$F408</x:f>
        <x:v>11853.28</x:v>
      </x:c>
      <x:c r="Y179" s="11" t="n">
        <x:f>'店长明细'!$F640</x:f>
        <x:v>13050.97</x:v>
      </x:c>
      <x:c r="Z179" s="11" t="n">
        <x:f>'店长明细'!$F872</x:f>
        <x:v>10365.63</x:v>
      </x:c>
      <x:c r="AA179" s="11" t="n">
        <x:f>'店长明细'!$F1104</x:f>
        <x:v>35.26</x:v>
      </x:c>
      <x:c r="AB179" s="11" t="n">
        <x:f>'店长明细'!$F1336</x:f>
        <x:v>5233.85</x:v>
      </x:c>
      <x:c r="AC179" s="11" t="n">
        <x:f>'店长明细'!$F1568</x:f>
        <x:v>10522.85</x:v>
      </x:c>
      <x:c r="AD179" s="11" t="n">
        <x:f>'店长明细'!$F1800</x:f>
        <x:v>1341</x:v>
      </x:c>
      <x:c r="AE179" s="11" t="n">
        <x:f>'店长明细'!$F2032</x:f>
        <x:v>611.48</x:v>
      </x:c>
      <x:c r="AF179" s="11" t="n">
        <x:f>'店长明细'!$F2264</x:f>
        <x:v>525.51</x:v>
      </x:c>
    </x:row>
    <x:row r="180">
      <x:c r="A180" t="str">
        <x:f>TEXT($B180,"mm-dd")</x:f>
        <x:v>06-25</x:v>
      </x:c>
      <x:c r="B180" s="9" t="n">
        <x:f>'店长明细'!$C177</x:f>
        <x:v>46198</x:v>
      </x:c>
      <x:c r="C180" s="10" t="n">
        <x:f>'店长明细'!$E177</x:f>
        <x:v>155</x:v>
      </x:c>
      <x:c r="D180" s="10" t="n">
        <x:f>'店长明细'!$D177</x:f>
        <x:v>89</x:v>
      </x:c>
      <x:c r="E180" s="10" t="n">
        <x:f>'店长明细'!$E409</x:f>
        <x:v>1153</x:v>
      </x:c>
      <x:c r="F180" s="10" t="n">
        <x:f>'店长明细'!$D409</x:f>
        <x:v>676</x:v>
      </x:c>
      <x:c r="G180" s="10" t="n">
        <x:f>'店长明细'!$E641</x:f>
        <x:v>2021</x:v>
      </x:c>
      <x:c r="H180" s="10" t="n">
        <x:f>'店长明细'!$D641</x:f>
        <x:v>833</x:v>
      </x:c>
      <x:c r="I180" s="10" t="n">
        <x:f>'店长明细'!$E873</x:f>
        <x:v>1164</x:v>
      </x:c>
      <x:c r="J180" s="10" t="n">
        <x:f>'店长明细'!$D873</x:f>
        <x:v>597</x:v>
      </x:c>
      <x:c r="K180" s="10" t="n">
        <x:f>'店长明细'!$E1105</x:f>
        <x:v>4</x:v>
      </x:c>
      <x:c r="L180" s="10" t="n">
        <x:f>'店长明细'!$D1105</x:f>
        <x:v>3</x:v>
      </x:c>
      <x:c r="M180" s="10" t="n">
        <x:f>'店长明细'!$E1337</x:f>
        <x:v>591</x:v>
      </x:c>
      <x:c r="N180" s="10" t="n">
        <x:f>'店长明细'!$D1337</x:f>
        <x:v>369</x:v>
      </x:c>
      <x:c r="O180" s="10" t="n">
        <x:f>'店长明细'!$E1569</x:f>
        <x:v>1103</x:v>
      </x:c>
      <x:c r="P180" s="10" t="n">
        <x:f>'店长明细'!$D1569</x:f>
        <x:v>713</x:v>
      </x:c>
      <x:c r="Q180" s="10" t="n">
        <x:f>'店长明细'!$E1801</x:f>
        <x:v>34</x:v>
      </x:c>
      <x:c r="R180" s="10" t="n">
        <x:f>'店长明细'!$D1801</x:f>
        <x:v>27</x:v>
      </x:c>
      <x:c r="S180" s="10" t="n">
        <x:f>'店长明细'!$E2033</x:f>
        <x:v>15</x:v>
      </x:c>
      <x:c r="T180" s="10" t="n">
        <x:f>'店长明细'!$D2033</x:f>
        <x:v>5</x:v>
      </x:c>
      <x:c r="U180" s="10" t="n">
        <x:f>'店长明细'!$E2265</x:f>
        <x:v>38</x:v>
      </x:c>
      <x:c r="V180" s="10" t="n">
        <x:f>'店长明细'!$D2265</x:f>
        <x:v>19</x:v>
      </x:c>
      <x:c r="W180" s="11" t="n">
        <x:f>'店长明细'!$F177</x:f>
        <x:v>1213.68</x:v>
      </x:c>
      <x:c r="X180" s="11" t="n">
        <x:f>'店长明细'!$F409</x:f>
        <x:v>9880.59</x:v>
      </x:c>
      <x:c r="Y180" s="11" t="n">
        <x:f>'店长明细'!$F641</x:f>
        <x:v>11951.22</x:v>
      </x:c>
      <x:c r="Z180" s="11" t="n">
        <x:f>'店长明细'!$F873</x:f>
        <x:v>9719.24</x:v>
      </x:c>
      <x:c r="AA180" s="11" t="n">
        <x:f>'店长明细'!$F1105</x:f>
        <x:v>45.08</x:v>
      </x:c>
      <x:c r="AB180" s="11" t="n">
        <x:f>'店长明细'!$F1337</x:f>
        <x:v>6042.49</x:v>
      </x:c>
      <x:c r="AC180" s="11" t="n">
        <x:f>'店长明细'!$F1569</x:f>
        <x:v>11149.92</x:v>
      </x:c>
      <x:c r="AD180" s="11" t="n">
        <x:f>'店长明细'!$F1801</x:f>
        <x:v>1027.26</x:v>
      </x:c>
      <x:c r="AE180" s="11" t="n">
        <x:f>'店长明细'!$F2033</x:f>
        <x:v>458.75</x:v>
      </x:c>
      <x:c r="AF180" s="11" t="n">
        <x:f>'店长明细'!$F2265</x:f>
        <x:v>493.71</x:v>
      </x:c>
    </x:row>
    <x:row r="181">
      <x:c r="A181" t="str">
        <x:f>TEXT($B181,"mm-dd")</x:f>
        <x:v>06-26</x:v>
      </x:c>
      <x:c r="B181" s="9" t="n">
        <x:f>'店长明细'!$C178</x:f>
        <x:v>46199</x:v>
      </x:c>
      <x:c r="C181" s="10" t="n">
        <x:f>'店长明细'!$E178</x:f>
        <x:v>229</x:v>
      </x:c>
      <x:c r="D181" s="10" t="n">
        <x:f>'店长明细'!$D178</x:f>
        <x:v>128</x:v>
      </x:c>
      <x:c r="E181" s="10" t="n">
        <x:f>'店长明细'!$E410</x:f>
        <x:v>1331</x:v>
      </x:c>
      <x:c r="F181" s="10" t="n">
        <x:f>'店长明细'!$D410</x:f>
        <x:v>807</x:v>
      </x:c>
      <x:c r="G181" s="10" t="n">
        <x:f>'店长明细'!$E642</x:f>
        <x:v>2278</x:v>
      </x:c>
      <x:c r="H181" s="10" t="n">
        <x:f>'店长明细'!$D642</x:f>
        <x:v>952</x:v>
      </x:c>
      <x:c r="I181" s="10" t="n">
        <x:f>'店长明细'!$E874</x:f>
        <x:v>1051</x:v>
      </x:c>
      <x:c r="J181" s="10" t="n">
        <x:f>'店长明细'!$D874</x:f>
        <x:v>563</x:v>
      </x:c>
      <x:c r="K181" s="10" t="n">
        <x:f>'店长明细'!$E1106</x:f>
        <x:v>5</x:v>
      </x:c>
      <x:c r="L181" s="10" t="n">
        <x:f>'店长明细'!$D1106</x:f>
        <x:v>5</x:v>
      </x:c>
      <x:c r="M181" s="10" t="n">
        <x:f>'店长明细'!$E1338</x:f>
        <x:v>633</x:v>
      </x:c>
      <x:c r="N181" s="10" t="n">
        <x:f>'店长明细'!$D1338</x:f>
        <x:v>391</x:v>
      </x:c>
      <x:c r="O181" s="10" t="n">
        <x:f>'店长明细'!$E1570</x:f>
        <x:v>1227</x:v>
      </x:c>
      <x:c r="P181" s="10" t="n">
        <x:f>'店长明细'!$D1570</x:f>
        <x:v>751</x:v>
      </x:c>
      <x:c r="Q181" s="10" t="n">
        <x:f>'店长明细'!$E1802</x:f>
        <x:v>37</x:v>
      </x:c>
      <x:c r="R181" s="10" t="n">
        <x:f>'店长明细'!$D1802</x:f>
        <x:v>30</x:v>
      </x:c>
      <x:c r="S181" s="10" t="n">
        <x:f>'店长明细'!$E2034</x:f>
        <x:v>12</x:v>
      </x:c>
      <x:c r="T181" s="10" t="n">
        <x:f>'店长明细'!$D2034</x:f>
        <x:v>7</x:v>
      </x:c>
      <x:c r="U181" s="10" t="n">
        <x:f>'店长明细'!$E2266</x:f>
        <x:v>44</x:v>
      </x:c>
      <x:c r="V181" s="10" t="n">
        <x:f>'店长明细'!$D2266</x:f>
        <x:v>21</x:v>
      </x:c>
      <x:c r="W181" s="11" t="n">
        <x:f>'店长明细'!$F178</x:f>
        <x:v>1765.94</x:v>
      </x:c>
      <x:c r="X181" s="11" t="n">
        <x:f>'店长明细'!$F410</x:f>
        <x:v>11744</x:v>
      </x:c>
      <x:c r="Y181" s="11" t="n">
        <x:f>'店长明细'!$F642</x:f>
        <x:v>13806.45</x:v>
      </x:c>
      <x:c r="Z181" s="11" t="n">
        <x:f>'店长明细'!$F874</x:f>
        <x:v>8761.17</x:v>
      </x:c>
      <x:c r="AA181" s="11" t="n">
        <x:f>'店长明细'!$F1106</x:f>
        <x:v>50.18</x:v>
      </x:c>
      <x:c r="AB181" s="11" t="n">
        <x:f>'店长明细'!$F1338</x:f>
        <x:v>6242.21</x:v>
      </x:c>
      <x:c r="AC181" s="11" t="n">
        <x:f>'店长明细'!$F1570</x:f>
        <x:v>11299.1</x:v>
      </x:c>
      <x:c r="AD181" s="11" t="n">
        <x:f>'店长明细'!$F1802</x:f>
        <x:v>1556.69</x:v>
      </x:c>
      <x:c r="AE181" s="11" t="n">
        <x:f>'店长明细'!$F2034</x:f>
        <x:v>401.13</x:v>
      </x:c>
      <x:c r="AF181" s="11" t="n">
        <x:f>'店长明细'!$F2266</x:f>
        <x:v>683.9</x:v>
      </x:c>
    </x:row>
    <x:row r="182">
      <x:c r="A182" t="str">
        <x:f>TEXT($B182,"mm-dd")</x:f>
        <x:v>06-27</x:v>
      </x:c>
      <x:c r="B182" s="9" t="n">
        <x:f>'店长明细'!$C179</x:f>
        <x:v>46200</x:v>
      </x:c>
      <x:c r="C182" s="10" t="n">
        <x:f>'店长明细'!$E179</x:f>
        <x:v>164</x:v>
      </x:c>
      <x:c r="D182" s="10" t="n">
        <x:f>'店长明细'!$D179</x:f>
        <x:v>91</x:v>
      </x:c>
      <x:c r="E182" s="10" t="n">
        <x:f>'店长明细'!$E411</x:f>
        <x:v>1237</x:v>
      </x:c>
      <x:c r="F182" s="10" t="n">
        <x:f>'店长明细'!$D411</x:f>
        <x:v>711</x:v>
      </x:c>
      <x:c r="G182" s="10" t="n">
        <x:f>'店长明细'!$E643</x:f>
        <x:v>1908</x:v>
      </x:c>
      <x:c r="H182" s="10" t="n">
        <x:f>'店长明细'!$D643</x:f>
        <x:v>798</x:v>
      </x:c>
      <x:c r="I182" s="10" t="n">
        <x:f>'店长明细'!$E875</x:f>
        <x:v>846</x:v>
      </x:c>
      <x:c r="J182" s="10" t="n">
        <x:f>'店长明细'!$D875</x:f>
        <x:v>411</x:v>
      </x:c>
      <x:c r="K182" s="10" t="n">
        <x:f>'店长明细'!$E1107</x:f>
        <x:v>1</x:v>
      </x:c>
      <x:c r="L182" s="10" t="n">
        <x:f>'店长明细'!$D1107</x:f>
        <x:v>1</x:v>
      </x:c>
      <x:c r="M182" s="10" t="n">
        <x:f>'店长明细'!$E1339</x:f>
        <x:v>596</x:v>
      </x:c>
      <x:c r="N182" s="10" t="n">
        <x:f>'店长明细'!$D1339</x:f>
        <x:v>381</x:v>
      </x:c>
      <x:c r="O182" s="10" t="n">
        <x:f>'店长明细'!$E1571</x:f>
        <x:v>1060</x:v>
      </x:c>
      <x:c r="P182" s="10" t="n">
        <x:f>'店长明细'!$D1571</x:f>
        <x:v>683</x:v>
      </x:c>
      <x:c r="Q182" s="10" t="n">
        <x:f>'店长明细'!$E1803</x:f>
        <x:v>62</x:v>
      </x:c>
      <x:c r="R182" s="10" t="n">
        <x:f>'店长明细'!$D1803</x:f>
        <x:v>45</x:v>
      </x:c>
      <x:c r="S182" s="10" t="n">
        <x:f>'店长明细'!$E2035</x:f>
        <x:v>43</x:v>
      </x:c>
      <x:c r="T182" s="10" t="n">
        <x:f>'店长明细'!$D2035</x:f>
        <x:v>32</x:v>
      </x:c>
      <x:c r="U182" s="10" t="n">
        <x:f>'店长明细'!$E2267</x:f>
        <x:v>45</x:v>
      </x:c>
      <x:c r="V182" s="10" t="n">
        <x:f>'店长明细'!$D2267</x:f>
        <x:v>25</x:v>
      </x:c>
      <x:c r="W182" s="11" t="n">
        <x:f>'店长明细'!$F179</x:f>
        <x:v>1293.81</x:v>
      </x:c>
      <x:c r="X182" s="11" t="n">
        <x:f>'店长明细'!$F411</x:f>
        <x:v>10379.96</x:v>
      </x:c>
      <x:c r="Y182" s="11" t="n">
        <x:f>'店长明细'!$F643</x:f>
        <x:v>10931.66</x:v>
      </x:c>
      <x:c r="Z182" s="11" t="n">
        <x:f>'店长明细'!$F875</x:f>
        <x:v>6710.84</x:v>
      </x:c>
      <x:c r="AA182" s="11" t="n">
        <x:f>'店长明细'!$F1107</x:f>
        <x:v>12.18</x:v>
      </x:c>
      <x:c r="AB182" s="11" t="n">
        <x:f>'店长明细'!$F1339</x:f>
        <x:v>5969.41</x:v>
      </x:c>
      <x:c r="AC182" s="11" t="n">
        <x:f>'店长明细'!$F1571</x:f>
        <x:v>10318.09</x:v>
      </x:c>
      <x:c r="AD182" s="11" t="n">
        <x:f>'店长明细'!$F1803</x:f>
        <x:v>1408.59</x:v>
      </x:c>
      <x:c r="AE182" s="11" t="n">
        <x:f>'店长明细'!$F2035</x:f>
        <x:v>1559.22</x:v>
      </x:c>
      <x:c r="AF182" s="11" t="n">
        <x:f>'店长明细'!$F2267</x:f>
        <x:v>588.21</x:v>
      </x:c>
    </x:row>
    <x:row r="183">
      <x:c r="A183" t="str">
        <x:f>TEXT($B183,"mm-dd")</x:f>
        <x:v>06-28</x:v>
      </x:c>
      <x:c r="B183" s="9" t="n">
        <x:f>'店长明细'!$C180</x:f>
        <x:v>46201</x:v>
      </x:c>
      <x:c r="C183" s="10" t="n">
        <x:f>'店长明细'!$E180</x:f>
        <x:v>196</x:v>
      </x:c>
      <x:c r="D183" s="10" t="n">
        <x:f>'店长明细'!$D180</x:f>
        <x:v>104</x:v>
      </x:c>
      <x:c r="E183" s="10" t="n">
        <x:f>'店长明细'!$E412</x:f>
        <x:v>1041</x:v>
      </x:c>
      <x:c r="F183" s="10" t="n">
        <x:f>'店长明细'!$D412</x:f>
        <x:v>626</x:v>
      </x:c>
      <x:c r="G183" s="10" t="n">
        <x:f>'店长明细'!$E644</x:f>
        <x:v>1828</x:v>
      </x:c>
      <x:c r="H183" s="10" t="n">
        <x:f>'店长明细'!$D644</x:f>
        <x:v>772</x:v>
      </x:c>
      <x:c r="I183" s="10" t="n">
        <x:f>'店长明细'!$E876</x:f>
        <x:v>780</x:v>
      </x:c>
      <x:c r="J183" s="10" t="n">
        <x:f>'店长明细'!$D876</x:f>
        <x:v>375</x:v>
      </x:c>
      <x:c r="K183" s="10" t="n">
        <x:f>'店长明细'!$E1108</x:f>
        <x:v>6</x:v>
      </x:c>
      <x:c r="L183" s="10" t="n">
        <x:f>'店长明细'!$D1108</x:f>
        <x:v>5</x:v>
      </x:c>
      <x:c r="M183" s="10" t="n">
        <x:f>'店长明细'!$E1340</x:f>
        <x:v>526</x:v>
      </x:c>
      <x:c r="N183" s="10" t="n">
        <x:f>'店长明细'!$D1340</x:f>
        <x:v>343</x:v>
      </x:c>
      <x:c r="O183" s="10" t="n">
        <x:f>'店长明细'!$E1572</x:f>
        <x:v>1093</x:v>
      </x:c>
      <x:c r="P183" s="10" t="n">
        <x:f>'店长明细'!$D1572</x:f>
        <x:v>694</x:v>
      </x:c>
      <x:c r="Q183" s="10" t="n">
        <x:f>'店长明细'!$E1804</x:f>
        <x:v>52</x:v>
      </x:c>
      <x:c r="R183" s="10" t="n">
        <x:f>'店长明细'!$D1804</x:f>
        <x:v>31</x:v>
      </x:c>
      <x:c r="S183" s="10" t="n">
        <x:f>'店长明细'!$E2036</x:f>
        <x:v>24</x:v>
      </x:c>
      <x:c r="T183" s="10" t="n">
        <x:f>'店长明细'!$D2036</x:f>
        <x:v>22</x:v>
      </x:c>
      <x:c r="U183" s="10" t="n">
        <x:f>'店长明细'!$E2268</x:f>
        <x:v>46</x:v>
      </x:c>
      <x:c r="V183" s="10" t="n">
        <x:f>'店长明细'!$D2268</x:f>
        <x:v>24</x:v>
      </x:c>
      <x:c r="W183" s="11" t="n">
        <x:f>'店长明细'!$F180</x:f>
        <x:v>1607.39</x:v>
      </x:c>
      <x:c r="X183" s="11" t="n">
        <x:f>'店长明细'!$F412</x:f>
        <x:v>8800.03</x:v>
      </x:c>
      <x:c r="Y183" s="11" t="n">
        <x:f>'店长明细'!$F644</x:f>
        <x:v>11266.63</x:v>
      </x:c>
      <x:c r="Z183" s="11" t="n">
        <x:f>'店长明细'!$F876</x:f>
        <x:v>6871.8</x:v>
      </x:c>
      <x:c r="AA183" s="11" t="n">
        <x:f>'店长明细'!$F1108</x:f>
        <x:v>51.34</x:v>
      </x:c>
      <x:c r="AB183" s="11" t="n">
        <x:f>'店长明细'!$F1340</x:f>
        <x:v>5140.84</x:v>
      </x:c>
      <x:c r="AC183" s="11" t="n">
        <x:f>'店长明细'!$F1572</x:f>
        <x:v>10369.25</x:v>
      </x:c>
      <x:c r="AD183" s="11" t="n">
        <x:f>'店长明细'!$F1804</x:f>
        <x:v>1515.65</x:v>
      </x:c>
      <x:c r="AE183" s="11" t="n">
        <x:f>'店长明细'!$F2036</x:f>
        <x:v>943.4</x:v>
      </x:c>
      <x:c r="AF183" s="11" t="n">
        <x:f>'店长明细'!$F2268</x:f>
        <x:v>656.29</x:v>
      </x:c>
    </x:row>
    <x:row r="184">
      <x:c r="A184" t="str">
        <x:f>TEXT($B184,"mm-dd")</x:f>
        <x:v>06-29</x:v>
      </x:c>
      <x:c r="B184" s="9" t="n">
        <x:f>'店长明细'!$C181</x:f>
        <x:v>46202</x:v>
      </x:c>
      <x:c r="C184" s="10" t="n">
        <x:f>'店长明细'!$E181</x:f>
        <x:v>190</x:v>
      </x:c>
      <x:c r="D184" s="10" t="n">
        <x:f>'店长明细'!$D181</x:f>
        <x:v>102</x:v>
      </x:c>
      <x:c r="E184" s="10" t="n">
        <x:f>'店长明细'!$E413</x:f>
        <x:v>1257</x:v>
      </x:c>
      <x:c r="F184" s="10" t="n">
        <x:f>'店长明细'!$D413</x:f>
        <x:v>748</x:v>
      </x:c>
      <x:c r="G184" s="10" t="n">
        <x:f>'店长明细'!$E645</x:f>
        <x:v>1956</x:v>
      </x:c>
      <x:c r="H184" s="10" t="n">
        <x:f>'店长明细'!$D645</x:f>
        <x:v>815</x:v>
      </x:c>
      <x:c r="I184" s="10" t="n">
        <x:f>'店长明细'!$E877</x:f>
        <x:v>862</x:v>
      </x:c>
      <x:c r="J184" s="10" t="n">
        <x:f>'店长明细'!$D877</x:f>
        <x:v>439</x:v>
      </x:c>
      <x:c r="K184" s="10" t="n">
        <x:f>'店长明细'!$E1109</x:f>
        <x:v>8</x:v>
      </x:c>
      <x:c r="L184" s="10" t="n">
        <x:f>'店长明细'!$D1109</x:f>
        <x:v>3</x:v>
      </x:c>
      <x:c r="M184" s="10" t="n">
        <x:f>'店长明细'!$E1341</x:f>
        <x:v>531</x:v>
      </x:c>
      <x:c r="N184" s="10" t="n">
        <x:f>'店长明细'!$D1341</x:f>
        <x:v>353</x:v>
      </x:c>
      <x:c r="O184" s="10" t="n">
        <x:f>'店长明细'!$E1573</x:f>
        <x:v>1053</x:v>
      </x:c>
      <x:c r="P184" s="10" t="n">
        <x:f>'店长明细'!$D1573</x:f>
        <x:v>682</x:v>
      </x:c>
      <x:c r="Q184" s="10" t="n">
        <x:f>'店长明细'!$E1805</x:f>
        <x:v>32</x:v>
      </x:c>
      <x:c r="R184" s="10" t="n">
        <x:f>'店长明细'!$D1805</x:f>
        <x:v>21</x:v>
      </x:c>
      <x:c r="S184" s="10" t="n">
        <x:f>'店长明细'!$E2037</x:f>
        <x:v>15</x:v>
      </x:c>
      <x:c r="T184" s="10" t="n">
        <x:f>'店长明细'!$D2037</x:f>
        <x:v>14</x:v>
      </x:c>
      <x:c r="U184" s="10" t="n">
        <x:f>'店长明细'!$E2269</x:f>
        <x:v>25</x:v>
      </x:c>
      <x:c r="V184" s="10" t="n">
        <x:f>'店长明细'!$D2269</x:f>
        <x:v>11</x:v>
      </x:c>
      <x:c r="W184" s="11" t="n">
        <x:f>'店长明细'!$F181</x:f>
        <x:v>1470.68</x:v>
      </x:c>
      <x:c r="X184" s="11" t="n">
        <x:f>'店长明细'!$F413</x:f>
        <x:v>11031.12</x:v>
      </x:c>
      <x:c r="Y184" s="11" t="n">
        <x:f>'店长明细'!$F645</x:f>
        <x:v>10953.36</x:v>
      </x:c>
      <x:c r="Z184" s="11" t="n">
        <x:f>'店长明细'!$F877</x:f>
        <x:v>6981.2</x:v>
      </x:c>
      <x:c r="AA184" s="11" t="n">
        <x:f>'店长明细'!$F1109</x:f>
        <x:v>59.97</x:v>
      </x:c>
      <x:c r="AB184" s="11" t="n">
        <x:f>'店长明细'!$F1341</x:f>
        <x:v>5273.45</x:v>
      </x:c>
      <x:c r="AC184" s="11" t="n">
        <x:f>'店长明细'!$F1573</x:f>
        <x:v>9780.46</x:v>
      </x:c>
      <x:c r="AD184" s="11" t="n">
        <x:f>'店长明细'!$F1805</x:f>
        <x:v>1043.9</x:v>
      </x:c>
      <x:c r="AE184" s="11" t="n">
        <x:f>'店长明细'!$F2037</x:f>
        <x:v>716.23</x:v>
      </x:c>
      <x:c r="AF184" s="11" t="n">
        <x:f>'店长明细'!$F2269</x:f>
        <x:v>336.15</x:v>
      </x:c>
    </x:row>
    <x:row r="185">
      <x:c r="A185" t="str">
        <x:f>TEXT($B185,"mm-dd")</x:f>
        <x:v>06-30</x:v>
      </x:c>
      <x:c r="B185" s="9" t="n">
        <x:f>'店长明细'!$C182</x:f>
        <x:v>46203</x:v>
      </x:c>
      <x:c r="C185" s="10" t="n">
        <x:f>'店长明细'!$E182</x:f>
        <x:v>237</x:v>
      </x:c>
      <x:c r="D185" s="10" t="n">
        <x:f>'店长明细'!$D182</x:f>
        <x:v>116</x:v>
      </x:c>
      <x:c r="E185" s="10" t="n">
        <x:f>'店长明细'!$E414</x:f>
        <x:v>1326</x:v>
      </x:c>
      <x:c r="F185" s="10" t="n">
        <x:f>'店长明细'!$D414</x:f>
        <x:v>782</x:v>
      </x:c>
      <x:c r="G185" s="10" t="n">
        <x:f>'店长明细'!$E646</x:f>
        <x:v>2138</x:v>
      </x:c>
      <x:c r="H185" s="10" t="n">
        <x:f>'店长明细'!$D646</x:f>
        <x:v>891</x:v>
      </x:c>
      <x:c r="I185" s="10" t="n">
        <x:f>'店长明细'!$E878</x:f>
        <x:v>986</x:v>
      </x:c>
      <x:c r="J185" s="10" t="n">
        <x:f>'店长明细'!$D878</x:f>
        <x:v>508</x:v>
      </x:c>
      <x:c r="K185" s="10" t="n">
        <x:f>'店长明细'!$E1110</x:f>
        <x:v>4</x:v>
      </x:c>
      <x:c r="L185" s="10" t="n">
        <x:f>'店长明细'!$D1110</x:f>
        <x:v>3</x:v>
      </x:c>
      <x:c r="M185" s="10" t="n">
        <x:f>'店长明细'!$E1342</x:f>
        <x:v>640</x:v>
      </x:c>
      <x:c r="N185" s="10" t="n">
        <x:f>'店长明细'!$D1342</x:f>
        <x:v>357</x:v>
      </x:c>
      <x:c r="O185" s="10" t="n">
        <x:f>'店长明细'!$E1574</x:f>
        <x:v>1013</x:v>
      </x:c>
      <x:c r="P185" s="10" t="n">
        <x:f>'店长明细'!$D1574</x:f>
        <x:v>665</x:v>
      </x:c>
      <x:c r="Q185" s="10" t="n">
        <x:f>'店长明细'!$E1806</x:f>
        <x:v>80</x:v>
      </x:c>
      <x:c r="R185" s="10" t="n">
        <x:f>'店长明细'!$D1806</x:f>
        <x:v>63</x:v>
      </x:c>
      <x:c r="S185" s="10" t="n">
        <x:f>'店长明细'!$E2038</x:f>
        <x:v>64</x:v>
      </x:c>
      <x:c r="T185" s="10" t="n">
        <x:f>'店长明细'!$D2038</x:f>
        <x:v>44</x:v>
      </x:c>
      <x:c r="U185" s="10" t="n">
        <x:f>'店长明细'!$E2270</x:f>
        <x:v>24</x:v>
      </x:c>
      <x:c r="V185" s="10" t="n">
        <x:f>'店长明细'!$D2270</x:f>
        <x:v>14</x:v>
      </x:c>
      <x:c r="W185" s="11" t="n">
        <x:f>'店长明细'!$F182</x:f>
        <x:v>1734.07</x:v>
      </x:c>
      <x:c r="X185" s="11" t="n">
        <x:f>'店长明细'!$F414</x:f>
        <x:v>11294.39</x:v>
      </x:c>
      <x:c r="Y185" s="11" t="n">
        <x:f>'店长明细'!$F646</x:f>
        <x:v>12897.19</x:v>
      </x:c>
      <x:c r="Z185" s="11" t="n">
        <x:f>'店长明细'!$F878</x:f>
        <x:v>7738.92</x:v>
      </x:c>
      <x:c r="AA185" s="11" t="n">
        <x:f>'店长明细'!$F1110</x:f>
        <x:v>45.87</x:v>
      </x:c>
      <x:c r="AB185" s="11" t="n">
        <x:f>'店长明细'!$F1342</x:f>
        <x:v>6263.07</x:v>
      </x:c>
      <x:c r="AC185" s="11" t="n">
        <x:f>'店长明细'!$F1574</x:f>
        <x:v>9937.53</x:v>
      </x:c>
      <x:c r="AD185" s="11" t="n">
        <x:f>'店长明细'!$F1806</x:f>
        <x:v>4066.11</x:v>
      </x:c>
      <x:c r="AE185" s="11" t="n">
        <x:f>'店长明细'!$F2038</x:f>
        <x:v>2674.88</x:v>
      </x:c>
      <x:c r="AF185" s="11" t="n">
        <x:f>'店长明细'!$F2270</x:f>
        <x:v>-985.27</x:v>
      </x:c>
    </x:row>
    <x:row r="186">
      <x:c r="A186" t="str">
        <x:f>TEXT($B186,"mm-dd")</x:f>
        <x:v>07-01</x:v>
      </x:c>
      <x:c r="B186" s="9" t="n">
        <x:f>'店长明细'!$C183</x:f>
        <x:v>46204</x:v>
      </x:c>
      <x:c r="C186" s="10" t="n">
        <x:f>'店长明细'!$E183</x:f>
        <x:v>240</x:v>
      </x:c>
      <x:c r="D186" s="10" t="n">
        <x:f>'店长明细'!$D183</x:f>
        <x:v>121</x:v>
      </x:c>
      <x:c r="E186" s="10" t="n">
        <x:f>'店长明细'!$E415</x:f>
        <x:v>1196</x:v>
      </x:c>
      <x:c r="F186" s="10" t="n">
        <x:f>'店长明细'!$D415</x:f>
        <x:v>691</x:v>
      </x:c>
      <x:c r="G186" s="10" t="n">
        <x:f>'店长明细'!$E647</x:f>
        <x:v>1921</x:v>
      </x:c>
      <x:c r="H186" s="10" t="n">
        <x:f>'店长明细'!$D647</x:f>
        <x:v>883</x:v>
      </x:c>
      <x:c r="I186" s="10" t="n">
        <x:f>'店长明细'!$E879</x:f>
        <x:v>1045</x:v>
      </x:c>
      <x:c r="J186" s="10" t="n">
        <x:f>'店长明细'!$D879</x:f>
        <x:v>506</x:v>
      </x:c>
      <x:c r="K186" s="10" t="n">
        <x:f>'店长明细'!$E1111</x:f>
        <x:v>2</x:v>
      </x:c>
      <x:c r="L186" s="10" t="n">
        <x:f>'店长明细'!$D1111</x:f>
        <x:v>1</x:v>
      </x:c>
      <x:c r="M186" s="10" t="n">
        <x:f>'店长明细'!$E1343</x:f>
        <x:v>550</x:v>
      </x:c>
      <x:c r="N186" s="10" t="n">
        <x:f>'店长明细'!$D1343</x:f>
        <x:v>366</x:v>
      </x:c>
      <x:c r="O186" s="10" t="n">
        <x:f>'店长明细'!$E1575</x:f>
        <x:v>1023</x:v>
      </x:c>
      <x:c r="P186" s="10" t="n">
        <x:f>'店长明细'!$D1575</x:f>
        <x:v>681</x:v>
      </x:c>
      <x:c r="Q186" s="10" t="n">
        <x:f>'店长明细'!$E1807</x:f>
        <x:v>57</x:v>
      </x:c>
      <x:c r="R186" s="10" t="n">
        <x:f>'店长明细'!$D1807</x:f>
        <x:v>43</x:v>
      </x:c>
      <x:c r="S186" s="10" t="n">
        <x:f>'店长明细'!$E2039</x:f>
        <x:v>36</x:v>
      </x:c>
      <x:c r="T186" s="10" t="n">
        <x:f>'店长明细'!$D2039</x:f>
        <x:v>33</x:v>
      </x:c>
      <x:c r="U186" s="10" t="n">
        <x:f>'店长明细'!$E2271</x:f>
        <x:v>38</x:v>
      </x:c>
      <x:c r="V186" s="10" t="n">
        <x:f>'店长明细'!$D2271</x:f>
        <x:v>19</x:v>
      </x:c>
      <x:c r="W186" s="11" t="n">
        <x:f>'店长明细'!$F183</x:f>
        <x:v>1615.64</x:v>
      </x:c>
      <x:c r="X186" s="11" t="n">
        <x:f>'店长明细'!$F415</x:f>
        <x:v>10372.58</x:v>
      </x:c>
      <x:c r="Y186" s="11" t="n">
        <x:f>'店长明细'!$F647</x:f>
        <x:v>12275.79</x:v>
      </x:c>
      <x:c r="Z186" s="11" t="n">
        <x:f>'店长明细'!$F879</x:f>
        <x:v>8520.83</x:v>
      </x:c>
      <x:c r="AA186" s="11" t="n">
        <x:f>'店长明细'!$F1111</x:f>
        <x:v>13.86</x:v>
      </x:c>
      <x:c r="AB186" s="11" t="n">
        <x:f>'店长明细'!$F1343</x:f>
        <x:v>5738.5</x:v>
      </x:c>
      <x:c r="AC186" s="11" t="n">
        <x:f>'店长明细'!$F1575</x:f>
        <x:v>9791.16</x:v>
      </x:c>
      <x:c r="AD186" s="11" t="n">
        <x:f>'店长明细'!$F1807</x:f>
        <x:v>1898</x:v>
      </x:c>
      <x:c r="AE186" s="11" t="n">
        <x:f>'店长明细'!$F2039</x:f>
        <x:v>1242.16</x:v>
      </x:c>
      <x:c r="AF186" s="11" t="n">
        <x:f>'店长明细'!$F2271</x:f>
        <x:v>515.27</x:v>
      </x:c>
    </x:row>
    <x:row r="187">
      <x:c r="A187" t="str">
        <x:f>TEXT($B187,"mm-dd")</x:f>
        <x:v>07-02</x:v>
      </x:c>
      <x:c r="B187" s="9" t="n">
        <x:f>'店长明细'!$C184</x:f>
        <x:v>46205</x:v>
      </x:c>
      <x:c r="C187" s="10" t="n">
        <x:f>'店长明细'!$E184</x:f>
        <x:v>237</x:v>
      </x:c>
      <x:c r="D187" s="10" t="n">
        <x:f>'店长明细'!$D184</x:f>
        <x:v>118</x:v>
      </x:c>
      <x:c r="E187" s="10" t="n">
        <x:f>'店长明细'!$E416</x:f>
        <x:v>1404</x:v>
      </x:c>
      <x:c r="F187" s="10" t="n">
        <x:f>'店长明细'!$D416</x:f>
        <x:v>830</x:v>
      </x:c>
      <x:c r="G187" s="10" t="n">
        <x:f>'店长明细'!$E648</x:f>
        <x:v>2398</x:v>
      </x:c>
      <x:c r="H187" s="10" t="n">
        <x:f>'店长明细'!$D648</x:f>
        <x:v>962</x:v>
      </x:c>
      <x:c r="I187" s="10" t="n">
        <x:f>'店长明细'!$E880</x:f>
        <x:v>968</x:v>
      </x:c>
      <x:c r="J187" s="10" t="n">
        <x:f>'店长明细'!$D880</x:f>
        <x:v>462</x:v>
      </x:c>
      <x:c r="K187" s="10" t="n">
        <x:f>'店长明细'!$E1112</x:f>
        <x:v>0</x:v>
      </x:c>
      <x:c r="L187" s="10" t="n">
        <x:f>'店长明细'!$D1112</x:f>
        <x:v>0</x:v>
      </x:c>
      <x:c r="M187" s="10" t="n">
        <x:f>'店长明细'!$E1344</x:f>
        <x:v>580</x:v>
      </x:c>
      <x:c r="N187" s="10" t="n">
        <x:f>'店长明细'!$D1344</x:f>
        <x:v>371</x:v>
      </x:c>
      <x:c r="O187" s="10" t="n">
        <x:f>'店长明细'!$E1576</x:f>
        <x:v>1044</x:v>
      </x:c>
      <x:c r="P187" s="10" t="n">
        <x:f>'店长明细'!$D1576</x:f>
        <x:v>732</x:v>
      </x:c>
      <x:c r="Q187" s="10" t="n">
        <x:f>'店长明细'!$E1808</x:f>
        <x:v>46</x:v>
      </x:c>
      <x:c r="R187" s="10" t="n">
        <x:f>'店长明细'!$D1808</x:f>
        <x:v>39</x:v>
      </x:c>
      <x:c r="S187" s="10" t="n">
        <x:f>'店长明细'!$E2040</x:f>
        <x:v>30</x:v>
      </x:c>
      <x:c r="T187" s="10" t="n">
        <x:f>'店长明细'!$D2040</x:f>
        <x:v>26</x:v>
      </x:c>
      <x:c r="U187" s="10" t="n">
        <x:f>'店长明细'!$E2272</x:f>
        <x:v>19</x:v>
      </x:c>
      <x:c r="V187" s="10" t="n">
        <x:f>'店长明细'!$D2272</x:f>
        <x:v>16</x:v>
      </x:c>
      <x:c r="W187" s="11" t="n">
        <x:f>'店长明细'!$F184</x:f>
        <x:v>1628.23</x:v>
      </x:c>
      <x:c r="X187" s="11" t="n">
        <x:f>'店长明细'!$F416</x:f>
        <x:v>12279.29</x:v>
      </x:c>
      <x:c r="Y187" s="11" t="n">
        <x:f>'店长明细'!$F648</x:f>
        <x:v>13252.75</x:v>
      </x:c>
      <x:c r="Z187" s="11" t="n">
        <x:f>'店长明细'!$F880</x:f>
        <x:v>7900.3</x:v>
      </x:c>
      <x:c r="AA187" s="11" t="n">
        <x:f>'店长明细'!$F1112</x:f>
        <x:v>0</x:v>
      </x:c>
      <x:c r="AB187" s="11" t="n">
        <x:f>'店长明细'!$F1344</x:f>
        <x:v>5540.22</x:v>
      </x:c>
      <x:c r="AC187" s="11" t="n">
        <x:f>'店长明细'!$F1576</x:f>
        <x:v>9815.04</x:v>
      </x:c>
      <x:c r="AD187" s="11" t="n">
        <x:f>'店长明细'!$F1808</x:f>
        <x:v>1323.6</x:v>
      </x:c>
      <x:c r="AE187" s="11" t="n">
        <x:f>'店长明细'!$F2040</x:f>
        <x:v>875.8</x:v>
      </x:c>
      <x:c r="AF187" s="11" t="n">
        <x:f>'店长明细'!$F2272</x:f>
        <x:v>301.03</x:v>
      </x:c>
    </x:row>
    <x:row r="188">
      <x:c r="A188" t="str">
        <x:f>TEXT($B188,"mm-dd")</x:f>
        <x:v>07-03</x:v>
      </x:c>
      <x:c r="B188" s="9" t="n">
        <x:f>'店长明细'!$C185</x:f>
        <x:v>46206</x:v>
      </x:c>
      <x:c r="C188" s="10" t="n">
        <x:f>'店长明细'!$E185</x:f>
        <x:v>243</x:v>
      </x:c>
      <x:c r="D188" s="10" t="n">
        <x:f>'店长明细'!$D185</x:f>
        <x:v>126</x:v>
      </x:c>
      <x:c r="E188" s="10" t="n">
        <x:f>'店长明细'!$E417</x:f>
        <x:v>1244</x:v>
      </x:c>
      <x:c r="F188" s="10" t="n">
        <x:f>'店长明细'!$D417</x:f>
        <x:v>746</x:v>
      </x:c>
      <x:c r="G188" s="10" t="n">
        <x:f>'店长明细'!$E649</x:f>
        <x:v>1992</x:v>
      </x:c>
      <x:c r="H188" s="10" t="n">
        <x:f>'店长明细'!$D649</x:f>
        <x:v>827</x:v>
      </x:c>
      <x:c r="I188" s="10" t="n">
        <x:f>'店长明细'!$E881</x:f>
        <x:v>928</x:v>
      </x:c>
      <x:c r="J188" s="10" t="n">
        <x:f>'店长明细'!$D881</x:f>
        <x:v>443</x:v>
      </x:c>
      <x:c r="K188" s="10" t="n">
        <x:f>'店长明细'!$E1113</x:f>
        <x:v>1</x:v>
      </x:c>
      <x:c r="L188" s="10" t="n">
        <x:f>'店长明细'!$D1113</x:f>
        <x:v>1</x:v>
      </x:c>
      <x:c r="M188" s="10" t="n">
        <x:f>'店长明细'!$E1345</x:f>
        <x:v>522</x:v>
      </x:c>
      <x:c r="N188" s="10" t="n">
        <x:f>'店长明细'!$D1345</x:f>
        <x:v>340</x:v>
      </x:c>
      <x:c r="O188" s="10" t="n">
        <x:f>'店长明细'!$E1577</x:f>
        <x:v>1152</x:v>
      </x:c>
      <x:c r="P188" s="10" t="n">
        <x:f>'店长明细'!$D1577</x:f>
        <x:v>808</x:v>
      </x:c>
      <x:c r="Q188" s="10" t="n">
        <x:f>'店长明细'!$E1809</x:f>
        <x:v>71</x:v>
      </x:c>
      <x:c r="R188" s="10" t="n">
        <x:f>'店长明细'!$D1809</x:f>
        <x:v>46</x:v>
      </x:c>
      <x:c r="S188" s="10" t="n">
        <x:f>'店长明细'!$E2041</x:f>
        <x:v>62</x:v>
      </x:c>
      <x:c r="T188" s="10" t="n">
        <x:f>'店长明细'!$D2041</x:f>
        <x:v>35</x:v>
      </x:c>
      <x:c r="U188" s="10" t="n">
        <x:f>'店长明细'!$E2273</x:f>
        <x:v>29</x:v>
      </x:c>
      <x:c r="V188" s="10" t="n">
        <x:f>'店长明细'!$D2273</x:f>
        <x:v>16</x:v>
      </x:c>
      <x:c r="W188" s="11" t="n">
        <x:f>'店长明细'!$F185</x:f>
        <x:v>1946.72</x:v>
      </x:c>
      <x:c r="X188" s="11" t="n">
        <x:f>'店长明细'!$F417</x:f>
        <x:v>11278.51</x:v>
      </x:c>
      <x:c r="Y188" s="11" t="n">
        <x:f>'店长明细'!$F649</x:f>
        <x:v>11541.02</x:v>
      </x:c>
      <x:c r="Z188" s="11" t="n">
        <x:f>'店长明细'!$F881</x:f>
        <x:v>7760.7</x:v>
      </x:c>
      <x:c r="AA188" s="11" t="n">
        <x:f>'店长明细'!$F1113</x:f>
        <x:v>7.51</x:v>
      </x:c>
      <x:c r="AB188" s="11" t="n">
        <x:f>'店长明细'!$F1345</x:f>
        <x:v>5005.99</x:v>
      </x:c>
      <x:c r="AC188" s="11" t="n">
        <x:f>'店长明细'!$F1577</x:f>
        <x:v>10558.38</x:v>
      </x:c>
      <x:c r="AD188" s="11" t="n">
        <x:f>'店长明细'!$F1809</x:f>
        <x:v>1652.99</x:v>
      </x:c>
      <x:c r="AE188" s="11" t="n">
        <x:f>'店长明细'!$F2041</x:f>
        <x:v>2283.24</x:v>
      </x:c>
      <x:c r="AF188" s="11" t="n">
        <x:f>'店长明细'!$F2273</x:f>
        <x:v>367.85</x:v>
      </x:c>
    </x:row>
    <x:row r="189">
      <x:c r="A189" t="str">
        <x:f>TEXT($B189,"mm-dd")</x:f>
        <x:v>07-04</x:v>
      </x:c>
      <x:c r="B189" s="9" t="n">
        <x:f>'店长明细'!$C186</x:f>
        <x:v>46207</x:v>
      </x:c>
      <x:c r="C189" s="10" t="n">
        <x:f>'店长明细'!$E186</x:f>
        <x:v>182</x:v>
      </x:c>
      <x:c r="D189" s="10" t="n">
        <x:f>'店长明细'!$D186</x:f>
        <x:v>100</x:v>
      </x:c>
      <x:c r="E189" s="10" t="n">
        <x:f>'店长明细'!$E418</x:f>
        <x:v>1137</x:v>
      </x:c>
      <x:c r="F189" s="10" t="n">
        <x:f>'店长明细'!$D418</x:f>
        <x:v>684</x:v>
      </x:c>
      <x:c r="G189" s="10" t="n">
        <x:f>'店长明细'!$E650</x:f>
        <x:v>2482</x:v>
      </x:c>
      <x:c r="H189" s="10" t="n">
        <x:f>'店长明细'!$D650</x:f>
        <x:v>1022</x:v>
      </x:c>
      <x:c r="I189" s="10" t="n">
        <x:f>'店长明细'!$E882</x:f>
        <x:v>1056</x:v>
      </x:c>
      <x:c r="J189" s="10" t="n">
        <x:f>'店长明细'!$D882</x:f>
        <x:v>467</x:v>
      </x:c>
      <x:c r="K189" s="10" t="n">
        <x:f>'店长明细'!$E1114</x:f>
        <x:v>3</x:v>
      </x:c>
      <x:c r="L189" s="10" t="n">
        <x:f>'店长明细'!$D1114</x:f>
        <x:v>2</x:v>
      </x:c>
      <x:c r="M189" s="10" t="n">
        <x:f>'店长明细'!$E1346</x:f>
        <x:v>534</x:v>
      </x:c>
      <x:c r="N189" s="10" t="n">
        <x:f>'店长明细'!$D1346</x:f>
        <x:v>330</x:v>
      </x:c>
      <x:c r="O189" s="10" t="n">
        <x:f>'店长明细'!$E1578</x:f>
        <x:v>1485</x:v>
      </x:c>
      <x:c r="P189" s="10" t="n">
        <x:f>'店长明细'!$D1578</x:f>
        <x:v>1000</x:v>
      </x:c>
      <x:c r="Q189" s="10" t="n">
        <x:f>'店长明细'!$E1810</x:f>
        <x:v>65</x:v>
      </x:c>
      <x:c r="R189" s="10" t="n">
        <x:f>'店长明细'!$D1810</x:f>
        <x:v>39</x:v>
      </x:c>
      <x:c r="S189" s="10" t="n">
        <x:f>'店长明细'!$E2042</x:f>
        <x:v>48</x:v>
      </x:c>
      <x:c r="T189" s="10" t="n">
        <x:f>'店长明细'!$D2042</x:f>
        <x:v>31</x:v>
      </x:c>
      <x:c r="U189" s="10" t="n">
        <x:f>'店长明细'!$E2274</x:f>
        <x:v>30</x:v>
      </x:c>
      <x:c r="V189" s="10" t="n">
        <x:f>'店长明细'!$D2274</x:f>
        <x:v>12</x:v>
      </x:c>
      <x:c r="W189" s="11" t="n">
        <x:f>'店长明细'!$F186</x:f>
        <x:v>1392</x:v>
      </x:c>
      <x:c r="X189" s="11" t="n">
        <x:f>'店长明细'!$F418</x:f>
        <x:v>10168.23</x:v>
      </x:c>
      <x:c r="Y189" s="11" t="n">
        <x:f>'店长明细'!$F650</x:f>
        <x:v>14002.55</x:v>
      </x:c>
      <x:c r="Z189" s="11" t="n">
        <x:f>'店长明细'!$F882</x:f>
        <x:v>8122.23</x:v>
      </x:c>
      <x:c r="AA189" s="11" t="n">
        <x:f>'店长明细'!$F1114</x:f>
        <x:v>28.78</x:v>
      </x:c>
      <x:c r="AB189" s="11" t="n">
        <x:f>'店长明细'!$F1346</x:f>
        <x:v>5423.96</x:v>
      </x:c>
      <x:c r="AC189" s="11" t="n">
        <x:f>'店长明细'!$F1578</x:f>
        <x:v>13202.79</x:v>
      </x:c>
      <x:c r="AD189" s="11" t="n">
        <x:f>'店长明细'!$F1810</x:f>
        <x:v>1550.92</x:v>
      </x:c>
      <x:c r="AE189" s="11" t="n">
        <x:f>'店长明细'!$F2042</x:f>
        <x:v>1125.53</x:v>
      </x:c>
      <x:c r="AF189" s="11" t="n">
        <x:f>'店长明细'!$F2274</x:f>
        <x:v>347.2</x:v>
      </x:c>
    </x:row>
    <x:row r="190">
      <x:c r="A190" t="str">
        <x:f>TEXT($B190,"mm-dd")</x:f>
        <x:v>07-05</x:v>
      </x:c>
      <x:c r="B190" s="9" t="n">
        <x:f>'店长明细'!$C187</x:f>
        <x:v>46208</x:v>
      </x:c>
      <x:c r="C190" s="10" t="n">
        <x:f>'店长明细'!$E187</x:f>
        <x:v>203</x:v>
      </x:c>
      <x:c r="D190" s="10" t="n">
        <x:f>'店长明细'!$D187</x:f>
        <x:v>103</x:v>
      </x:c>
      <x:c r="E190" s="10" t="n">
        <x:f>'店长明细'!$E419</x:f>
        <x:v>936</x:v>
      </x:c>
      <x:c r="F190" s="10" t="n">
        <x:f>'店长明细'!$D419</x:f>
        <x:v>574</x:v>
      </x:c>
      <x:c r="G190" s="10" t="n">
        <x:f>'店长明细'!$E651</x:f>
        <x:v>1821</x:v>
      </x:c>
      <x:c r="H190" s="10" t="n">
        <x:f>'店长明细'!$D651</x:f>
        <x:v>776</x:v>
      </x:c>
      <x:c r="I190" s="10" t="n">
        <x:f>'店长明细'!$E883</x:f>
        <x:v>908</x:v>
      </x:c>
      <x:c r="J190" s="10" t="n">
        <x:f>'店长明细'!$D883</x:f>
        <x:v>432</x:v>
      </x:c>
      <x:c r="K190" s="10" t="n">
        <x:f>'店长明细'!$E1115</x:f>
        <x:v>5</x:v>
      </x:c>
      <x:c r="L190" s="10" t="n">
        <x:f>'店长明细'!$D1115</x:f>
        <x:v>3</x:v>
      </x:c>
      <x:c r="M190" s="10" t="n">
        <x:f>'店长明细'!$E1347</x:f>
        <x:v>413</x:v>
      </x:c>
      <x:c r="N190" s="10" t="n">
        <x:f>'店长明细'!$D1347</x:f>
        <x:v>286</x:v>
      </x:c>
      <x:c r="O190" s="10" t="n">
        <x:f>'店长明细'!$E1579</x:f>
        <x:v>1332</x:v>
      </x:c>
      <x:c r="P190" s="10" t="n">
        <x:f>'店长明细'!$D1579</x:f>
        <x:v>881</x:v>
      </x:c>
      <x:c r="Q190" s="10" t="n">
        <x:f>'店长明细'!$E1811</x:f>
        <x:v>68</x:v>
      </x:c>
      <x:c r="R190" s="10" t="n">
        <x:f>'店长明细'!$D1811</x:f>
        <x:v>45</x:v>
      </x:c>
      <x:c r="S190" s="10" t="n">
        <x:f>'店长明细'!$E2043</x:f>
        <x:v>16</x:v>
      </x:c>
      <x:c r="T190" s="10" t="n">
        <x:f>'店长明细'!$D2043</x:f>
        <x:v>11</x:v>
      </x:c>
      <x:c r="U190" s="10" t="n">
        <x:f>'店长明细'!$E2275</x:f>
        <x:v>64</x:v>
      </x:c>
      <x:c r="V190" s="10" t="n">
        <x:f>'店长明细'!$D2275</x:f>
        <x:v>23</x:v>
      </x:c>
      <x:c r="W190" s="11" t="n">
        <x:f>'店长明细'!$F187</x:f>
        <x:v>1486.03</x:v>
      </x:c>
      <x:c r="X190" s="11" t="n">
        <x:f>'店长明细'!$F419</x:f>
        <x:v>8681.65</x:v>
      </x:c>
      <x:c r="Y190" s="11" t="n">
        <x:f>'店长明细'!$F651</x:f>
        <x:v>10301.85</x:v>
      </x:c>
      <x:c r="Z190" s="11" t="n">
        <x:f>'店长明细'!$F883</x:f>
        <x:v>7519.18</x:v>
      </x:c>
      <x:c r="AA190" s="11" t="n">
        <x:f>'店长明细'!$F1115</x:f>
        <x:v>37.33</x:v>
      </x:c>
      <x:c r="AB190" s="11" t="n">
        <x:f>'店长明细'!$F1347</x:f>
        <x:v>4324.59</x:v>
      </x:c>
      <x:c r="AC190" s="11" t="n">
        <x:f>'店长明细'!$F1579</x:f>
        <x:v>11707.61</x:v>
      </x:c>
      <x:c r="AD190" s="11" t="n">
        <x:f>'店长明细'!$F1811</x:f>
        <x:v>1860.68</x:v>
      </x:c>
      <x:c r="AE190" s="11" t="n">
        <x:f>'店长明细'!$F2043</x:f>
        <x:v>685.95</x:v>
      </x:c>
      <x:c r="AF190" s="11" t="n">
        <x:f>'店长明细'!$F2275</x:f>
        <x:v>799.42</x:v>
      </x:c>
    </x:row>
    <x:row r="191">
      <x:c r="A191" t="str">
        <x:f>TEXT($B191,"mm-dd")</x:f>
        <x:v>07-06</x:v>
      </x:c>
      <x:c r="B191" s="9" t="n">
        <x:f>'店长明细'!$C188</x:f>
        <x:v>46209</x:v>
      </x:c>
      <x:c r="C191" s="10" t="n">
        <x:f>'店长明细'!$E188</x:f>
        <x:v>227</x:v>
      </x:c>
      <x:c r="D191" s="10" t="n">
        <x:f>'店长明细'!$D188</x:f>
        <x:v>122</x:v>
      </x:c>
      <x:c r="E191" s="10" t="n">
        <x:f>'店长明细'!$E420</x:f>
        <x:v>998</x:v>
      </x:c>
      <x:c r="F191" s="10" t="n">
        <x:f>'店长明细'!$D420</x:f>
        <x:v>618</x:v>
      </x:c>
      <x:c r="G191" s="10" t="n">
        <x:f>'店长明细'!$E652</x:f>
        <x:v>1712</x:v>
      </x:c>
      <x:c r="H191" s="10" t="n">
        <x:f>'店长明细'!$D652</x:f>
        <x:v>759</x:v>
      </x:c>
      <x:c r="I191" s="10" t="n">
        <x:f>'店长明细'!$E884</x:f>
        <x:v>919</x:v>
      </x:c>
      <x:c r="J191" s="10" t="n">
        <x:f>'店长明细'!$D884</x:f>
        <x:v>473</x:v>
      </x:c>
      <x:c r="K191" s="10" t="n">
        <x:f>'店长明细'!$E1116</x:f>
        <x:v>1</x:v>
      </x:c>
      <x:c r="L191" s="10" t="n">
        <x:f>'店长明细'!$D1116</x:f>
        <x:v>1</x:v>
      </x:c>
      <x:c r="M191" s="10" t="n">
        <x:f>'店长明细'!$E1348</x:f>
        <x:v>424</x:v>
      </x:c>
      <x:c r="N191" s="10" t="n">
        <x:f>'店长明细'!$D1348</x:f>
        <x:v>258</x:v>
      </x:c>
      <x:c r="O191" s="10" t="n">
        <x:f>'店长明细'!$E1580</x:f>
        <x:v>1249</x:v>
      </x:c>
      <x:c r="P191" s="10" t="n">
        <x:f>'店长明细'!$D1580</x:f>
        <x:v>856</x:v>
      </x:c>
      <x:c r="Q191" s="10" t="n">
        <x:f>'店长明细'!$E1812</x:f>
        <x:v>57</x:v>
      </x:c>
      <x:c r="R191" s="10" t="n">
        <x:f>'店长明细'!$D1812</x:f>
        <x:v>44</x:v>
      </x:c>
      <x:c r="S191" s="10" t="n">
        <x:f>'店长明细'!$E2044</x:f>
        <x:v>24</x:v>
      </x:c>
      <x:c r="T191" s="10" t="n">
        <x:f>'店长明细'!$D2044</x:f>
        <x:v>17</x:v>
      </x:c>
      <x:c r="U191" s="10" t="n">
        <x:f>'店长明细'!$E2276</x:f>
        <x:v>31</x:v>
      </x:c>
      <x:c r="V191" s="10" t="n">
        <x:f>'店长明细'!$D2276</x:f>
        <x:v>17</x:v>
      </x:c>
      <x:c r="W191" s="11" t="n">
        <x:f>'店长明细'!$F188</x:f>
        <x:v>1719.55</x:v>
      </x:c>
      <x:c r="X191" s="11" t="n">
        <x:f>'店长明细'!$F420</x:f>
        <x:v>9773.73</x:v>
      </x:c>
      <x:c r="Y191" s="11" t="n">
        <x:f>'店长明细'!$F652</x:f>
        <x:v>10174.93</x:v>
      </x:c>
      <x:c r="Z191" s="11" t="n">
        <x:f>'店长明细'!$F884</x:f>
        <x:v>8012.89</x:v>
      </x:c>
      <x:c r="AA191" s="11" t="n">
        <x:f>'店长明细'!$F1116</x:f>
        <x:v>9.7</x:v>
      </x:c>
      <x:c r="AB191" s="11" t="n">
        <x:f>'店长明细'!$F1348</x:f>
        <x:v>4149.07</x:v>
      </x:c>
      <x:c r="AC191" s="11" t="n">
        <x:f>'店长明细'!$F1580</x:f>
        <x:v>10785.98</x:v>
      </x:c>
      <x:c r="AD191" s="11" t="n">
        <x:f>'店长明细'!$F1812</x:f>
        <x:v>1750.52</x:v>
      </x:c>
      <x:c r="AE191" s="11" t="n">
        <x:f>'店长明细'!$F2044</x:f>
        <x:v>977.34</x:v>
      </x:c>
      <x:c r="AF191" s="11" t="n">
        <x:f>'店长明细'!$F2276</x:f>
        <x:v>417.1</x:v>
      </x:c>
    </x:row>
    <x:row r="192">
      <x:c r="A192" t="str">
        <x:f>TEXT($B192,"mm-dd")</x:f>
        <x:v>07-07</x:v>
      </x:c>
      <x:c r="B192" s="9" t="n">
        <x:f>'店长明细'!$C189</x:f>
        <x:v>46210</x:v>
      </x:c>
      <x:c r="C192" s="10" t="n">
        <x:f>'店长明细'!$E189</x:f>
        <x:v>188</x:v>
      </x:c>
      <x:c r="D192" s="10" t="n">
        <x:f>'店长明细'!$D189</x:f>
        <x:v>103</x:v>
      </x:c>
      <x:c r="E192" s="10" t="n">
        <x:f>'店长明细'!$E421</x:f>
        <x:v>1100</x:v>
      </x:c>
      <x:c r="F192" s="10" t="n">
        <x:f>'店长明细'!$D421</x:f>
        <x:v>724</x:v>
      </x:c>
      <x:c r="G192" s="10" t="n">
        <x:f>'店长明细'!$E653</x:f>
        <x:v>2579</x:v>
      </x:c>
      <x:c r="H192" s="10" t="n">
        <x:f>'店长明细'!$D653</x:f>
        <x:v>1082</x:v>
      </x:c>
      <x:c r="I192" s="10" t="n">
        <x:f>'店长明细'!$E885</x:f>
        <x:v>1117</x:v>
      </x:c>
      <x:c r="J192" s="10" t="n">
        <x:f>'店长明细'!$D885</x:f>
        <x:v>509</x:v>
      </x:c>
      <x:c r="K192" s="10" t="n">
        <x:f>'店长明细'!$E1117</x:f>
        <x:v>1</x:v>
      </x:c>
      <x:c r="L192" s="10" t="n">
        <x:f>'店长明细'!$D1117</x:f>
        <x:v>1</x:v>
      </x:c>
      <x:c r="M192" s="10" t="n">
        <x:f>'店长明细'!$E1349</x:f>
        <x:v>536</x:v>
      </x:c>
      <x:c r="N192" s="10" t="n">
        <x:f>'店长明细'!$D1349</x:f>
        <x:v>306</x:v>
      </x:c>
      <x:c r="O192" s="10" t="n">
        <x:f>'店长明细'!$E1581</x:f>
        <x:v>1615</x:v>
      </x:c>
      <x:c r="P192" s="10" t="n">
        <x:f>'店长明细'!$D1581</x:f>
        <x:v>1065</x:v>
      </x:c>
      <x:c r="Q192" s="10" t="n">
        <x:f>'店长明细'!$E1813</x:f>
        <x:v>91</x:v>
      </x:c>
      <x:c r="R192" s="10" t="n">
        <x:f>'店长明细'!$D1813</x:f>
        <x:v>65</x:v>
      </x:c>
      <x:c r="S192" s="10" t="n">
        <x:f>'店长明细'!$E2045</x:f>
        <x:v>38</x:v>
      </x:c>
      <x:c r="T192" s="10" t="n">
        <x:f>'店长明细'!$D2045</x:f>
        <x:v>35</x:v>
      </x:c>
      <x:c r="U192" s="10" t="n">
        <x:f>'店长明细'!$E2277</x:f>
        <x:v>39</x:v>
      </x:c>
      <x:c r="V192" s="10" t="n">
        <x:f>'店长明细'!$D2277</x:f>
        <x:v>18</x:v>
      </x:c>
      <x:c r="W192" s="11" t="n">
        <x:f>'店长明细'!$F189</x:f>
        <x:v>1369.85</x:v>
      </x:c>
      <x:c r="X192" s="11" t="n">
        <x:f>'店长明细'!$F421</x:f>
        <x:v>11001.4</x:v>
      </x:c>
      <x:c r="Y192" s="11" t="n">
        <x:f>'店长明细'!$F653</x:f>
        <x:v>14461.8</x:v>
      </x:c>
      <x:c r="Z192" s="11" t="n">
        <x:f>'店长明细'!$F885</x:f>
        <x:v>9019.58</x:v>
      </x:c>
      <x:c r="AA192" s="11" t="n">
        <x:f>'店长明细'!$F1117</x:f>
        <x:v>8.39</x:v>
      </x:c>
      <x:c r="AB192" s="11" t="n">
        <x:f>'店长明细'!$F1349</x:f>
        <x:v>5234.53</x:v>
      </x:c>
      <x:c r="AC192" s="11" t="n">
        <x:f>'店长明细'!$F1581</x:f>
        <x:v>14092.7</x:v>
      </x:c>
      <x:c r="AD192" s="11" t="n">
        <x:f>'店长明细'!$F1813</x:f>
        <x:v>2794.43</x:v>
      </x:c>
      <x:c r="AE192" s="11" t="n">
        <x:f>'店长明细'!$F2045</x:f>
        <x:v>1113.45</x:v>
      </x:c>
      <x:c r="AF192" s="11" t="n">
        <x:f>'店长明细'!$F2277</x:f>
        <x:v>519.46</x:v>
      </x:c>
    </x:row>
    <x:row r="193">
      <x:c r="A193" t="str">
        <x:f>TEXT($B193,"mm-dd")</x:f>
        <x:v>07-08</x:v>
      </x:c>
      <x:c r="B193" s="9" t="n">
        <x:f>'店长明细'!$C190</x:f>
        <x:v>46211</x:v>
      </x:c>
      <x:c r="C193" s="10" t="n">
        <x:f>'店长明细'!$E190</x:f>
        <x:v>191</x:v>
      </x:c>
      <x:c r="D193" s="10" t="n">
        <x:f>'店长明细'!$D190</x:f>
        <x:v>94</x:v>
      </x:c>
      <x:c r="E193" s="10" t="n">
        <x:f>'店长明细'!$E422</x:f>
        <x:v>1071</x:v>
      </x:c>
      <x:c r="F193" s="10" t="n">
        <x:f>'店长明细'!$D422</x:f>
        <x:v>562</x:v>
      </x:c>
      <x:c r="G193" s="10" t="n">
        <x:f>'店长明细'!$E654</x:f>
        <x:v>1917</x:v>
      </x:c>
      <x:c r="H193" s="10" t="n">
        <x:f>'店长明细'!$D654</x:f>
        <x:v>832</x:v>
      </x:c>
      <x:c r="I193" s="10" t="n">
        <x:f>'店长明细'!$E886</x:f>
        <x:v>947</x:v>
      </x:c>
      <x:c r="J193" s="10" t="n">
        <x:f>'店长明细'!$D886</x:f>
        <x:v>488</x:v>
      </x:c>
      <x:c r="K193" s="10" t="n">
        <x:f>'店长明细'!$E1118</x:f>
        <x:v>12</x:v>
      </x:c>
      <x:c r="L193" s="10" t="n">
        <x:f>'店长明细'!$D1118</x:f>
        <x:v>6</x:v>
      </x:c>
      <x:c r="M193" s="10" t="n">
        <x:f>'店长明细'!$E1350</x:f>
        <x:v>623</x:v>
      </x:c>
      <x:c r="N193" s="10" t="n">
        <x:f>'店长明细'!$D1350</x:f>
        <x:v>373</x:v>
      </x:c>
      <x:c r="O193" s="10" t="n">
        <x:f>'店长明细'!$E1582</x:f>
        <x:v>1230</x:v>
      </x:c>
      <x:c r="P193" s="10" t="n">
        <x:f>'店长明细'!$D1582</x:f>
        <x:v>863</x:v>
      </x:c>
      <x:c r="Q193" s="10" t="n">
        <x:f>'店长明细'!$E1814</x:f>
        <x:v>36</x:v>
      </x:c>
      <x:c r="R193" s="10" t="n">
        <x:f>'店长明细'!$D1814</x:f>
        <x:v>30</x:v>
      </x:c>
      <x:c r="S193" s="10" t="n">
        <x:f>'店长明细'!$E2046</x:f>
        <x:v>29</x:v>
      </x:c>
      <x:c r="T193" s="10" t="n">
        <x:f>'店长明细'!$D2046</x:f>
        <x:v>17</x:v>
      </x:c>
      <x:c r="U193" s="10" t="n">
        <x:f>'店长明细'!$E2278</x:f>
        <x:v>42</x:v>
      </x:c>
      <x:c r="V193" s="10" t="n">
        <x:f>'店长明细'!$D2278</x:f>
        <x:v>22</x:v>
      </x:c>
      <x:c r="W193" s="11" t="n">
        <x:f>'店长明细'!$F190</x:f>
        <x:v>1492.1</x:v>
      </x:c>
      <x:c r="X193" s="11" t="n">
        <x:f>'店长明细'!$F422</x:f>
        <x:v>8790.67</x:v>
      </x:c>
      <x:c r="Y193" s="11" t="n">
        <x:f>'店长明细'!$F654</x:f>
        <x:v>10380.44</x:v>
      </x:c>
      <x:c r="Z193" s="11" t="n">
        <x:f>'店长明细'!$F886</x:f>
        <x:v>8353.37</x:v>
      </x:c>
      <x:c r="AA193" s="11" t="n">
        <x:f>'店长明细'!$F1118</x:f>
        <x:v>84.49</x:v>
      </x:c>
      <x:c r="AB193" s="11" t="n">
        <x:f>'店长明细'!$F1350</x:f>
        <x:v>5720.9</x:v>
      </x:c>
      <x:c r="AC193" s="11" t="n">
        <x:f>'店长明细'!$F1582</x:f>
        <x:v>10841.84</x:v>
      </x:c>
      <x:c r="AD193" s="11" t="n">
        <x:f>'店长明细'!$F1814</x:f>
        <x:v>1302.81</x:v>
      </x:c>
      <x:c r="AE193" s="11" t="n">
        <x:f>'店长明细'!$F2046</x:f>
        <x:v>1017.01</x:v>
      </x:c>
      <x:c r="AF193" s="11" t="n">
        <x:f>'店长明细'!$F2278</x:f>
        <x:v>503.98</x:v>
      </x:c>
    </x:row>
    <x:row r="194">
      <x:c r="A194" t="str">
        <x:f>TEXT($B194,"mm-dd")</x:f>
        <x:v>07-09</x:v>
      </x:c>
      <x:c r="B194" s="9" t="n">
        <x:f>'店长明细'!$C191</x:f>
        <x:v>46212</x:v>
      </x:c>
      <x:c r="C194" s="10" t="n">
        <x:f>'店长明细'!$E191</x:f>
        <x:v>194</x:v>
      </x:c>
      <x:c r="D194" s="10" t="n">
        <x:f>'店长明细'!$D191</x:f>
        <x:v>96</x:v>
      </x:c>
      <x:c r="E194" s="10" t="n">
        <x:f>'店长明细'!$E423</x:f>
        <x:v>1377</x:v>
      </x:c>
      <x:c r="F194" s="10" t="n">
        <x:f>'店长明细'!$D423</x:f>
        <x:v>747</x:v>
      </x:c>
      <x:c r="G194" s="10" t="n">
        <x:f>'店长明细'!$E655</x:f>
        <x:v>1516</x:v>
      </x:c>
      <x:c r="H194" s="10" t="n">
        <x:f>'店长明细'!$D655</x:f>
        <x:v>675</x:v>
      </x:c>
      <x:c r="I194" s="10" t="n">
        <x:f>'店长明细'!$E887</x:f>
        <x:v>697</x:v>
      </x:c>
      <x:c r="J194" s="10" t="n">
        <x:f>'店长明细'!$D887</x:f>
        <x:v>368</x:v>
      </x:c>
      <x:c r="K194" s="10" t="n">
        <x:f>'店长明细'!$E1119</x:f>
        <x:v>0</x:v>
      </x:c>
      <x:c r="L194" s="10" t="n">
        <x:f>'店长明细'!$D1119</x:f>
        <x:v>0</x:v>
      </x:c>
      <x:c r="M194" s="10" t="n">
        <x:f>'店长明细'!$E1351</x:f>
        <x:v>519</x:v>
      </x:c>
      <x:c r="N194" s="10" t="n">
        <x:f>'店长明细'!$D1351</x:f>
        <x:v>287</x:v>
      </x:c>
      <x:c r="O194" s="10" t="n">
        <x:f>'店长明细'!$E1583</x:f>
        <x:v>1266</x:v>
      </x:c>
      <x:c r="P194" s="10" t="n">
        <x:f>'店长明细'!$D1583</x:f>
        <x:v>818</x:v>
      </x:c>
      <x:c r="Q194" s="10" t="n">
        <x:f>'店长明细'!$E1815</x:f>
        <x:v>47</x:v>
      </x:c>
      <x:c r="R194" s="10" t="n">
        <x:f>'店长明细'!$D1815</x:f>
        <x:v>37</x:v>
      </x:c>
      <x:c r="S194" s="10" t="n">
        <x:f>'店长明细'!$E2047</x:f>
        <x:v>22</x:v>
      </x:c>
      <x:c r="T194" s="10" t="n">
        <x:f>'店长明细'!$D2047</x:f>
        <x:v>16</x:v>
      </x:c>
      <x:c r="U194" s="10" t="n">
        <x:f>'店长明细'!$E2279</x:f>
        <x:v>27</x:v>
      </x:c>
      <x:c r="V194" s="10" t="n">
        <x:f>'店长明细'!$D2279</x:f>
        <x:v>17</x:v>
      </x:c>
      <x:c r="W194" s="11" t="n">
        <x:f>'店长明细'!$F191</x:f>
        <x:v>1360.58</x:v>
      </x:c>
      <x:c r="X194" s="11" t="n">
        <x:f>'店长明细'!$F423</x:f>
        <x:v>10340.17</x:v>
      </x:c>
      <x:c r="Y194" s="11" t="n">
        <x:f>'店长明细'!$F655</x:f>
        <x:v>8858.41</x:v>
      </x:c>
      <x:c r="Z194" s="11" t="n">
        <x:f>'店长明细'!$F887</x:f>
        <x:v>6711.05</x:v>
      </x:c>
      <x:c r="AA194" s="11" t="n">
        <x:f>'店长明细'!$F1119</x:f>
        <x:v>0</x:v>
      </x:c>
      <x:c r="AB194" s="11" t="n">
        <x:f>'店长明细'!$F1351</x:f>
        <x:v>4832.15</x:v>
      </x:c>
      <x:c r="AC194" s="11" t="n">
        <x:f>'店长明细'!$F1583</x:f>
        <x:v>11297.7</x:v>
      </x:c>
      <x:c r="AD194" s="11" t="n">
        <x:f>'店长明细'!$F1815</x:f>
        <x:v>1587.21</x:v>
      </x:c>
      <x:c r="AE194" s="11" t="n">
        <x:f>'店长明细'!$F2047</x:f>
        <x:v>818.05</x:v>
      </x:c>
      <x:c r="AF194" s="11" t="n">
        <x:f>'店长明细'!$F2279</x:f>
        <x:v>344.17</x:v>
      </x:c>
    </x:row>
    <x:row r="195">
      <x:c r="A195" t="str">
        <x:f>TEXT($B195,"mm-dd")</x:f>
        <x:v>07-10</x:v>
      </x:c>
      <x:c r="B195" s="9" t="n">
        <x:f>'店长明细'!$C192</x:f>
        <x:v>46213</x:v>
      </x:c>
      <x:c r="C195" s="10" t="n">
        <x:f>'店长明细'!$E192</x:f>
        <x:v>159</x:v>
      </x:c>
      <x:c r="D195" s="10" t="n">
        <x:f>'店长明细'!$D192</x:f>
        <x:v>85</x:v>
      </x:c>
      <x:c r="E195" s="10" t="n">
        <x:f>'店长明细'!$E424</x:f>
        <x:v>1514</x:v>
      </x:c>
      <x:c r="F195" s="10" t="n">
        <x:f>'店长明细'!$D424</x:f>
        <x:v>757</x:v>
      </x:c>
      <x:c r="G195" s="10" t="n">
        <x:f>'店长明细'!$E656</x:f>
        <x:v>1676</x:v>
      </x:c>
      <x:c r="H195" s="10" t="n">
        <x:f>'店长明细'!$D656</x:f>
        <x:v>725</x:v>
      </x:c>
      <x:c r="I195" s="10" t="n">
        <x:f>'店长明细'!$E888</x:f>
        <x:v>644</x:v>
      </x:c>
      <x:c r="J195" s="10" t="n">
        <x:f>'店长明细'!$D888</x:f>
        <x:v>327</x:v>
      </x:c>
      <x:c r="K195" s="10" t="n">
        <x:f>'店长明细'!$E1120</x:f>
        <x:v>3</x:v>
      </x:c>
      <x:c r="L195" s="10" t="n">
        <x:f>'店长明细'!$D1120</x:f>
        <x:v>2</x:v>
      </x:c>
      <x:c r="M195" s="10" t="n">
        <x:f>'店长明细'!$E1352</x:f>
        <x:v>522</x:v>
      </x:c>
      <x:c r="N195" s="10" t="n">
        <x:f>'店长明细'!$D1352</x:f>
        <x:v>327</x:v>
      </x:c>
      <x:c r="O195" s="10" t="n">
        <x:f>'店长明细'!$E1584</x:f>
        <x:v>780</x:v>
      </x:c>
      <x:c r="P195" s="10" t="n">
        <x:f>'店长明细'!$D1584</x:f>
        <x:v>509</x:v>
      </x:c>
      <x:c r="Q195" s="10" t="n">
        <x:f>'店长明细'!$E1816</x:f>
        <x:v>52</x:v>
      </x:c>
      <x:c r="R195" s="10" t="n">
        <x:f>'店长明细'!$D1816</x:f>
        <x:v>49</x:v>
      </x:c>
      <x:c r="S195" s="10" t="n">
        <x:f>'店长明细'!$E2048</x:f>
        <x:v>36</x:v>
      </x:c>
      <x:c r="T195" s="10" t="n">
        <x:f>'店长明细'!$D2048</x:f>
        <x:v>30</x:v>
      </x:c>
      <x:c r="U195" s="10" t="n">
        <x:f>'店长明细'!$E2280</x:f>
        <x:v>31</x:v>
      </x:c>
      <x:c r="V195" s="10" t="n">
        <x:f>'店长明细'!$D2280</x:f>
        <x:v>16</x:v>
      </x:c>
      <x:c r="W195" s="11" t="n">
        <x:f>'店长明细'!$F192</x:f>
        <x:v>1168.98</x:v>
      </x:c>
      <x:c r="X195" s="11" t="n">
        <x:f>'店长明细'!$F424</x:f>
        <x:v>10720.5</x:v>
      </x:c>
      <x:c r="Y195" s="11" t="n">
        <x:f>'店长明细'!$F656</x:f>
        <x:v>9344.45</x:v>
      </x:c>
      <x:c r="Z195" s="11" t="n">
        <x:f>'店长明细'!$F888</x:f>
        <x:v>6608.27</x:v>
      </x:c>
      <x:c r="AA195" s="11" t="n">
        <x:f>'店长明细'!$F1120</x:f>
        <x:v>28.76</x:v>
      </x:c>
      <x:c r="AB195" s="11" t="n">
        <x:f>'店长明细'!$F1352</x:f>
        <x:v>4819.34</x:v>
      </x:c>
      <x:c r="AC195" s="11" t="n">
        <x:f>'店长明细'!$F1584</x:f>
        <x:v>7284.94</x:v>
      </x:c>
      <x:c r="AD195" s="11" t="n">
        <x:f>'店长明细'!$F1816</x:f>
        <x:v>1716.26</x:v>
      </x:c>
      <x:c r="AE195" s="11" t="n">
        <x:f>'店长明细'!$F2048</x:f>
        <x:v>2283.44</x:v>
      </x:c>
      <x:c r="AF195" s="11" t="n">
        <x:f>'店长明细'!$F2280</x:f>
        <x:v>381.67</x:v>
      </x:c>
    </x:row>
    <x:row r="196">
      <x:c r="A196" t="str">
        <x:f>TEXT($B196,"mm-dd")</x:f>
        <x:v>07-11</x:v>
      </x:c>
      <x:c r="B196" s="9" t="n">
        <x:f>'店长明细'!$C193</x:f>
        <x:v>46214</x:v>
      </x:c>
      <x:c r="C196" s="10" t="n">
        <x:f>'店长明细'!$E193</x:f>
        <x:v>186</x:v>
      </x:c>
      <x:c r="D196" s="10" t="n">
        <x:f>'店长明细'!$D193</x:f>
        <x:v>93</x:v>
      </x:c>
      <x:c r="E196" s="10" t="n">
        <x:f>'店长明细'!$E425</x:f>
        <x:v>1258</x:v>
      </x:c>
      <x:c r="F196" s="10" t="n">
        <x:f>'店长明细'!$D425</x:f>
        <x:v>671</x:v>
      </x:c>
      <x:c r="G196" s="10" t="n">
        <x:f>'店长明细'!$E657</x:f>
        <x:v>1616</x:v>
      </x:c>
      <x:c r="H196" s="10" t="n">
        <x:f>'店长明细'!$D657</x:f>
        <x:v>696</x:v>
      </x:c>
      <x:c r="I196" s="10" t="n">
        <x:f>'店长明细'!$E889</x:f>
        <x:v>754</x:v>
      </x:c>
      <x:c r="J196" s="10" t="n">
        <x:f>'店长明细'!$D889</x:f>
        <x:v>409</x:v>
      </x:c>
      <x:c r="K196" s="10" t="n">
        <x:f>'店长明细'!$E1121</x:f>
        <x:v>6</x:v>
      </x:c>
      <x:c r="L196" s="10" t="n">
        <x:f>'店长明细'!$D1121</x:f>
        <x:v>4</x:v>
      </x:c>
      <x:c r="M196" s="10" t="n">
        <x:f>'店长明细'!$E1353</x:f>
        <x:v>511</x:v>
      </x:c>
      <x:c r="N196" s="10" t="n">
        <x:f>'店长明细'!$D1353</x:f>
        <x:v>304</x:v>
      </x:c>
      <x:c r="O196" s="10" t="n">
        <x:f>'店长明细'!$E1585</x:f>
        <x:v>886</x:v>
      </x:c>
      <x:c r="P196" s="10" t="n">
        <x:f>'店长明细'!$D1585</x:f>
        <x:v>566</x:v>
      </x:c>
      <x:c r="Q196" s="10" t="n">
        <x:f>'店长明细'!$E1817</x:f>
        <x:v>26</x:v>
      </x:c>
      <x:c r="R196" s="10" t="n">
        <x:f>'店长明细'!$D1817</x:f>
        <x:v>22</x:v>
      </x:c>
      <x:c r="S196" s="10" t="n">
        <x:f>'店长明细'!$E2049</x:f>
        <x:v>20</x:v>
      </x:c>
      <x:c r="T196" s="10" t="n">
        <x:f>'店长明细'!$D2049</x:f>
        <x:v>16</x:v>
      </x:c>
      <x:c r="U196" s="10" t="n">
        <x:f>'店长明细'!$E2281</x:f>
        <x:v>29</x:v>
      </x:c>
      <x:c r="V196" s="10" t="n">
        <x:f>'店长明细'!$D2281</x:f>
        <x:v>18</x:v>
      </x:c>
      <x:c r="W196" s="11" t="n">
        <x:f>'店长明细'!$F193</x:f>
        <x:v>1299.28</x:v>
      </x:c>
      <x:c r="X196" s="11" t="n">
        <x:f>'店长明细'!$F425</x:f>
        <x:v>9359.85</x:v>
      </x:c>
      <x:c r="Y196" s="11" t="n">
        <x:f>'店长明细'!$F657</x:f>
        <x:v>9266.27</x:v>
      </x:c>
      <x:c r="Z196" s="11" t="n">
        <x:f>'店长明细'!$F889</x:f>
        <x:v>7467.47</x:v>
      </x:c>
      <x:c r="AA196" s="11" t="n">
        <x:f>'店长明细'!$F1121</x:f>
        <x:v>41.8</x:v>
      </x:c>
      <x:c r="AB196" s="11" t="n">
        <x:f>'店长明细'!$F1353</x:f>
        <x:v>4842.66</x:v>
      </x:c>
      <x:c r="AC196" s="11" t="n">
        <x:f>'店长明细'!$F1585</x:f>
        <x:v>8280.54</x:v>
      </x:c>
      <x:c r="AD196" s="11" t="n">
        <x:f>'店长明细'!$F1817</x:f>
        <x:v>995.96</x:v>
      </x:c>
      <x:c r="AE196" s="11" t="n">
        <x:f>'店长明细'!$F2049</x:f>
        <x:v>1056.48</x:v>
      </x:c>
      <x:c r="AF196" s="11" t="n">
        <x:f>'店长明细'!$F2281</x:f>
        <x:v>345.38</x:v>
      </x:c>
    </x:row>
    <x:row r="197">
      <x:c r="A197" t="str">
        <x:f>TEXT($B197,"mm-dd")</x:f>
        <x:v>07-12</x:v>
      </x:c>
      <x:c r="B197" s="9" t="n">
        <x:f>'店长明细'!$C194</x:f>
        <x:v>46215</x:v>
      </x:c>
      <x:c r="C197" s="10" t="n">
        <x:f>'店长明细'!$E194</x:f>
        <x:v>174</x:v>
      </x:c>
      <x:c r="D197" s="10" t="n">
        <x:f>'店长明细'!$D194</x:f>
        <x:v>95</x:v>
      </x:c>
      <x:c r="E197" s="10" t="n">
        <x:f>'店长明细'!$E426</x:f>
        <x:v>987</x:v>
      </x:c>
      <x:c r="F197" s="10" t="n">
        <x:f>'店长明细'!$D426</x:f>
        <x:v>507</x:v>
      </x:c>
      <x:c r="G197" s="10" t="n">
        <x:f>'店长明细'!$E658</x:f>
        <x:v>1561</x:v>
      </x:c>
      <x:c r="H197" s="10" t="n">
        <x:f>'店长明细'!$D658</x:f>
        <x:v>657</x:v>
      </x:c>
      <x:c r="I197" s="10" t="n">
        <x:f>'店长明细'!$E890</x:f>
        <x:v>695</x:v>
      </x:c>
      <x:c r="J197" s="10" t="n">
        <x:f>'店长明细'!$D890</x:f>
        <x:v>361</x:v>
      </x:c>
      <x:c r="K197" s="10" t="n">
        <x:f>'店长明细'!$E1122</x:f>
        <x:v>2</x:v>
      </x:c>
      <x:c r="L197" s="10" t="n">
        <x:f>'店长明细'!$D1122</x:f>
        <x:v>2</x:v>
      </x:c>
      <x:c r="M197" s="10" t="n">
        <x:f>'店长明细'!$E1354</x:f>
        <x:v>419</x:v>
      </x:c>
      <x:c r="N197" s="10" t="n">
        <x:f>'店长明细'!$D1354</x:f>
        <x:v>278</x:v>
      </x:c>
      <x:c r="O197" s="10" t="n">
        <x:f>'店长明细'!$E1586</x:f>
        <x:v>863</x:v>
      </x:c>
      <x:c r="P197" s="10" t="n">
        <x:f>'店长明细'!$D1586</x:f>
        <x:v>568</x:v>
      </x:c>
      <x:c r="Q197" s="10" t="n">
        <x:f>'店长明细'!$E1818</x:f>
        <x:v>21</x:v>
      </x:c>
      <x:c r="R197" s="10" t="n">
        <x:f>'店长明细'!$D1818</x:f>
        <x:v>19</x:v>
      </x:c>
      <x:c r="S197" s="10" t="n">
        <x:f>'店长明细'!$E2050</x:f>
        <x:v>13</x:v>
      </x:c>
      <x:c r="T197" s="10" t="n">
        <x:f>'店长明细'!$D2050</x:f>
        <x:v>10</x:v>
      </x:c>
      <x:c r="U197" s="10" t="n">
        <x:f>'店长明细'!$E2282</x:f>
        <x:v>24</x:v>
      </x:c>
      <x:c r="V197" s="10" t="n">
        <x:f>'店长明细'!$D2282</x:f>
        <x:v>14</x:v>
      </x:c>
      <x:c r="W197" s="11" t="n">
        <x:f>'店长明细'!$F194</x:f>
        <x:v>1181.73</x:v>
      </x:c>
      <x:c r="X197" s="11" t="n">
        <x:f>'店长明细'!$F426</x:f>
        <x:v>7141.39</x:v>
      </x:c>
      <x:c r="Y197" s="11" t="n">
        <x:f>'店长明细'!$F658</x:f>
        <x:v>8812.59</x:v>
      </x:c>
      <x:c r="Z197" s="11" t="n">
        <x:f>'店长明细'!$F890</x:f>
        <x:v>6206.21</x:v>
      </x:c>
      <x:c r="AA197" s="11" t="n">
        <x:f>'店长明细'!$F1122</x:f>
        <x:v>52.72</x:v>
      </x:c>
      <x:c r="AB197" s="11" t="n">
        <x:f>'店长明细'!$F1354</x:f>
        <x:v>4016.83</x:v>
      </x:c>
      <x:c r="AC197" s="11" t="n">
        <x:f>'店长明细'!$F1586</x:f>
        <x:v>7961.95</x:v>
      </x:c>
      <x:c r="AD197" s="11" t="n">
        <x:f>'店长明细'!$F1818</x:f>
        <x:v>850.89</x:v>
      </x:c>
      <x:c r="AE197" s="11" t="n">
        <x:f>'店长明细'!$F2050</x:f>
        <x:v>574.33</x:v>
      </x:c>
      <x:c r="AF197" s="11" t="n">
        <x:f>'店长明细'!$F2282</x:f>
        <x:v>352.69</x:v>
      </x:c>
    </x:row>
    <x:row r="198">
      <x:c r="A198" t="str">
        <x:f>TEXT($B198,"mm-dd")</x:f>
        <x:v>07-13</x:v>
      </x:c>
      <x:c r="B198" s="9" t="n">
        <x:f>'店长明细'!$C195</x:f>
        <x:v>46216</x:v>
      </x:c>
      <x:c r="C198" s="10" t="n">
        <x:f>'店长明细'!$E195</x:f>
        <x:v>144</x:v>
      </x:c>
      <x:c r="D198" s="10" t="n">
        <x:f>'店长明细'!$D195</x:f>
        <x:v>76</x:v>
      </x:c>
      <x:c r="E198" s="10" t="n">
        <x:f>'店长明细'!$E427</x:f>
        <x:v>1159</x:v>
      </x:c>
      <x:c r="F198" s="10" t="n">
        <x:f>'店长明细'!$D427</x:f>
        <x:v>616</x:v>
      </x:c>
      <x:c r="G198" s="10" t="n">
        <x:f>'店长明细'!$E659</x:f>
        <x:v>1633</x:v>
      </x:c>
      <x:c r="H198" s="10" t="n">
        <x:f>'店长明细'!$D659</x:f>
        <x:v>684</x:v>
      </x:c>
      <x:c r="I198" s="10" t="n">
        <x:f>'店长明细'!$E891</x:f>
        <x:v>794</x:v>
      </x:c>
      <x:c r="J198" s="10" t="n">
        <x:f>'店长明细'!$D891</x:f>
        <x:v>387</x:v>
      </x:c>
      <x:c r="K198" s="10" t="n">
        <x:f>'店长明细'!$E1123</x:f>
        <x:v>13</x:v>
      </x:c>
      <x:c r="L198" s="10" t="n">
        <x:f>'店长明细'!$D1123</x:f>
        <x:v>6</x:v>
      </x:c>
      <x:c r="M198" s="10" t="n">
        <x:f>'店长明细'!$E1355</x:f>
        <x:v>579</x:v>
      </x:c>
      <x:c r="N198" s="10" t="n">
        <x:f>'店长明细'!$D1355</x:f>
        <x:v>351</x:v>
      </x:c>
      <x:c r="O198" s="10" t="n">
        <x:f>'店长明细'!$E1587</x:f>
        <x:v>879</x:v>
      </x:c>
      <x:c r="P198" s="10" t="n">
        <x:f>'店长明细'!$D1587</x:f>
        <x:v>582</x:v>
      </x:c>
      <x:c r="Q198" s="10" t="n">
        <x:f>'店长明细'!$E1819</x:f>
        <x:v>39</x:v>
      </x:c>
      <x:c r="R198" s="10" t="n">
        <x:f>'店长明细'!$D1819</x:f>
        <x:v>34</x:v>
      </x:c>
      <x:c r="S198" s="10" t="n">
        <x:f>'店长明细'!$E2051</x:f>
        <x:v>12</x:v>
      </x:c>
      <x:c r="T198" s="10" t="n">
        <x:f>'店长明细'!$D2051</x:f>
        <x:v>10</x:v>
      </x:c>
      <x:c r="U198" s="10" t="n">
        <x:f>'店长明细'!$E2283</x:f>
        <x:v>16</x:v>
      </x:c>
      <x:c r="V198" s="10" t="n">
        <x:f>'店长明细'!$D2283</x:f>
        <x:v>8</x:v>
      </x:c>
      <x:c r="W198" s="11" t="n">
        <x:f>'店长明细'!$F195</x:f>
        <x:v>975.43</x:v>
      </x:c>
      <x:c r="X198" s="11" t="n">
        <x:f>'店长明细'!$F427</x:f>
        <x:v>8833.76</x:v>
      </x:c>
      <x:c r="Y198" s="11" t="n">
        <x:f>'店长明细'!$F659</x:f>
        <x:v>8866.67</x:v>
      </x:c>
      <x:c r="Z198" s="11" t="n">
        <x:f>'店长明细'!$F891</x:f>
        <x:v>6547.55</x:v>
      </x:c>
      <x:c r="AA198" s="11" t="n">
        <x:f>'店长明细'!$F1123</x:f>
        <x:v>74.06</x:v>
      </x:c>
      <x:c r="AB198" s="11" t="n">
        <x:f>'店长明细'!$F1355</x:f>
        <x:v>5461.94</x:v>
      </x:c>
      <x:c r="AC198" s="11" t="n">
        <x:f>'店长明细'!$F1587</x:f>
        <x:v>8719.82</x:v>
      </x:c>
      <x:c r="AD198" s="11" t="n">
        <x:f>'店长明细'!$F1819</x:f>
        <x:v>1373.87</x:v>
      </x:c>
      <x:c r="AE198" s="11" t="n">
        <x:f>'店长明细'!$F2051</x:f>
        <x:v>641.86</x:v>
      </x:c>
      <x:c r="AF198" s="11" t="n">
        <x:f>'店长明细'!$F2283</x:f>
        <x:v>239.06</x:v>
      </x:c>
    </x:row>
    <x:row r="199">
      <x:c r="A199" t="str">
        <x:f>TEXT($B199,"mm-dd")</x:f>
        <x:v>07-14</x:v>
      </x:c>
      <x:c r="B199" s="9" t="n">
        <x:f>'店长明细'!$C196</x:f>
        <x:v>46217</x:v>
      </x:c>
      <x:c r="C199" s="10" t="n">
        <x:f>'店长明细'!$E196</x:f>
        <x:v>155</x:v>
      </x:c>
      <x:c r="D199" s="10" t="n">
        <x:f>'店长明细'!$D196</x:f>
        <x:v>77</x:v>
      </x:c>
      <x:c r="E199" s="10" t="n">
        <x:f>'店长明细'!$E428</x:f>
        <x:v>885</x:v>
      </x:c>
      <x:c r="F199" s="10" t="n">
        <x:f>'店长明细'!$D428</x:f>
        <x:v>503</x:v>
      </x:c>
      <x:c r="G199" s="10" t="n">
        <x:f>'店长明细'!$E660</x:f>
        <x:v>1541</x:v>
      </x:c>
      <x:c r="H199" s="10" t="n">
        <x:f>'店长明细'!$D660</x:f>
        <x:v>650</x:v>
      </x:c>
      <x:c r="I199" s="10" t="n">
        <x:f>'店长明细'!$E892</x:f>
        <x:v>854</x:v>
      </x:c>
      <x:c r="J199" s="10" t="n">
        <x:f>'店长明细'!$D892</x:f>
        <x:v>403</x:v>
      </x:c>
      <x:c r="K199" s="10" t="n">
        <x:f>'店长明细'!$E1124</x:f>
        <x:v>3</x:v>
      </x:c>
      <x:c r="L199" s="10" t="n">
        <x:f>'店长明细'!$D1124</x:f>
        <x:v>2</x:v>
      </x:c>
      <x:c r="M199" s="10" t="n">
        <x:f>'店长明细'!$E1356</x:f>
        <x:v>526</x:v>
      </x:c>
      <x:c r="N199" s="10" t="n">
        <x:f>'店长明细'!$D1356</x:f>
        <x:v>304</x:v>
      </x:c>
      <x:c r="O199" s="10" t="n">
        <x:f>'店长明细'!$E1588</x:f>
        <x:v>765</x:v>
      </x:c>
      <x:c r="P199" s="10" t="n">
        <x:f>'店长明细'!$D1588</x:f>
        <x:v>523</x:v>
      </x:c>
      <x:c r="Q199" s="10" t="n">
        <x:f>'店长明细'!$E1820</x:f>
        <x:v>46</x:v>
      </x:c>
      <x:c r="R199" s="10" t="n">
        <x:f>'店长明细'!$D1820</x:f>
        <x:v>39</x:v>
      </x:c>
      <x:c r="S199" s="10" t="n">
        <x:f>'店长明细'!$E2052</x:f>
        <x:v>23</x:v>
      </x:c>
      <x:c r="T199" s="10" t="n">
        <x:f>'店长明细'!$D2052</x:f>
        <x:v>20</x:v>
      </x:c>
      <x:c r="U199" s="10" t="n">
        <x:f>'店长明细'!$E2284</x:f>
        <x:v>28</x:v>
      </x:c>
      <x:c r="V199" s="10" t="n">
        <x:f>'店长明细'!$D2284</x:f>
        <x:v>18</x:v>
      </x:c>
      <x:c r="W199" s="11" t="n">
        <x:f>'店长明细'!$F196</x:f>
        <x:v>996.04</x:v>
      </x:c>
      <x:c r="X199" s="11" t="n">
        <x:f>'店长明细'!$F428</x:f>
        <x:v>6847.4</x:v>
      </x:c>
      <x:c r="Y199" s="11" t="n">
        <x:f>'店长明细'!$F660</x:f>
        <x:v>8947.36</x:v>
      </x:c>
      <x:c r="Z199" s="11" t="n">
        <x:f>'店长明细'!$F892</x:f>
        <x:v>7690.01</x:v>
      </x:c>
      <x:c r="AA199" s="11" t="n">
        <x:f>'店长明细'!$F1124</x:f>
        <x:v>20.46</x:v>
      </x:c>
      <x:c r="AB199" s="11" t="n">
        <x:f>'店长明细'!$F1356</x:f>
        <x:v>4572.59</x:v>
      </x:c>
      <x:c r="AC199" s="11" t="n">
        <x:f>'店长明细'!$F1588</x:f>
        <x:v>7146.24</x:v>
      </x:c>
      <x:c r="AD199" s="11" t="n">
        <x:f>'店长明细'!$F1820</x:f>
        <x:v>1939.02</x:v>
      </x:c>
      <x:c r="AE199" s="11" t="n">
        <x:f>'店长明细'!$F2052</x:f>
        <x:v>986.66</x:v>
      </x:c>
      <x:c r="AF199" s="11" t="n">
        <x:f>'店长明细'!$F2284</x:f>
        <x:v>374.95</x:v>
      </x:c>
    </x:row>
    <x:row r="200">
      <x:c r="A200" t="str">
        <x:f>TEXT($B200,"mm-dd")</x:f>
        <x:v>07-15</x:v>
      </x:c>
      <x:c r="B200" s="9" t="n">
        <x:f>'店长明细'!$C197</x:f>
        <x:v>46218</x:v>
      </x:c>
      <x:c r="C200" s="10" t="n">
        <x:f>'店长明细'!$E197</x:f>
        <x:v>158</x:v>
      </x:c>
      <x:c r="D200" s="10" t="n">
        <x:f>'店长明细'!$D197</x:f>
        <x:v>84</x:v>
      </x:c>
      <x:c r="E200" s="10" t="n">
        <x:f>'店长明细'!$E429</x:f>
        <x:v>1086</x:v>
      </x:c>
      <x:c r="F200" s="10" t="n">
        <x:f>'店长明细'!$D429</x:f>
        <x:v>583</x:v>
      </x:c>
      <x:c r="G200" s="10" t="n">
        <x:f>'店长明细'!$E661</x:f>
        <x:v>1533</x:v>
      </x:c>
      <x:c r="H200" s="10" t="n">
        <x:f>'店长明细'!$D661</x:f>
        <x:v>645</x:v>
      </x:c>
      <x:c r="I200" s="10" t="n">
        <x:f>'店长明细'!$E893</x:f>
        <x:v>888</x:v>
      </x:c>
      <x:c r="J200" s="10" t="n">
        <x:f>'店长明细'!$D893</x:f>
        <x:v>416</x:v>
      </x:c>
      <x:c r="K200" s="10" t="n">
        <x:f>'店长明细'!$E1125</x:f>
        <x:v>1</x:v>
      </x:c>
      <x:c r="L200" s="10" t="n">
        <x:f>'店长明细'!$D1125</x:f>
        <x:v>1</x:v>
      </x:c>
      <x:c r="M200" s="10" t="n">
        <x:f>'店长明细'!$E1357</x:f>
        <x:v>531</x:v>
      </x:c>
      <x:c r="N200" s="10" t="n">
        <x:f>'店长明细'!$D1357</x:f>
        <x:v>315</x:v>
      </x:c>
      <x:c r="O200" s="10" t="n">
        <x:f>'店长明细'!$E1589</x:f>
        <x:v>865</x:v>
      </x:c>
      <x:c r="P200" s="10" t="n">
        <x:f>'店长明细'!$D1589</x:f>
        <x:v>594</x:v>
      </x:c>
      <x:c r="Q200" s="10" t="n">
        <x:f>'店长明细'!$E1821</x:f>
        <x:v>46</x:v>
      </x:c>
      <x:c r="R200" s="10" t="n">
        <x:f>'店长明细'!$D1821</x:f>
        <x:v>38</x:v>
      </x:c>
      <x:c r="S200" s="10" t="n">
        <x:f>'店长明细'!$E2053</x:f>
        <x:v>28</x:v>
      </x:c>
      <x:c r="T200" s="10" t="n">
        <x:f>'店长明细'!$D2053</x:f>
        <x:v>19</x:v>
      </x:c>
      <x:c r="U200" s="10" t="n">
        <x:f>'店长明细'!$E2285</x:f>
        <x:v>33</x:v>
      </x:c>
      <x:c r="V200" s="10" t="n">
        <x:f>'店长明细'!$D2285</x:f>
        <x:v>18</x:v>
      </x:c>
      <x:c r="W200" s="11" t="n">
        <x:f>'店长明细'!$F197</x:f>
        <x:v>1116.45</x:v>
      </x:c>
      <x:c r="X200" s="11" t="n">
        <x:f>'店长明细'!$F429</x:f>
        <x:v>8209.2</x:v>
      </x:c>
      <x:c r="Y200" s="11" t="n">
        <x:f>'店长明细'!$F661</x:f>
        <x:v>8424.27</x:v>
      </x:c>
      <x:c r="Z200" s="11" t="n">
        <x:f>'店长明细'!$F893</x:f>
        <x:v>7112.65</x:v>
      </x:c>
      <x:c r="AA200" s="11" t="n">
        <x:f>'店长明细'!$F1125</x:f>
        <x:v>9.7</x:v>
      </x:c>
      <x:c r="AB200" s="11" t="n">
        <x:f>'店长明细'!$F1357</x:f>
        <x:v>4684.19</x:v>
      </x:c>
      <x:c r="AC200" s="11" t="n">
        <x:f>'店长明细'!$F1589</x:f>
        <x:v>9298.05</x:v>
      </x:c>
      <x:c r="AD200" s="11" t="n">
        <x:f>'店长明细'!$F1821</x:f>
        <x:v>1628.48</x:v>
      </x:c>
      <x:c r="AE200" s="11" t="n">
        <x:f>'店长明细'!$F2053</x:f>
        <x:v>1112.68</x:v>
      </x:c>
      <x:c r="AF200" s="11" t="n">
        <x:f>'店长明细'!$F2285</x:f>
        <x:v>370.29</x:v>
      </x:c>
    </x:row>
    <x:row r="201">
      <x:c r="A201" t="str">
        <x:f>TEXT($B201,"mm-dd")</x:f>
        <x:v>07-16</x:v>
      </x:c>
      <x:c r="B201" s="9" t="n">
        <x:f>'店长明细'!$C198</x:f>
        <x:v>46219</x:v>
      </x:c>
      <x:c r="C201" s="10" t="n">
        <x:f>'店长明细'!$E198</x:f>
        <x:v>134</x:v>
      </x:c>
      <x:c r="D201" s="10" t="n">
        <x:f>'店长明细'!$D198</x:f>
        <x:v>73</x:v>
      </x:c>
      <x:c r="E201" s="10" t="n">
        <x:f>'店长明细'!$E430</x:f>
        <x:v>1164</x:v>
      </x:c>
      <x:c r="F201" s="10" t="n">
        <x:f>'店长明细'!$D430</x:f>
        <x:v>619</x:v>
      </x:c>
      <x:c r="G201" s="10" t="n">
        <x:f>'店长明细'!$E662</x:f>
        <x:v>1663</x:v>
      </x:c>
      <x:c r="H201" s="10" t="n">
        <x:f>'店长明细'!$D662</x:f>
        <x:v>708</x:v>
      </x:c>
      <x:c r="I201" s="10" t="n">
        <x:f>'店长明细'!$E894</x:f>
        <x:v>854</x:v>
      </x:c>
      <x:c r="J201" s="10" t="n">
        <x:f>'店长明细'!$D894</x:f>
        <x:v>431</x:v>
      </x:c>
      <x:c r="K201" s="10" t="n">
        <x:f>'店长明细'!$E1126</x:f>
        <x:v>0</x:v>
      </x:c>
      <x:c r="L201" s="10" t="n">
        <x:f>'店长明细'!$D1126</x:f>
        <x:v>0</x:v>
      </x:c>
      <x:c r="M201" s="10" t="n">
        <x:f>'店长明细'!$E1358</x:f>
        <x:v>530</x:v>
      </x:c>
      <x:c r="N201" s="10" t="n">
        <x:f>'店长明细'!$D1358</x:f>
        <x:v>326</x:v>
      </x:c>
      <x:c r="O201" s="10" t="n">
        <x:f>'店长明细'!$E1590</x:f>
        <x:v>665</x:v>
      </x:c>
      <x:c r="P201" s="10" t="n">
        <x:f>'店长明细'!$D1590</x:f>
        <x:v>465</x:v>
      </x:c>
      <x:c r="Q201" s="10" t="n">
        <x:f>'店长明细'!$E1822</x:f>
        <x:v>52</x:v>
      </x:c>
      <x:c r="R201" s="10" t="n">
        <x:f>'店长明细'!$D1822</x:f>
        <x:v>38</x:v>
      </x:c>
      <x:c r="S201" s="10" t="n">
        <x:f>'店长明细'!$E2054</x:f>
        <x:v>14</x:v>
      </x:c>
      <x:c r="T201" s="10" t="n">
        <x:f>'店长明细'!$D2054</x:f>
        <x:v>13</x:v>
      </x:c>
      <x:c r="U201" s="10" t="n">
        <x:f>'店长明细'!$E2286</x:f>
        <x:v>26</x:v>
      </x:c>
      <x:c r="V201" s="10" t="n">
        <x:f>'店长明细'!$D2286</x:f>
        <x:v>16</x:v>
      </x:c>
      <x:c r="W201" s="11" t="n">
        <x:f>'店长明细'!$F198</x:f>
        <x:v>1045.22</x:v>
      </x:c>
      <x:c r="X201" s="11" t="n">
        <x:f>'店长明细'!$F430</x:f>
        <x:v>8033.28</x:v>
      </x:c>
      <x:c r="Y201" s="11" t="n">
        <x:f>'店长明细'!$F662</x:f>
        <x:v>9043.84</x:v>
      </x:c>
      <x:c r="Z201" s="11" t="n">
        <x:f>'店长明细'!$F894</x:f>
        <x:v>7319.04</x:v>
      </x:c>
      <x:c r="AA201" s="11" t="n">
        <x:f>'店长明细'!$F1126</x:f>
        <x:v>0</x:v>
      </x:c>
      <x:c r="AB201" s="11" t="n">
        <x:f>'店长明细'!$F1358</x:f>
        <x:v>4862.4</x:v>
      </x:c>
      <x:c r="AC201" s="11" t="n">
        <x:f>'店长明细'!$F1590</x:f>
        <x:v>6317.97</x:v>
      </x:c>
      <x:c r="AD201" s="11" t="n">
        <x:f>'店长明细'!$F1822</x:f>
        <x:v>1787.11</x:v>
      </x:c>
      <x:c r="AE201" s="11" t="n">
        <x:f>'店长明细'!$F2054</x:f>
        <x:v>922.61</x:v>
      </x:c>
      <x:c r="AF201" s="11" t="n">
        <x:f>'店长明细'!$F2286</x:f>
        <x:v>353.17</x:v>
      </x:c>
    </x:row>
    <x:row r="202">
      <x:c r="A202" t="str">
        <x:f>TEXT($B202,"mm-dd")</x:f>
        <x:v>07-17</x:v>
      </x:c>
      <x:c r="B202" s="9" t="n">
        <x:f>'店长明细'!$C199</x:f>
        <x:v>46220</x:v>
      </x:c>
      <x:c r="C202" s="10" t="n">
        <x:f>'店长明细'!$E199</x:f>
        <x:v>149</x:v>
      </x:c>
      <x:c r="D202" s="10" t="n">
        <x:f>'店长明细'!$D199</x:f>
        <x:v>81</x:v>
      </x:c>
      <x:c r="E202" s="10" t="n">
        <x:f>'店长明细'!$E431</x:f>
        <x:v>1242</x:v>
      </x:c>
      <x:c r="F202" s="10" t="n">
        <x:f>'店长明细'!$D431</x:f>
        <x:v>659</x:v>
      </x:c>
      <x:c r="G202" s="10" t="n">
        <x:f>'店长明细'!$E663</x:f>
        <x:v>1885</x:v>
      </x:c>
      <x:c r="H202" s="10" t="n">
        <x:f>'店长明细'!$D663</x:f>
        <x:v>816</x:v>
      </x:c>
      <x:c r="I202" s="10" t="n">
        <x:f>'店长明细'!$E895</x:f>
        <x:v>814</x:v>
      </x:c>
      <x:c r="J202" s="10" t="n">
        <x:f>'店长明细'!$D895</x:f>
        <x:v>396</x:v>
      </x:c>
      <x:c r="K202" s="10" t="n">
        <x:f>'店长明细'!$E1127</x:f>
        <x:v>7</x:v>
      </x:c>
      <x:c r="L202" s="10" t="n">
        <x:f>'店长明细'!$D1127</x:f>
        <x:v>4</x:v>
      </x:c>
      <x:c r="M202" s="10" t="n">
        <x:f>'店长明细'!$E1359</x:f>
        <x:v>541</x:v>
      </x:c>
      <x:c r="N202" s="10" t="n">
        <x:f>'店长明细'!$D1359</x:f>
        <x:v>343</x:v>
      </x:c>
      <x:c r="O202" s="10" t="n">
        <x:f>'店长明细'!$E1591</x:f>
        <x:v>776</x:v>
      </x:c>
      <x:c r="P202" s="10" t="n">
        <x:f>'店长明细'!$D1591</x:f>
        <x:v>480</x:v>
      </x:c>
      <x:c r="Q202" s="10" t="n">
        <x:f>'店长明细'!$E1823</x:f>
        <x:v>48</x:v>
      </x:c>
      <x:c r="R202" s="10" t="n">
        <x:f>'店长明细'!$D1823</x:f>
        <x:v>37</x:v>
      </x:c>
      <x:c r="S202" s="10" t="n">
        <x:f>'店长明细'!$E2055</x:f>
        <x:v>13</x:v>
      </x:c>
      <x:c r="T202" s="10" t="n">
        <x:f>'店长明细'!$D2055</x:f>
        <x:v>11</x:v>
      </x:c>
      <x:c r="U202" s="10" t="n">
        <x:f>'店长明细'!$E2287</x:f>
        <x:v>38</x:v>
      </x:c>
      <x:c r="V202" s="10" t="n">
        <x:f>'店长明细'!$D2287</x:f>
        <x:v>21</x:v>
      </x:c>
      <x:c r="W202" s="11" t="n">
        <x:f>'店长明细'!$F199</x:f>
        <x:v>1052.97</x:v>
      </x:c>
      <x:c r="X202" s="11" t="n">
        <x:f>'店长明细'!$F431</x:f>
        <x:v>9091.65</x:v>
      </x:c>
      <x:c r="Y202" s="11" t="n">
        <x:f>'店长明细'!$F663</x:f>
        <x:v>9933.92</x:v>
      </x:c>
      <x:c r="Z202" s="11" t="n">
        <x:f>'店长明细'!$F895</x:f>
        <x:v>6847.57</x:v>
      </x:c>
      <x:c r="AA202" s="11" t="n">
        <x:f>'店长明细'!$F1127</x:f>
        <x:v>54.68</x:v>
      </x:c>
      <x:c r="AB202" s="11" t="n">
        <x:f>'店长明细'!$F1359</x:f>
        <x:v>5010.21</x:v>
      </x:c>
      <x:c r="AC202" s="11" t="n">
        <x:f>'店长明细'!$F1591</x:f>
        <x:v>7094.91</x:v>
      </x:c>
      <x:c r="AD202" s="11" t="n">
        <x:f>'店长明细'!$F1823</x:f>
        <x:v>1787.14</x:v>
      </x:c>
      <x:c r="AE202" s="11" t="n">
        <x:f>'店长明细'!$F2055</x:f>
        <x:v>753.64</x:v>
      </x:c>
      <x:c r="AF202" s="11" t="n">
        <x:f>'店长明细'!$F2287</x:f>
        <x:v>558.37</x:v>
      </x:c>
    </x:row>
    <x:row r="203">
      <x:c r="A203" t="str">
        <x:f>TEXT($B203,"mm-dd")</x:f>
        <x:v>07-18</x:v>
      </x:c>
      <x:c r="B203" s="9" t="n">
        <x:f>'店长明细'!$C200</x:f>
        <x:v>46221</x:v>
      </x:c>
      <x:c r="C203" s="10" t="n">
        <x:f>'店长明细'!$E200</x:f>
        <x:v>163</x:v>
      </x:c>
      <x:c r="D203" s="10" t="n">
        <x:f>'店长明细'!$D200</x:f>
        <x:v>92</x:v>
      </x:c>
      <x:c r="E203" s="10" t="n">
        <x:f>'店长明细'!$E432</x:f>
        <x:v>998</x:v>
      </x:c>
      <x:c r="F203" s="10" t="n">
        <x:f>'店长明细'!$D432</x:f>
        <x:v>521</x:v>
      </x:c>
      <x:c r="G203" s="10" t="n">
        <x:f>'店长明细'!$E664</x:f>
        <x:v>1580</x:v>
      </x:c>
      <x:c r="H203" s="10" t="n">
        <x:f>'店长明细'!$D664</x:f>
        <x:v>662</x:v>
      </x:c>
      <x:c r="I203" s="10" t="n">
        <x:f>'店长明细'!$E896</x:f>
        <x:v>765</x:v>
      </x:c>
      <x:c r="J203" s="10" t="n">
        <x:f>'店长明细'!$D896</x:f>
        <x:v>375</x:v>
      </x:c>
      <x:c r="K203" s="10" t="n">
        <x:f>'店长明细'!$E1128</x:f>
        <x:v>5</x:v>
      </x:c>
      <x:c r="L203" s="10" t="n">
        <x:f>'店长明细'!$D1128</x:f>
        <x:v>2</x:v>
      </x:c>
      <x:c r="M203" s="10" t="n">
        <x:f>'店长明细'!$E1360</x:f>
        <x:v>302</x:v>
      </x:c>
      <x:c r="N203" s="10" t="n">
        <x:f>'店长明细'!$D1360</x:f>
        <x:v>210</x:v>
      </x:c>
      <x:c r="O203" s="10" t="n">
        <x:f>'店长明细'!$E1592</x:f>
        <x:v>619</x:v>
      </x:c>
      <x:c r="P203" s="10" t="n">
        <x:f>'店长明细'!$D1592</x:f>
        <x:v>439</x:v>
      </x:c>
      <x:c r="Q203" s="10" t="n">
        <x:f>'店长明细'!$E1824</x:f>
        <x:v>29</x:v>
      </x:c>
      <x:c r="R203" s="10" t="n">
        <x:f>'店长明细'!$D1824</x:f>
        <x:v>23</x:v>
      </x:c>
      <x:c r="S203" s="10" t="n">
        <x:f>'店长明细'!$E2056</x:f>
        <x:v>12</x:v>
      </x:c>
      <x:c r="T203" s="10" t="n">
        <x:f>'店长明细'!$D2056</x:f>
        <x:v>12</x:v>
      </x:c>
      <x:c r="U203" s="10" t="n">
        <x:f>'店长明细'!$E2288</x:f>
        <x:v>17</x:v>
      </x:c>
      <x:c r="V203" s="10" t="n">
        <x:f>'店长明细'!$D2288</x:f>
        <x:v>14</x:v>
      </x:c>
      <x:c r="W203" s="11" t="n">
        <x:f>'店长明细'!$F200</x:f>
        <x:v>1190.03</x:v>
      </x:c>
      <x:c r="X203" s="11" t="n">
        <x:f>'店长明细'!$F432</x:f>
        <x:v>7278.82</x:v>
      </x:c>
      <x:c r="Y203" s="11" t="n">
        <x:f>'店长明细'!$F664</x:f>
        <x:v>8305.62</x:v>
      </x:c>
      <x:c r="Z203" s="11" t="n">
        <x:f>'店长明细'!$F896</x:f>
        <x:v>6434.9</x:v>
      </x:c>
      <x:c r="AA203" s="11" t="n">
        <x:f>'店长明细'!$F1128</x:f>
        <x:v>25.96</x:v>
      </x:c>
      <x:c r="AB203" s="11" t="n">
        <x:f>'店长明细'!$F1360</x:f>
        <x:v>2939.46</x:v>
      </x:c>
      <x:c r="AC203" s="11" t="n">
        <x:f>'店长明细'!$F1592</x:f>
        <x:v>6104.96</x:v>
      </x:c>
      <x:c r="AD203" s="11" t="n">
        <x:f>'店长明细'!$F1824</x:f>
        <x:v>1092.17</x:v>
      </x:c>
      <x:c r="AE203" s="11" t="n">
        <x:f>'店长明细'!$F2056</x:f>
        <x:v>632.99</x:v>
      </x:c>
      <x:c r="AF203" s="11" t="n">
        <x:f>'店长明细'!$F2288</x:f>
        <x:v>180.28</x:v>
      </x:c>
    </x:row>
    <x:row r="204">
      <x:c r="A204" t="str">
        <x:f>TEXT($B204,"mm-dd")</x:f>
        <x:v>07-19</x:v>
      </x:c>
      <x:c r="B204" s="9" t="n">
        <x:f>'店长明细'!$C201</x:f>
        <x:v>46222</x:v>
      </x:c>
      <x:c r="C204" s="10" t="n">
        <x:f>'店长明细'!$E201</x:f>
        <x:v>166</x:v>
      </x:c>
      <x:c r="D204" s="10" t="n">
        <x:f>'店长明细'!$D201</x:f>
        <x:v>90</x:v>
      </x:c>
      <x:c r="E204" s="10" t="n">
        <x:f>'店长明细'!$E433</x:f>
        <x:v>1066</x:v>
      </x:c>
      <x:c r="F204" s="10" t="n">
        <x:f>'店长明细'!$D433</x:f>
        <x:v>581</x:v>
      </x:c>
      <x:c r="G204" s="10" t="n">
        <x:f>'店长明细'!$E665</x:f>
        <x:v>1542</x:v>
      </x:c>
      <x:c r="H204" s="10" t="n">
        <x:f>'店长明细'!$D665</x:f>
        <x:v>650</x:v>
      </x:c>
      <x:c r="I204" s="10" t="n">
        <x:f>'店长明细'!$E897</x:f>
        <x:v>684</x:v>
      </x:c>
      <x:c r="J204" s="10" t="n">
        <x:f>'店长明细'!$D897</x:f>
        <x:v>335</x:v>
      </x:c>
      <x:c r="K204" s="10" t="n">
        <x:f>'店长明细'!$E1129</x:f>
        <x:v>0</x:v>
      </x:c>
      <x:c r="L204" s="10" t="n">
        <x:f>'店长明细'!$D1129</x:f>
        <x:v>0</x:v>
      </x:c>
      <x:c r="M204" s="10" t="n">
        <x:f>'店长明细'!$E1361</x:f>
        <x:v>613</x:v>
      </x:c>
      <x:c r="N204" s="10" t="n">
        <x:f>'店长明细'!$D1361</x:f>
        <x:v>404</x:v>
      </x:c>
      <x:c r="O204" s="10" t="n">
        <x:f>'店长明细'!$E1593</x:f>
        <x:v>880</x:v>
      </x:c>
      <x:c r="P204" s="10" t="n">
        <x:f>'店长明细'!$D1593</x:f>
        <x:v>597</x:v>
      </x:c>
      <x:c r="Q204" s="10" t="n">
        <x:f>'店长明细'!$E1825</x:f>
        <x:v>35</x:v>
      </x:c>
      <x:c r="R204" s="10" t="n">
        <x:f>'店长明细'!$D1825</x:f>
        <x:v>29</x:v>
      </x:c>
      <x:c r="S204" s="10" t="n">
        <x:f>'店长明细'!$E2057</x:f>
        <x:v>17</x:v>
      </x:c>
      <x:c r="T204" s="10" t="n">
        <x:f>'店长明细'!$D2057</x:f>
        <x:v>15</x:v>
      </x:c>
      <x:c r="U204" s="10" t="n">
        <x:f>'店长明细'!$E2289</x:f>
        <x:v>42</x:v>
      </x:c>
      <x:c r="V204" s="10" t="n">
        <x:f>'店长明细'!$D2289</x:f>
        <x:v>28</x:v>
      </x:c>
      <x:c r="W204" s="11" t="n">
        <x:f>'店长明细'!$F201</x:f>
        <x:v>1176.01</x:v>
      </x:c>
      <x:c r="X204" s="11" t="n">
        <x:f>'店长明细'!$F433</x:f>
        <x:v>8051.18</x:v>
      </x:c>
      <x:c r="Y204" s="11" t="n">
        <x:f>'店长明细'!$F665</x:f>
        <x:v>8064.31</x:v>
      </x:c>
      <x:c r="Z204" s="11" t="n">
        <x:f>'店长明细'!$F897</x:f>
        <x:v>5685.57</x:v>
      </x:c>
      <x:c r="AA204" s="11" t="n">
        <x:f>'店长明细'!$F1129</x:f>
        <x:v>0</x:v>
      </x:c>
      <x:c r="AB204" s="11" t="n">
        <x:f>'店长明细'!$F1361</x:f>
        <x:v>6012.1</x:v>
      </x:c>
      <x:c r="AC204" s="11" t="n">
        <x:f>'店长明细'!$F1593</x:f>
        <x:v>8564.23</x:v>
      </x:c>
      <x:c r="AD204" s="11" t="n">
        <x:f>'店长明细'!$F1825</x:f>
        <x:v>1197.48</x:v>
      </x:c>
      <x:c r="AE204" s="11" t="n">
        <x:f>'店长明细'!$F2057</x:f>
        <x:v>804.65</x:v>
      </x:c>
      <x:c r="AF204" s="11" t="n">
        <x:f>'店长明细'!$F2289</x:f>
        <x:v>493.15</x:v>
      </x:c>
    </x:row>
    <x:row r="205">
      <x:c r="A205" t="str">
        <x:f>TEXT($B205,"mm-dd")</x:f>
        <x:v>07-20</x:v>
      </x:c>
      <x:c r="B205" s="9" t="n">
        <x:f>'店长明细'!$C202</x:f>
        <x:v>46223</x:v>
      </x:c>
      <x:c r="C205" s="10" t="n">
        <x:f>'店长明细'!$E202</x:f>
        <x:v>169</x:v>
      </x:c>
      <x:c r="D205" s="10" t="n">
        <x:f>'店长明细'!$D202</x:f>
        <x:v>87</x:v>
      </x:c>
      <x:c r="E205" s="10" t="n">
        <x:f>'店长明细'!$E434</x:f>
        <x:v>1044</x:v>
      </x:c>
      <x:c r="F205" s="10" t="n">
        <x:f>'店长明细'!$D434</x:f>
        <x:v>583</x:v>
      </x:c>
      <x:c r="G205" s="10" t="n">
        <x:f>'店长明细'!$E666</x:f>
        <x:v>1679</x:v>
      </x:c>
      <x:c r="H205" s="10" t="n">
        <x:f>'店长明细'!$D666</x:f>
        <x:v>717</x:v>
      </x:c>
      <x:c r="I205" s="10" t="n">
        <x:f>'店长明细'!$E898</x:f>
        <x:v>836</x:v>
      </x:c>
      <x:c r="J205" s="10" t="n">
        <x:f>'店长明细'!$D898</x:f>
        <x:v>424</x:v>
      </x:c>
      <x:c r="K205" s="10" t="n">
        <x:f>'店长明细'!$E1130</x:f>
        <x:v>1</x:v>
      </x:c>
      <x:c r="L205" s="10" t="n">
        <x:f>'店长明细'!$D1130</x:f>
        <x:v>1</x:v>
      </x:c>
      <x:c r="M205" s="10" t="n">
        <x:f>'店长明细'!$E1362</x:f>
        <x:v>473</x:v>
      </x:c>
      <x:c r="N205" s="10" t="n">
        <x:f>'店长明细'!$D1362</x:f>
        <x:v>342</x:v>
      </x:c>
      <x:c r="O205" s="10" t="n">
        <x:f>'店长明细'!$E1594</x:f>
        <x:v>729</x:v>
      </x:c>
      <x:c r="P205" s="10" t="n">
        <x:f>'店长明细'!$D1594</x:f>
        <x:v>501</x:v>
      </x:c>
      <x:c r="Q205" s="10" t="n">
        <x:f>'店长明细'!$E1826</x:f>
        <x:v>41</x:v>
      </x:c>
      <x:c r="R205" s="10" t="n">
        <x:f>'店长明细'!$D1826</x:f>
        <x:v>25</x:v>
      </x:c>
      <x:c r="S205" s="10" t="n">
        <x:f>'店长明细'!$E2058</x:f>
        <x:v>15</x:v>
      </x:c>
      <x:c r="T205" s="10" t="n">
        <x:f>'店长明细'!$D2058</x:f>
        <x:v>14</x:v>
      </x:c>
      <x:c r="U205" s="10" t="n">
        <x:f>'店长明细'!$E2290</x:f>
        <x:v>35</x:v>
      </x:c>
      <x:c r="V205" s="10" t="n">
        <x:f>'店长明细'!$D2290</x:f>
        <x:v>18</x:v>
      </x:c>
      <x:c r="W205" s="11" t="n">
        <x:f>'店长明细'!$F202</x:f>
        <x:v>1130.18</x:v>
      </x:c>
      <x:c r="X205" s="11" t="n">
        <x:f>'店长明细'!$F434</x:f>
        <x:v>8101.25</x:v>
      </x:c>
      <x:c r="Y205" s="11" t="n">
        <x:f>'店长明细'!$F666</x:f>
        <x:v>8497.89</x:v>
      </x:c>
      <x:c r="Z205" s="11" t="n">
        <x:f>'店长明细'!$F898</x:f>
        <x:v>6741.66</x:v>
      </x:c>
      <x:c r="AA205" s="11" t="n">
        <x:f>'店长明细'!$F1130</x:f>
        <x:v>28.82</x:v>
      </x:c>
      <x:c r="AB205" s="11" t="n">
        <x:f>'店长明细'!$F1362</x:f>
        <x:v>4744.78</x:v>
      </x:c>
      <x:c r="AC205" s="11" t="n">
        <x:f>'店长明细'!$F1594</x:f>
        <x:v>7223.44</x:v>
      </x:c>
      <x:c r="AD205" s="11" t="n">
        <x:f>'店长明细'!$F1826</x:f>
        <x:v>1121.59</x:v>
      </x:c>
      <x:c r="AE205" s="11" t="n">
        <x:f>'店长明细'!$F2058</x:f>
        <x:v>1040.6</x:v>
      </x:c>
      <x:c r="AF205" s="11" t="n">
        <x:f>'店长明细'!$F2290</x:f>
        <x:v>413.11</x:v>
      </x:c>
    </x:row>
    <x:row r="206">
      <x:c r="A206" t="str">
        <x:f>TEXT($B206,"mm-dd")</x:f>
        <x:v>07-21</x:v>
      </x:c>
      <x:c r="B206" s="9" t="n">
        <x:f>'店长明细'!$C203</x:f>
        <x:v>46224</x:v>
      </x:c>
      <x:c r="C206" s="10" t="n">
        <x:f>'店长明细'!$E203</x:f>
        <x:v>195</x:v>
      </x:c>
      <x:c r="D206" s="10" t="n">
        <x:f>'店长明细'!$D203</x:f>
        <x:v>94</x:v>
      </x:c>
      <x:c r="E206" s="10" t="n">
        <x:f>'店长明细'!$E435</x:f>
        <x:v>1187</x:v>
      </x:c>
      <x:c r="F206" s="10" t="n">
        <x:f>'店长明细'!$D435</x:f>
        <x:v>627</x:v>
      </x:c>
      <x:c r="G206" s="10" t="n">
        <x:f>'店长明细'!$E667</x:f>
        <x:v>1413</x:v>
      </x:c>
      <x:c r="H206" s="10" t="n">
        <x:f>'店长明细'!$D667</x:f>
        <x:v>613</x:v>
      </x:c>
      <x:c r="I206" s="10" t="n">
        <x:f>'店长明细'!$E899</x:f>
        <x:v>980</x:v>
      </x:c>
      <x:c r="J206" s="10" t="n">
        <x:f>'店长明细'!$D899</x:f>
        <x:v>466</x:v>
      </x:c>
      <x:c r="K206" s="10" t="n">
        <x:f>'店长明细'!$E1131</x:f>
        <x:v>0</x:v>
      </x:c>
      <x:c r="L206" s="10" t="n">
        <x:f>'店长明细'!$D1131</x:f>
        <x:v>0</x:v>
      </x:c>
      <x:c r="M206" s="10" t="n">
        <x:f>'店长明细'!$E1363</x:f>
        <x:v>707</x:v>
      </x:c>
      <x:c r="N206" s="10" t="n">
        <x:f>'店长明细'!$D1363</x:f>
        <x:v>475</x:v>
      </x:c>
      <x:c r="O206" s="10" t="n">
        <x:f>'店长明细'!$E1595</x:f>
        <x:v>679</x:v>
      </x:c>
      <x:c r="P206" s="10" t="n">
        <x:f>'店长明细'!$D1595</x:f>
        <x:v>456</x:v>
      </x:c>
      <x:c r="Q206" s="10" t="n">
        <x:f>'店长明细'!$E1827</x:f>
        <x:v>56</x:v>
      </x:c>
      <x:c r="R206" s="10" t="n">
        <x:f>'店长明细'!$D1827</x:f>
        <x:v>40</x:v>
      </x:c>
      <x:c r="S206" s="10" t="n">
        <x:f>'店长明细'!$E2059</x:f>
        <x:v>14</x:v>
      </x:c>
      <x:c r="T206" s="10" t="n">
        <x:f>'店长明细'!$D2059</x:f>
        <x:v>13</x:v>
      </x:c>
      <x:c r="U206" s="10" t="n">
        <x:f>'店长明细'!$E2291</x:f>
        <x:v>36</x:v>
      </x:c>
      <x:c r="V206" s="10" t="n">
        <x:f>'店长明细'!$D2291</x:f>
        <x:v>19</x:v>
      </x:c>
      <x:c r="W206" s="11" t="n">
        <x:f>'店长明细'!$F203</x:f>
        <x:v>1308.38</x:v>
      </x:c>
      <x:c r="X206" s="11" t="n">
        <x:f>'店长明细'!$F435</x:f>
        <x:v>9230.73</x:v>
      </x:c>
      <x:c r="Y206" s="11" t="n">
        <x:f>'店长明细'!$F667</x:f>
        <x:v>7648.78</x:v>
      </x:c>
      <x:c r="Z206" s="11" t="n">
        <x:f>'店长明细'!$F899</x:f>
        <x:v>7857.97</x:v>
      </x:c>
      <x:c r="AA206" s="11" t="n">
        <x:f>'店长明细'!$F1131</x:f>
        <x:v>0</x:v>
      </x:c>
      <x:c r="AB206" s="11" t="n">
        <x:f>'店长明细'!$F1363</x:f>
        <x:v>6960.55</x:v>
      </x:c>
      <x:c r="AC206" s="11" t="n">
        <x:f>'店长明细'!$F1595</x:f>
        <x:v>6183.92</x:v>
      </x:c>
      <x:c r="AD206" s="11" t="n">
        <x:f>'店长明细'!$F1827</x:f>
        <x:v>1849.81</x:v>
      </x:c>
      <x:c r="AE206" s="11" t="n">
        <x:f>'店长明细'!$F2059</x:f>
        <x:v>872.46</x:v>
      </x:c>
      <x:c r="AF206" s="11" t="n">
        <x:f>'店长明细'!$F2291</x:f>
        <x:v>399.27</x:v>
      </x:c>
    </x:row>
    <x:row r="207">
      <x:c r="A207" t="str">
        <x:f>TEXT($B207,"mm-dd")</x:f>
        <x:v>07-22</x:v>
      </x:c>
      <x:c r="B207" s="9" t="n">
        <x:f>'店长明细'!$C204</x:f>
        <x:v>46225</x:v>
      </x:c>
      <x:c r="C207" s="10" t="n">
        <x:f>'店长明细'!$E204</x:f>
        <x:v>144</x:v>
      </x:c>
      <x:c r="D207" s="10" t="n">
        <x:f>'店长明细'!$D204</x:f>
        <x:v>70</x:v>
      </x:c>
      <x:c r="E207" s="10" t="n">
        <x:f>'店长明细'!$E436</x:f>
        <x:v>1145</x:v>
      </x:c>
      <x:c r="F207" s="10" t="n">
        <x:f>'店长明细'!$D436</x:f>
        <x:v>626</x:v>
      </x:c>
      <x:c r="G207" s="10" t="n">
        <x:f>'店长明细'!$E668</x:f>
        <x:v>1750</x:v>
      </x:c>
      <x:c r="H207" s="10" t="n">
        <x:f>'店长明细'!$D668</x:f>
        <x:v>707</x:v>
      </x:c>
      <x:c r="I207" s="10" t="n">
        <x:f>'店长明细'!$E900</x:f>
        <x:v>832</x:v>
      </x:c>
      <x:c r="J207" s="10" t="n">
        <x:f>'店长明细'!$D900</x:f>
        <x:v>385</x:v>
      </x:c>
      <x:c r="K207" s="10" t="n">
        <x:f>'店长明细'!$E1132</x:f>
        <x:v>0</x:v>
      </x:c>
      <x:c r="L207" s="10" t="n">
        <x:f>'店长明细'!$D1132</x:f>
        <x:v>0</x:v>
      </x:c>
      <x:c r="M207" s="10" t="n">
        <x:f>'店长明细'!$E1364</x:f>
        <x:v>576</x:v>
      </x:c>
      <x:c r="N207" s="10" t="n">
        <x:f>'店长明细'!$D1364</x:f>
        <x:v>392</x:v>
      </x:c>
      <x:c r="O207" s="10" t="n">
        <x:f>'店长明细'!$E1596</x:f>
        <x:v>1135</x:v>
      </x:c>
      <x:c r="P207" s="10" t="n">
        <x:f>'店长明细'!$D1596</x:f>
        <x:v>707</x:v>
      </x:c>
      <x:c r="Q207" s="10" t="n">
        <x:f>'店长明细'!$E1828</x:f>
        <x:v>97</x:v>
      </x:c>
      <x:c r="R207" s="10" t="n">
        <x:f>'店长明细'!$D1828</x:f>
        <x:v>66</x:v>
      </x:c>
      <x:c r="S207" s="10" t="n">
        <x:f>'店长明细'!$E2060</x:f>
        <x:v>21</x:v>
      </x:c>
      <x:c r="T207" s="10" t="n">
        <x:f>'店长明细'!$D2060</x:f>
        <x:v>17</x:v>
      </x:c>
      <x:c r="U207" s="10" t="n">
        <x:f>'店长明细'!$E2292</x:f>
        <x:v>43</x:v>
      </x:c>
      <x:c r="V207" s="10" t="n">
        <x:f>'店长明细'!$D2292</x:f>
        <x:v>27</x:v>
      </x:c>
      <x:c r="W207" s="11" t="n">
        <x:f>'店长明细'!$F204</x:f>
        <x:v>1044.31</x:v>
      </x:c>
      <x:c r="X207" s="11" t="n">
        <x:f>'店长明细'!$F436</x:f>
        <x:v>8810.34</x:v>
      </x:c>
      <x:c r="Y207" s="11" t="n">
        <x:f>'店长明细'!$F668</x:f>
        <x:v>9313.17</x:v>
      </x:c>
      <x:c r="Z207" s="11" t="n">
        <x:f>'店长明细'!$F900</x:f>
        <x:v>6910.2</x:v>
      </x:c>
      <x:c r="AA207" s="11" t="n">
        <x:f>'店长明细'!$F1132</x:f>
        <x:v>0</x:v>
      </x:c>
      <x:c r="AB207" s="11" t="n">
        <x:f>'店长明细'!$F1364</x:f>
        <x:v>5734.59</x:v>
      </x:c>
      <x:c r="AC207" s="11" t="n">
        <x:f>'店长明细'!$F1596</x:f>
        <x:v>11109.39</x:v>
      </x:c>
      <x:c r="AD207" s="11" t="n">
        <x:f>'店长明细'!$F1828</x:f>
        <x:v>3467.1</x:v>
      </x:c>
      <x:c r="AE207" s="11" t="n">
        <x:f>'店长明细'!$F2060</x:f>
        <x:v>942.63</x:v>
      </x:c>
      <x:c r="AF207" s="11" t="n">
        <x:f>'店长明细'!$F2292</x:f>
        <x:v>540.31</x:v>
      </x:c>
    </x:row>
    <x:row r="208">
      <x:c r="A208" t="str">
        <x:f>TEXT($B208,"mm-dd")</x:f>
        <x:v>07-23</x:v>
      </x:c>
      <x:c r="B208" s="9" t="n">
        <x:f>'店长明细'!$C205</x:f>
        <x:v>46226</x:v>
      </x:c>
      <x:c r="C208" s="10" t="n">
        <x:f>'店长明细'!$E205</x:f>
        <x:v>187</x:v>
      </x:c>
      <x:c r="D208" s="10" t="n">
        <x:f>'店长明细'!$D205</x:f>
        <x:v>96</x:v>
      </x:c>
      <x:c r="E208" s="10" t="n">
        <x:f>'店长明细'!$E437</x:f>
        <x:v>1162</x:v>
      </x:c>
      <x:c r="F208" s="10" t="n">
        <x:f>'店长明细'!$D437</x:f>
        <x:v>631</x:v>
      </x:c>
      <x:c r="G208" s="10" t="n">
        <x:f>'店长明细'!$E669</x:f>
        <x:v>1739</x:v>
      </x:c>
      <x:c r="H208" s="10" t="n">
        <x:f>'店长明细'!$D669</x:f>
        <x:v>749</x:v>
      </x:c>
      <x:c r="I208" s="10" t="n">
        <x:f>'店长明细'!$E901</x:f>
        <x:v>969</x:v>
      </x:c>
      <x:c r="J208" s="10" t="n">
        <x:f>'店长明细'!$D901</x:f>
        <x:v>440</x:v>
      </x:c>
      <x:c r="K208" s="10" t="n">
        <x:f>'店长明细'!$E1133</x:f>
        <x:v>2</x:v>
      </x:c>
      <x:c r="L208" s="10" t="n">
        <x:f>'店长明细'!$D1133</x:f>
        <x:v>1</x:v>
      </x:c>
      <x:c r="M208" s="10" t="n">
        <x:f>'店长明细'!$E1365</x:f>
        <x:v>599</x:v>
      </x:c>
      <x:c r="N208" s="10" t="n">
        <x:f>'店长明细'!$D1365</x:f>
        <x:v>414</x:v>
      </x:c>
      <x:c r="O208" s="10" t="n">
        <x:f>'店长明细'!$E1597</x:f>
        <x:v>929</x:v>
      </x:c>
      <x:c r="P208" s="10" t="n">
        <x:f>'店长明细'!$D1597</x:f>
        <x:v>635</x:v>
      </x:c>
      <x:c r="Q208" s="10" t="n">
        <x:f>'店长明细'!$E1829</x:f>
        <x:v>56</x:v>
      </x:c>
      <x:c r="R208" s="10" t="n">
        <x:f>'店长明细'!$D1829</x:f>
        <x:v>41</x:v>
      </x:c>
      <x:c r="S208" s="10" t="n">
        <x:f>'店长明细'!$E2061</x:f>
        <x:v>18</x:v>
      </x:c>
      <x:c r="T208" s="10" t="n">
        <x:f>'店长明细'!$D2061</x:f>
        <x:v>17</x:v>
      </x:c>
      <x:c r="U208" s="10" t="n">
        <x:f>'店长明细'!$E2293</x:f>
        <x:v>42</x:v>
      </x:c>
      <x:c r="V208" s="10" t="n">
        <x:f>'店长明细'!$D2293</x:f>
        <x:v>26</x:v>
      </x:c>
      <x:c r="W208" s="11" t="n">
        <x:f>'店长明细'!$F205</x:f>
        <x:v>1316.07</x:v>
      </x:c>
      <x:c r="X208" s="11" t="n">
        <x:f>'店长明细'!$F437</x:f>
        <x:v>9556.05</x:v>
      </x:c>
      <x:c r="Y208" s="11" t="n">
        <x:f>'店长明细'!$F669</x:f>
        <x:v>9400.31</x:v>
      </x:c>
      <x:c r="Z208" s="11" t="n">
        <x:f>'店长明细'!$F901</x:f>
        <x:v>7949.41</x:v>
      </x:c>
      <x:c r="AA208" s="11" t="n">
        <x:f>'店长明细'!$F1133</x:f>
        <x:v>17.51</x:v>
      </x:c>
      <x:c r="AB208" s="11" t="n">
        <x:f>'店长明细'!$F1365</x:f>
        <x:v>5873.82</x:v>
      </x:c>
      <x:c r="AC208" s="11" t="n">
        <x:f>'店长明细'!$F1597</x:f>
        <x:v>9597.51</x:v>
      </x:c>
      <x:c r="AD208" s="11" t="n">
        <x:f>'店长明细'!$F1829</x:f>
        <x:v>1650.26</x:v>
      </x:c>
      <x:c r="AE208" s="11" t="n">
        <x:f>'店长明细'!$F2061</x:f>
        <x:v>1187.49</x:v>
      </x:c>
      <x:c r="AF208" s="11" t="n">
        <x:f>'店长明细'!$F2293</x:f>
        <x:v>526.86</x:v>
      </x:c>
    </x:row>
    <x:row r="209">
      <x:c r="A209" t="str">
        <x:f>TEXT($B209,"mm-dd")</x:f>
        <x:v>07-24</x:v>
      </x:c>
      <x:c r="B209" s="9" t="n">
        <x:f>'店长明细'!$C206</x:f>
        <x:v>46227</x:v>
      </x:c>
      <x:c r="C209" s="10" t="n">
        <x:f>'店长明细'!$E206</x:f>
        <x:v>179</x:v>
      </x:c>
      <x:c r="D209" s="10" t="n">
        <x:f>'店长明细'!$D206</x:f>
        <x:v>86</x:v>
      </x:c>
      <x:c r="E209" s="10" t="n">
        <x:f>'店长明细'!$E438</x:f>
        <x:v>2117</x:v>
      </x:c>
      <x:c r="F209" s="10" t="n">
        <x:f>'店长明细'!$D438</x:f>
        <x:v>1086</x:v>
      </x:c>
      <x:c r="G209" s="10" t="n">
        <x:f>'店长明细'!$E670</x:f>
        <x:v>2746</x:v>
      </x:c>
      <x:c r="H209" s="10" t="n">
        <x:f>'店长明细'!$D670</x:f>
        <x:v>1217</x:v>
      </x:c>
      <x:c r="I209" s="10" t="n">
        <x:f>'店长明细'!$E902</x:f>
        <x:v>777</x:v>
      </x:c>
      <x:c r="J209" s="10" t="n">
        <x:f>'店长明细'!$D902</x:f>
        <x:v>387</x:v>
      </x:c>
      <x:c r="K209" s="10" t="n">
        <x:f>'店长明细'!$E1134</x:f>
        <x:v>1</x:v>
      </x:c>
      <x:c r="L209" s="10" t="n">
        <x:f>'店长明细'!$D1134</x:f>
        <x:v>1</x:v>
      </x:c>
      <x:c r="M209" s="10" t="n">
        <x:f>'店长明细'!$E1366</x:f>
        <x:v>827</x:v>
      </x:c>
      <x:c r="N209" s="10" t="n">
        <x:f>'店长明细'!$D1366</x:f>
        <x:v>526</x:v>
      </x:c>
      <x:c r="O209" s="10" t="n">
        <x:f>'店长明细'!$E1598</x:f>
        <x:v>854</x:v>
      </x:c>
      <x:c r="P209" s="10" t="n">
        <x:f>'店长明细'!$D1598</x:f>
        <x:v>581</x:v>
      </x:c>
      <x:c r="Q209" s="10" t="n">
        <x:f>'店长明细'!$E1830</x:f>
        <x:v>69</x:v>
      </x:c>
      <x:c r="R209" s="10" t="n">
        <x:f>'店长明细'!$D1830</x:f>
        <x:v>49</x:v>
      </x:c>
      <x:c r="S209" s="10" t="n">
        <x:f>'店长明细'!$E2062</x:f>
        <x:v>10</x:v>
      </x:c>
      <x:c r="T209" s="10" t="n">
        <x:f>'店长明细'!$D2062</x:f>
        <x:v>9</x:v>
      </x:c>
      <x:c r="U209" s="10" t="n">
        <x:f>'店长明细'!$E2294</x:f>
        <x:v>36</x:v>
      </x:c>
      <x:c r="V209" s="10" t="n">
        <x:f>'店长明细'!$D2294</x:f>
        <x:v>19</x:v>
      </x:c>
      <x:c r="W209" s="11" t="n">
        <x:f>'店长明细'!$F206</x:f>
        <x:v>1244.73</x:v>
      </x:c>
      <x:c r="X209" s="11" t="n">
        <x:f>'店长明细'!$F438</x:f>
        <x:v>15496.24</x:v>
      </x:c>
      <x:c r="Y209" s="11" t="n">
        <x:f>'店长明细'!$F670</x:f>
        <x:v>16480.76</x:v>
      </x:c>
      <x:c r="Z209" s="11" t="n">
        <x:f>'店长明细'!$F902</x:f>
        <x:v>6229.02</x:v>
      </x:c>
      <x:c r="AA209" s="11" t="n">
        <x:f>'店长明细'!$F1134</x:f>
        <x:v>8.97</x:v>
      </x:c>
      <x:c r="AB209" s="11" t="n">
        <x:f>'店长明细'!$F1366</x:f>
        <x:v>7577.23</x:v>
      </x:c>
      <x:c r="AC209" s="11" t="n">
        <x:f>'店长明细'!$F1598</x:f>
        <x:v>8320.98</x:v>
      </x:c>
      <x:c r="AD209" s="11" t="n">
        <x:f>'店长明细'!$F1830</x:f>
        <x:v>1751.14</x:v>
      </x:c>
      <x:c r="AE209" s="11" t="n">
        <x:f>'店长明细'!$F2062</x:f>
        <x:v>462.08</x:v>
      </x:c>
      <x:c r="AF209" s="11" t="n">
        <x:f>'店长明细'!$F2294</x:f>
        <x:v>411.3</x:v>
      </x:c>
    </x:row>
    <x:row r="210">
      <x:c r="A210" t="str">
        <x:f>TEXT($B210,"mm-dd")</x:f>
        <x:v>07-25</x:v>
      </x:c>
      <x:c r="B210" s="9" t="n">
        <x:f>'店长明细'!$C207</x:f>
        <x:v>46228</x:v>
      </x:c>
      <x:c r="C210" s="10" t="n">
        <x:f>'店长明细'!$E207</x:f>
        <x:v>89</x:v>
      </x:c>
      <x:c r="D210" s="10" t="n">
        <x:f>'店长明细'!$D207</x:f>
        <x:v>47</x:v>
      </x:c>
      <x:c r="E210" s="10" t="n">
        <x:f>'店长明细'!$E439</x:f>
        <x:v>1262</x:v>
      </x:c>
      <x:c r="F210" s="10" t="n">
        <x:f>'店长明细'!$D439</x:f>
        <x:v>809</x:v>
      </x:c>
      <x:c r="G210" s="10" t="n">
        <x:f>'店长明细'!$E671</x:f>
        <x:v>1259</x:v>
      </x:c>
      <x:c r="H210" s="10" t="n">
        <x:f>'店长明细'!$D671</x:f>
        <x:v>519</x:v>
      </x:c>
      <x:c r="I210" s="10" t="n">
        <x:f>'店长明细'!$E903</x:f>
        <x:v>402</x:v>
      </x:c>
      <x:c r="J210" s="10" t="n">
        <x:f>'店长明细'!$D903</x:f>
        <x:v>206</x:v>
      </x:c>
      <x:c r="K210" s="10" t="n">
        <x:f>'店长明细'!$E1135</x:f>
        <x:v>0</x:v>
      </x:c>
      <x:c r="L210" s="10" t="n">
        <x:f>'店长明细'!$D1135</x:f>
        <x:v>0</x:v>
      </x:c>
      <x:c r="M210" s="10" t="n">
        <x:f>'店长明细'!$E1367</x:f>
        <x:v>605</x:v>
      </x:c>
      <x:c r="N210" s="10" t="n">
        <x:f>'店长明细'!$D1367</x:f>
        <x:v>383</x:v>
      </x:c>
      <x:c r="O210" s="10" t="n">
        <x:f>'店长明细'!$E1599</x:f>
        <x:v>837</x:v>
      </x:c>
      <x:c r="P210" s="10" t="n">
        <x:f>'店长明细'!$D1599</x:f>
        <x:v>566</x:v>
      </x:c>
      <x:c r="Q210" s="10" t="n">
        <x:f>'店长明细'!$E1831</x:f>
        <x:v>40</x:v>
      </x:c>
      <x:c r="R210" s="10" t="n">
        <x:f>'店长明细'!$D1831</x:f>
        <x:v>35</x:v>
      </x:c>
      <x:c r="S210" s="10" t="n">
        <x:f>'店长明细'!$E2063</x:f>
        <x:v>13</x:v>
      </x:c>
      <x:c r="T210" s="10" t="n">
        <x:f>'店长明细'!$D2063</x:f>
        <x:v>12</x:v>
      </x:c>
      <x:c r="U210" s="10" t="n">
        <x:f>'店长明细'!$E2295</x:f>
        <x:v>34</x:v>
      </x:c>
      <x:c r="V210" s="10" t="n">
        <x:f>'店长明细'!$D2295</x:f>
        <x:v>20</x:v>
      </x:c>
      <x:c r="W210" s="11" t="n">
        <x:f>'店长明细'!$F207</x:f>
        <x:v>700.42</x:v>
      </x:c>
      <x:c r="X210" s="11" t="n">
        <x:f>'店长明细'!$F439</x:f>
        <x:v>11409.46</x:v>
      </x:c>
      <x:c r="Y210" s="11" t="n">
        <x:f>'店长明细'!$F671</x:f>
        <x:v>6270.26</x:v>
      </x:c>
      <x:c r="Z210" s="11" t="n">
        <x:f>'店长明细'!$F903</x:f>
        <x:v>3436.66</x:v>
      </x:c>
      <x:c r="AA210" s="11" t="n">
        <x:f>'店长明细'!$F1135</x:f>
        <x:v>0</x:v>
      </x:c>
      <x:c r="AB210" s="11" t="n">
        <x:f>'店长明细'!$F1367</x:f>
        <x:v>5619.44</x:v>
      </x:c>
      <x:c r="AC210" s="11" t="n">
        <x:f>'店长明细'!$F1599</x:f>
        <x:v>7898.6</x:v>
      </x:c>
      <x:c r="AD210" s="11" t="n">
        <x:f>'店长明细'!$F1831</x:f>
        <x:v>1575.94</x:v>
      </x:c>
      <x:c r="AE210" s="11" t="n">
        <x:f>'店长明细'!$F2063</x:f>
        <x:v>653.71</x:v>
      </x:c>
      <x:c r="AF210" s="11" t="n">
        <x:f>'店长明细'!$F2295</x:f>
        <x:v>369.11</x:v>
      </x:c>
    </x:row>
    <x:row r="211">
      <x:c r="A211" t="str">
        <x:f>TEXT($B211,"mm-dd")</x:f>
        <x:v>07-26</x:v>
      </x:c>
      <x:c r="B211" s="9" t="n">
        <x:f>'店长明细'!$C208</x:f>
        <x:v>46229</x:v>
      </x:c>
      <x:c r="C211" s="10" t="n">
        <x:f>'店长明细'!$E208</x:f>
        <x:v>224</x:v>
      </x:c>
      <x:c r="D211" s="10" t="n">
        <x:f>'店长明细'!$D208</x:f>
        <x:v>115</x:v>
      </x:c>
      <x:c r="E211" s="10" t="n">
        <x:f>'店长明细'!$E440</x:f>
        <x:v>1559</x:v>
      </x:c>
      <x:c r="F211" s="10" t="n">
        <x:f>'店长明细'!$D440</x:f>
        <x:v>855</x:v>
      </x:c>
      <x:c r="G211" s="10" t="n">
        <x:f>'店长明细'!$E672</x:f>
        <x:v>2359</x:v>
      </x:c>
      <x:c r="H211" s="10" t="n">
        <x:f>'店长明细'!$D672</x:f>
        <x:v>989</x:v>
      </x:c>
      <x:c r="I211" s="10" t="n">
        <x:f>'店长明细'!$E904</x:f>
        <x:v>975</x:v>
      </x:c>
      <x:c r="J211" s="10" t="n">
        <x:f>'店长明细'!$D904</x:f>
        <x:v>497</x:v>
      </x:c>
      <x:c r="K211" s="10" t="n">
        <x:f>'店长明细'!$E1136</x:f>
        <x:v>1</x:v>
      </x:c>
      <x:c r="L211" s="10" t="n">
        <x:f>'店长明细'!$D1136</x:f>
        <x:v>1</x:v>
      </x:c>
      <x:c r="M211" s="10" t="n">
        <x:f>'店长明细'!$E1368</x:f>
        <x:v>640</x:v>
      </x:c>
      <x:c r="N211" s="10" t="n">
        <x:f>'店长明细'!$D1368</x:f>
        <x:v>432</x:v>
      </x:c>
      <x:c r="O211" s="10" t="n">
        <x:f>'店长明细'!$E1600</x:f>
        <x:v>922</x:v>
      </x:c>
      <x:c r="P211" s="10" t="n">
        <x:f>'店长明细'!$D1600</x:f>
        <x:v>621</x:v>
      </x:c>
      <x:c r="Q211" s="10" t="n">
        <x:f>'店长明细'!$E1832</x:f>
        <x:v>47</x:v>
      </x:c>
      <x:c r="R211" s="10" t="n">
        <x:f>'店长明细'!$D1832</x:f>
        <x:v>36</x:v>
      </x:c>
      <x:c r="S211" s="10" t="n">
        <x:f>'店长明细'!$E2064</x:f>
        <x:v>4</x:v>
      </x:c>
      <x:c r="T211" s="10" t="n">
        <x:f>'店长明细'!$D2064</x:f>
        <x:v>4</x:v>
      </x:c>
      <x:c r="U211" s="10" t="n">
        <x:f>'店长明细'!$E2296</x:f>
        <x:v>43</x:v>
      </x:c>
      <x:c r="V211" s="10" t="n">
        <x:f>'店长明细'!$D2296</x:f>
        <x:v>27</x:v>
      </x:c>
      <x:c r="W211" s="11" t="n">
        <x:f>'店长明细'!$F208</x:f>
        <x:v>1615.05</x:v>
      </x:c>
      <x:c r="X211" s="11" t="n">
        <x:f>'店长明细'!$F440</x:f>
        <x:v>12218.1</x:v>
      </x:c>
      <x:c r="Y211" s="11" t="n">
        <x:f>'店长明细'!$F672</x:f>
        <x:v>12969.59</x:v>
      </x:c>
      <x:c r="Z211" s="11" t="n">
        <x:f>'店长明细'!$F904</x:f>
        <x:v>7588.14</x:v>
      </x:c>
      <x:c r="AA211" s="11" t="n">
        <x:f>'店长明细'!$F1136</x:f>
        <x:v>41.82</x:v>
      </x:c>
      <x:c r="AB211" s="11" t="n">
        <x:f>'店长明细'!$F1368</x:f>
        <x:v>5989.98</x:v>
      </x:c>
      <x:c r="AC211" s="11" t="n">
        <x:f>'店长明细'!$F1600</x:f>
        <x:v>8086.78</x:v>
      </x:c>
      <x:c r="AD211" s="11" t="n">
        <x:f>'店长明细'!$F1832</x:f>
        <x:v>1514.98</x:v>
      </x:c>
      <x:c r="AE211" s="11" t="n">
        <x:f>'店长明细'!$F2064</x:f>
        <x:v>200.47</x:v>
      </x:c>
      <x:c r="AF211" s="11" t="n">
        <x:f>'店长明细'!$F2296</x:f>
        <x:v>493.86</x:v>
      </x:c>
    </x:row>
    <x:row r="212">
      <x:c r="A212" t="str">
        <x:f>TEXT($B212,"mm-dd")</x:f>
        <x:v>07-27</x:v>
      </x:c>
      <x:c r="B212" s="9" t="n">
        <x:f>'店长明细'!$C209</x:f>
        <x:v>46230</x:v>
      </x:c>
      <x:c r="C212" s="10" t="n">
        <x:f>'店长明细'!$E209</x:f>
        <x:v>174</x:v>
      </x:c>
      <x:c r="D212" s="10" t="n">
        <x:f>'店长明细'!$D209</x:f>
        <x:v>88</x:v>
      </x:c>
      <x:c r="E212" s="10" t="n">
        <x:f>'店长明细'!$E441</x:f>
        <x:v>1950</x:v>
      </x:c>
      <x:c r="F212" s="10" t="n">
        <x:f>'店长明细'!$D441</x:f>
        <x:v>1000</x:v>
      </x:c>
      <x:c r="G212" s="10" t="n">
        <x:f>'店长明细'!$E673</x:f>
        <x:v>2105</x:v>
      </x:c>
      <x:c r="H212" s="10" t="n">
        <x:f>'店长明细'!$D673</x:f>
        <x:v>1013</x:v>
      </x:c>
      <x:c r="I212" s="10" t="n">
        <x:f>'店长明细'!$E905</x:f>
        <x:v>714</x:v>
      </x:c>
      <x:c r="J212" s="10" t="n">
        <x:f>'店长明细'!$D905</x:f>
        <x:v>356</x:v>
      </x:c>
      <x:c r="K212" s="10" t="n">
        <x:f>'店长明细'!$E1137</x:f>
        <x:v>5</x:v>
      </x:c>
      <x:c r="L212" s="10" t="n">
        <x:f>'店长明细'!$D1137</x:f>
        <x:v>3</x:v>
      </x:c>
      <x:c r="M212" s="10" t="n">
        <x:f>'店长明细'!$E1369</x:f>
        <x:v>802</x:v>
      </x:c>
      <x:c r="N212" s="10" t="n">
        <x:f>'店长明细'!$D1369</x:f>
        <x:v>423</x:v>
      </x:c>
      <x:c r="O212" s="10" t="n">
        <x:f>'店长明细'!$E1601</x:f>
        <x:v>898</x:v>
      </x:c>
      <x:c r="P212" s="10" t="n">
        <x:f>'店长明细'!$D1601</x:f>
        <x:v>608</x:v>
      </x:c>
      <x:c r="Q212" s="10" t="n">
        <x:f>'店长明细'!$E1833</x:f>
        <x:v>42</x:v>
      </x:c>
      <x:c r="R212" s="10" t="n">
        <x:f>'店长明细'!$D1833</x:f>
        <x:v>27</x:v>
      </x:c>
      <x:c r="S212" s="10" t="n">
        <x:f>'店长明细'!$E2065</x:f>
        <x:v>11</x:v>
      </x:c>
      <x:c r="T212" s="10" t="n">
        <x:f>'店长明细'!$D2065</x:f>
        <x:v>10</x:v>
      </x:c>
      <x:c r="U212" s="10" t="n">
        <x:f>'店长明细'!$E2297</x:f>
        <x:v>49</x:v>
      </x:c>
      <x:c r="V212" s="10" t="n">
        <x:f>'店长明细'!$D2297</x:f>
        <x:v>29</x:v>
      </x:c>
      <x:c r="W212" s="11" t="n">
        <x:f>'店长明细'!$F209</x:f>
        <x:v>1187.63</x:v>
      </x:c>
      <x:c r="X212" s="11" t="n">
        <x:f>'店长明细'!$F441</x:f>
        <x:v>16141.88</x:v>
      </x:c>
      <x:c r="Y212" s="11" t="n">
        <x:f>'店长明细'!$F673</x:f>
        <x:v>13879.18</x:v>
      </x:c>
      <x:c r="Z212" s="11" t="n">
        <x:f>'店长明细'!$F905</x:f>
        <x:v>5648.54</x:v>
      </x:c>
      <x:c r="AA212" s="11" t="n">
        <x:f>'店长明细'!$F1137</x:f>
        <x:v>54.05</x:v>
      </x:c>
      <x:c r="AB212" s="11" t="n">
        <x:f>'店长明细'!$F1369</x:f>
        <x:v>6794.77</x:v>
      </x:c>
      <x:c r="AC212" s="11" t="n">
        <x:f>'店长明细'!$F1601</x:f>
        <x:v>8008.92</x:v>
      </x:c>
      <x:c r="AD212" s="11" t="n">
        <x:f>'店长明细'!$F1833</x:f>
        <x:v>1210.41</x:v>
      </x:c>
      <x:c r="AE212" s="11" t="n">
        <x:f>'店长明细'!$F2065</x:f>
        <x:v>937.22</x:v>
      </x:c>
      <x:c r="AF212" s="11" t="n">
        <x:f>'店长明细'!$F2297</x:f>
        <x:v>612.55</x:v>
      </x:c>
    </x:row>
    <x:row r="213">
      <x:c r="A213" t="str">
        <x:f>TEXT($B213,"mm-dd")</x:f>
        <x:v>07-28</x:v>
      </x:c>
      <x:c r="B213" s="9" t="n">
        <x:f>'店长明细'!$C210</x:f>
        <x:v>46231</x:v>
      </x:c>
      <x:c r="C213" s="10" t="n">
        <x:f>'店长明细'!$E210</x:f>
        <x:v>167</x:v>
      </x:c>
      <x:c r="D213" s="10" t="n">
        <x:f>'店长明细'!$D210</x:f>
        <x:v>93</x:v>
      </x:c>
      <x:c r="E213" s="10" t="n">
        <x:f>'店长明细'!$E442</x:f>
        <x:v>1315</x:v>
      </x:c>
      <x:c r="F213" s="10" t="n">
        <x:f>'店长明细'!$D442</x:f>
        <x:v>731</x:v>
      </x:c>
      <x:c r="G213" s="10" t="n">
        <x:f>'店长明细'!$E674</x:f>
        <x:v>1727</x:v>
      </x:c>
      <x:c r="H213" s="10" t="n">
        <x:f>'店长明细'!$D674</x:f>
        <x:v>726</x:v>
      </x:c>
      <x:c r="I213" s="10" t="n">
        <x:f>'店长明细'!$E906</x:f>
        <x:v>775</x:v>
      </x:c>
      <x:c r="J213" s="10" t="n">
        <x:f>'店长明细'!$D906</x:f>
        <x:v>377</x:v>
      </x:c>
      <x:c r="K213" s="10" t="n">
        <x:f>'店长明细'!$E1138</x:f>
        <x:v>3</x:v>
      </x:c>
      <x:c r="L213" s="10" t="n">
        <x:f>'店长明细'!$D1138</x:f>
        <x:v>2</x:v>
      </x:c>
      <x:c r="M213" s="10" t="n">
        <x:f>'店长明细'!$E1370</x:f>
        <x:v>616</x:v>
      </x:c>
      <x:c r="N213" s="10" t="n">
        <x:f>'店长明细'!$D1370</x:f>
        <x:v>385</x:v>
      </x:c>
      <x:c r="O213" s="10" t="n">
        <x:f>'店长明细'!$E1602</x:f>
        <x:v>765</x:v>
      </x:c>
      <x:c r="P213" s="10" t="n">
        <x:f>'店长明细'!$D1602</x:f>
        <x:v>508</x:v>
      </x:c>
      <x:c r="Q213" s="10" t="n">
        <x:f>'店长明细'!$E1834</x:f>
        <x:v>61</x:v>
      </x:c>
      <x:c r="R213" s="10" t="n">
        <x:f>'店长明细'!$D1834</x:f>
        <x:v>52</x:v>
      </x:c>
      <x:c r="S213" s="10" t="n">
        <x:f>'店长明细'!$E2066</x:f>
        <x:v>32</x:v>
      </x:c>
      <x:c r="T213" s="10" t="n">
        <x:f>'店长明细'!$D2066</x:f>
        <x:v>24</x:v>
      </x:c>
      <x:c r="U213" s="10" t="n">
        <x:f>'店长明细'!$E2298</x:f>
        <x:v>44</x:v>
      </x:c>
      <x:c r="V213" s="10" t="n">
        <x:f>'店长明细'!$D2298</x:f>
        <x:v>33</x:v>
      </x:c>
      <x:c r="W213" s="11" t="n">
        <x:f>'店长明细'!$F210</x:f>
        <x:v>1426.9</x:v>
      </x:c>
      <x:c r="X213" s="11" t="n">
        <x:f>'店长明细'!$F442</x:f>
        <x:v>10870.48</x:v>
      </x:c>
      <x:c r="Y213" s="11" t="n">
        <x:f>'店长明细'!$F674</x:f>
        <x:v>10148.9</x:v>
      </x:c>
      <x:c r="Z213" s="11" t="n">
        <x:f>'店长明细'!$F906</x:f>
        <x:v>6401.41</x:v>
      </x:c>
      <x:c r="AA213" s="11" t="n">
        <x:f>'店长明细'!$F1138</x:f>
        <x:v>24.61</x:v>
      </x:c>
      <x:c r="AB213" s="11" t="n">
        <x:f>'店长明细'!$F1370</x:f>
        <x:v>5823.74</x:v>
      </x:c>
      <x:c r="AC213" s="11" t="n">
        <x:f>'店长明细'!$F1602</x:f>
        <x:v>6853.19</x:v>
      </x:c>
      <x:c r="AD213" s="11" t="n">
        <x:f>'店长明细'!$F1834</x:f>
        <x:v>2471.46</x:v>
      </x:c>
      <x:c r="AE213" s="11" t="n">
        <x:f>'店长明细'!$F2066</x:f>
        <x:v>1445.28</x:v>
      </x:c>
      <x:c r="AF213" s="11" t="n">
        <x:f>'店长明细'!$F2298</x:f>
        <x:v>577.63</x:v>
      </x:c>
    </x:row>
    <x:row r="214">
      <x:c r="A214" t="str">
        <x:f>TEXT($B214,"mm-dd")</x:f>
        <x:v>07-29</x:v>
      </x:c>
      <x:c r="B214" s="9" t="n">
        <x:f>'店长明细'!$C211</x:f>
        <x:v>46232</x:v>
      </x:c>
      <x:c r="C214" s="10" t="n">
        <x:f>'店长明细'!$E211</x:f>
        <x:v>130</x:v>
      </x:c>
      <x:c r="D214" s="10" t="n">
        <x:f>'店长明细'!$D211</x:f>
        <x:v>68</x:v>
      </x:c>
      <x:c r="E214" s="10" t="n">
        <x:f>'店长明细'!$E443</x:f>
        <x:v>1313</x:v>
      </x:c>
      <x:c r="F214" s="10" t="n">
        <x:f>'店长明细'!$D443</x:f>
        <x:v>759</x:v>
      </x:c>
      <x:c r="G214" s="10" t="n">
        <x:f>'店长明细'!$E675</x:f>
        <x:v>1945</x:v>
      </x:c>
      <x:c r="H214" s="10" t="n">
        <x:f>'店长明细'!$D675</x:f>
        <x:v>812</x:v>
      </x:c>
      <x:c r="I214" s="10" t="n">
        <x:f>'店长明细'!$E907</x:f>
        <x:v>632</x:v>
      </x:c>
      <x:c r="J214" s="10" t="n">
        <x:f>'店长明细'!$D907</x:f>
        <x:v>330</x:v>
      </x:c>
      <x:c r="K214" s="10" t="n">
        <x:f>'店长明细'!$E1139</x:f>
        <x:v>1</x:v>
      </x:c>
      <x:c r="L214" s="10" t="n">
        <x:f>'店长明细'!$D1139</x:f>
        <x:v>1</x:v>
      </x:c>
      <x:c r="M214" s="10" t="n">
        <x:f>'店长明细'!$E1371</x:f>
        <x:v>786</x:v>
      </x:c>
      <x:c r="N214" s="10" t="n">
        <x:f>'店长明细'!$D1371</x:f>
        <x:v>506</x:v>
      </x:c>
      <x:c r="O214" s="10" t="n">
        <x:f>'店长明细'!$E1603</x:f>
        <x:v>1233</x:v>
      </x:c>
      <x:c r="P214" s="10" t="n">
        <x:f>'店长明细'!$D1603</x:f>
        <x:v>820</x:v>
      </x:c>
      <x:c r="Q214" s="10" t="n">
        <x:f>'店长明细'!$E1835</x:f>
        <x:v>45</x:v>
      </x:c>
      <x:c r="R214" s="10" t="n">
        <x:f>'店长明细'!$D1835</x:f>
        <x:v>36</x:v>
      </x:c>
      <x:c r="S214" s="10" t="n">
        <x:f>'店长明细'!$E2067</x:f>
        <x:v>13</x:v>
      </x:c>
      <x:c r="T214" s="10" t="n">
        <x:f>'店长明细'!$D2067</x:f>
        <x:v>12</x:v>
      </x:c>
      <x:c r="U214" s="10" t="n">
        <x:f>'店长明细'!$E2299</x:f>
        <x:v>29</x:v>
      </x:c>
      <x:c r="V214" s="10" t="n">
        <x:f>'店长明细'!$D2299</x:f>
        <x:v>21</x:v>
      </x:c>
      <x:c r="W214" s="11" t="n">
        <x:f>'店长明细'!$F211</x:f>
        <x:v>931.84</x:v>
      </x:c>
      <x:c r="X214" s="11" t="n">
        <x:f>'店长明细'!$F443</x:f>
        <x:v>10507.11</x:v>
      </x:c>
      <x:c r="Y214" s="11" t="n">
        <x:f>'店长明细'!$F675</x:f>
        <x:v>11136.86</x:v>
      </x:c>
      <x:c r="Z214" s="11" t="n">
        <x:f>'店长明细'!$F907</x:f>
        <x:v>5369.23</x:v>
      </x:c>
      <x:c r="AA214" s="11" t="n">
        <x:f>'店长明细'!$F1139</x:f>
        <x:v>16.85</x:v>
      </x:c>
      <x:c r="AB214" s="11" t="n">
        <x:f>'店长明细'!$F1371</x:f>
        <x:v>8039.83</x:v>
      </x:c>
      <x:c r="AC214" s="11" t="n">
        <x:f>'店长明细'!$F1603</x:f>
        <x:v>12214.98</x:v>
      </x:c>
      <x:c r="AD214" s="11" t="n">
        <x:f>'店长明细'!$F1835</x:f>
        <x:v>1744.02</x:v>
      </x:c>
      <x:c r="AE214" s="11" t="n">
        <x:f>'店长明细'!$F2067</x:f>
        <x:v>457.45</x:v>
      </x:c>
      <x:c r="AF214" s="11" t="n">
        <x:f>'店长明细'!$F2299</x:f>
        <x:v>325.94</x:v>
      </x:c>
    </x:row>
    <x:row r="215">
      <x:c r="A215" t="str">
        <x:f>TEXT($B215,"mm-dd")</x:f>
        <x:v>07-30</x:v>
      </x:c>
      <x:c r="B215" s="9" t="n">
        <x:f>'店长明细'!$C212</x:f>
        <x:v>46233</x:v>
      </x:c>
      <x:c r="C215" s="10" t="n">
        <x:f>'店长明细'!$E212</x:f>
        <x:v>126</x:v>
      </x:c>
      <x:c r="D215" s="10" t="n">
        <x:f>'店长明细'!$D212</x:f>
        <x:v>70</x:v>
      </x:c>
      <x:c r="E215" s="10" t="n">
        <x:f>'店长明细'!$E444</x:f>
        <x:v>1388</x:v>
      </x:c>
      <x:c r="F215" s="10" t="n">
        <x:f>'店长明细'!$D444</x:f>
        <x:v>790</x:v>
      </x:c>
      <x:c r="G215" s="10" t="n">
        <x:f>'店长明细'!$E676</x:f>
        <x:v>1696</x:v>
      </x:c>
      <x:c r="H215" s="10" t="n">
        <x:f>'店长明细'!$D676</x:f>
        <x:v>696</x:v>
      </x:c>
      <x:c r="I215" s="10" t="n">
        <x:f>'店长明细'!$E908</x:f>
        <x:v>679</x:v>
      </x:c>
      <x:c r="J215" s="10" t="n">
        <x:f>'店长明细'!$D908</x:f>
        <x:v>331</x:v>
      </x:c>
      <x:c r="K215" s="10" t="n">
        <x:f>'店长明细'!$E1140</x:f>
        <x:v>0</x:v>
      </x:c>
      <x:c r="L215" s="10" t="n">
        <x:f>'店长明细'!$D1140</x:f>
        <x:v>0</x:v>
      </x:c>
      <x:c r="M215" s="10" t="n">
        <x:f>'店长明细'!$E1372</x:f>
        <x:v>701</x:v>
      </x:c>
      <x:c r="N215" s="10" t="n">
        <x:f>'店长明细'!$D1372</x:f>
        <x:v>425</x:v>
      </x:c>
      <x:c r="O215" s="10" t="n">
        <x:f>'店长明细'!$E1604</x:f>
        <x:v>1065</x:v>
      </x:c>
      <x:c r="P215" s="10" t="n">
        <x:f>'店长明细'!$D1604</x:f>
        <x:v>671</x:v>
      </x:c>
      <x:c r="Q215" s="10" t="n">
        <x:f>'店长明细'!$E1836</x:f>
        <x:v>80</x:v>
      </x:c>
      <x:c r="R215" s="10" t="n">
        <x:f>'店长明细'!$D1836</x:f>
        <x:v>50</x:v>
      </x:c>
      <x:c r="S215" s="10" t="n">
        <x:f>'店长明细'!$E2068</x:f>
        <x:v>24</x:v>
      </x:c>
      <x:c r="T215" s="10" t="n">
        <x:f>'店长明细'!$D2068</x:f>
        <x:v>21</x:v>
      </x:c>
      <x:c r="U215" s="10" t="n">
        <x:f>'店长明细'!$E2300</x:f>
        <x:v>36</x:v>
      </x:c>
      <x:c r="V215" s="10" t="n">
        <x:f>'店长明细'!$D2300</x:f>
        <x:v>28</x:v>
      </x:c>
      <x:c r="W215" s="11" t="n">
        <x:f>'店长明细'!$F212</x:f>
        <x:v>889.28</x:v>
      </x:c>
      <x:c r="X215" s="11" t="n">
        <x:f>'店长明细'!$F444</x:f>
        <x:v>11118.71</x:v>
      </x:c>
      <x:c r="Y215" s="11" t="n">
        <x:f>'店长明细'!$F676</x:f>
        <x:v>9891.82</x:v>
      </x:c>
      <x:c r="Z215" s="11" t="n">
        <x:f>'店长明细'!$F908</x:f>
        <x:v>5704.84</x:v>
      </x:c>
      <x:c r="AA215" s="11" t="n">
        <x:f>'店长明细'!$F1140</x:f>
        <x:v>0</x:v>
      </x:c>
      <x:c r="AB215" s="11" t="n">
        <x:f>'店长明细'!$F1372</x:f>
        <x:v>6324.72</x:v>
      </x:c>
      <x:c r="AC215" s="11" t="n">
        <x:f>'店长明细'!$F1604</x:f>
        <x:v>9611.88</x:v>
      </x:c>
      <x:c r="AD215" s="11" t="n">
        <x:f>'店长明细'!$F1836</x:f>
        <x:v>2336.91</x:v>
      </x:c>
      <x:c r="AE215" s="11" t="n">
        <x:f>'店长明细'!$F2068</x:f>
        <x:v>1282.4</x:v>
      </x:c>
      <x:c r="AF215" s="11" t="n">
        <x:f>'店长明细'!$F2300</x:f>
        <x:v>459.48</x:v>
      </x:c>
    </x:row>
    <x:row r="216">
      <x:c r="A216" t="str">
        <x:f>TEXT($B216,"mm-dd")</x:f>
        <x:v>07-31</x:v>
      </x:c>
      <x:c r="B216" s="9" t="n">
        <x:f>'店长明细'!$C213</x:f>
        <x:v>46234</x:v>
      </x:c>
      <x:c r="C216" s="10" t="n">
        <x:f>'店长明细'!$E213</x:f>
        <x:v>153</x:v>
      </x:c>
      <x:c r="D216" s="10" t="n">
        <x:f>'店长明细'!$D213</x:f>
        <x:v>77</x:v>
      </x:c>
      <x:c r="E216" s="10" t="n">
        <x:f>'店长明细'!$E445</x:f>
        <x:v>1614</x:v>
      </x:c>
      <x:c r="F216" s="10" t="n">
        <x:f>'店长明细'!$D445</x:f>
        <x:v>881</x:v>
      </x:c>
      <x:c r="G216" s="10" t="n">
        <x:f>'店长明细'!$E677</x:f>
        <x:v>1825</x:v>
      </x:c>
      <x:c r="H216" s="10" t="n">
        <x:f>'店长明细'!$D677</x:f>
        <x:v>752</x:v>
      </x:c>
      <x:c r="I216" s="10" t="n">
        <x:f>'店长明细'!$E909</x:f>
        <x:v>716</x:v>
      </x:c>
      <x:c r="J216" s="10" t="n">
        <x:f>'店长明细'!$D909</x:f>
        <x:v>339</x:v>
      </x:c>
      <x:c r="K216" s="10" t="n">
        <x:f>'店长明细'!$E1141</x:f>
        <x:v>5</x:v>
      </x:c>
      <x:c r="L216" s="10" t="n">
        <x:f>'店长明细'!$D1141</x:f>
        <x:v>4</x:v>
      </x:c>
      <x:c r="M216" s="10" t="n">
        <x:f>'店长明细'!$E1373</x:f>
        <x:v>659</x:v>
      </x:c>
      <x:c r="N216" s="10" t="n">
        <x:f>'店长明细'!$D1373</x:f>
        <x:v>428</x:v>
      </x:c>
      <x:c r="O216" s="10" t="n">
        <x:f>'店长明细'!$E1605</x:f>
        <x:v>989</x:v>
      </x:c>
      <x:c r="P216" s="10" t="n">
        <x:f>'店长明细'!$D1605</x:f>
        <x:v>678</x:v>
      </x:c>
      <x:c r="Q216" s="10" t="n">
        <x:f>'店长明细'!$E1837</x:f>
        <x:v>54</x:v>
      </x:c>
      <x:c r="R216" s="10" t="n">
        <x:f>'店长明细'!$D1837</x:f>
        <x:v>38</x:v>
      </x:c>
      <x:c r="S216" s="10" t="n">
        <x:f>'店长明细'!$E2069</x:f>
        <x:v>16</x:v>
      </x:c>
      <x:c r="T216" s="10" t="n">
        <x:f>'店长明细'!$D2069</x:f>
        <x:v>15</x:v>
      </x:c>
      <x:c r="U216" s="10" t="n">
        <x:f>'店长明细'!$E2301</x:f>
        <x:v>49</x:v>
      </x:c>
      <x:c r="V216" s="10" t="n">
        <x:f>'店长明细'!$D2301</x:f>
        <x:v>36</x:v>
      </x:c>
      <x:c r="W216" s="11" t="n">
        <x:f>'店长明细'!$F213</x:f>
        <x:v>1101.1</x:v>
      </x:c>
      <x:c r="X216" s="11" t="n">
        <x:f>'店长明细'!$F445</x:f>
        <x:v>12659.84</x:v>
      </x:c>
      <x:c r="Y216" s="11" t="n">
        <x:f>'店长明细'!$F677</x:f>
        <x:v>10782.92</x:v>
      </x:c>
      <x:c r="Z216" s="11" t="n">
        <x:f>'店长明细'!$F909</x:f>
        <x:v>5527.3</x:v>
      </x:c>
      <x:c r="AA216" s="11" t="n">
        <x:f>'店长明细'!$F1141</x:f>
        <x:v>57.07</x:v>
      </x:c>
      <x:c r="AB216" s="11" t="n">
        <x:f>'店长明细'!$F1373</x:f>
        <x:v>6289.48</x:v>
      </x:c>
      <x:c r="AC216" s="11" t="n">
        <x:f>'店长明细'!$F1605</x:f>
        <x:v>9247.35</x:v>
      </x:c>
      <x:c r="AD216" s="11" t="n">
        <x:f>'店长明细'!$F1837</x:f>
        <x:v>1737.8</x:v>
      </x:c>
      <x:c r="AE216" s="11" t="n">
        <x:f>'店长明细'!$F2069</x:f>
        <x:v>63.67</x:v>
      </x:c>
      <x:c r="AF216" s="11" t="n">
        <x:f>'店长明细'!$F2301</x:f>
        <x:v>604.37</x:v>
      </x:c>
    </x:row>
    <x:row r="217">
      <x:c r="A217" t="str">
        <x:f>TEXT($B217,"mm-dd")</x:f>
        <x:v>08-01</x:v>
      </x:c>
      <x:c r="B217" s="9" t="n">
        <x:f>'店长明细'!$C214</x:f>
        <x:v>46235</x:v>
      </x:c>
      <x:c r="C217" s="10" t="n">
        <x:f>'店长明细'!$E214</x:f>
        <x:v>107</x:v>
      </x:c>
      <x:c r="D217" s="10" t="n">
        <x:f>'店长明细'!$D214</x:f>
        <x:v>57</x:v>
      </x:c>
      <x:c r="E217" s="10" t="n">
        <x:f>'店长明细'!$E446</x:f>
        <x:v>1524</x:v>
      </x:c>
      <x:c r="F217" s="10" t="n">
        <x:f>'店长明细'!$D446</x:f>
        <x:v>877</x:v>
      </x:c>
      <x:c r="G217" s="10" t="n">
        <x:f>'店长明细'!$E678</x:f>
        <x:v>2090</x:v>
      </x:c>
      <x:c r="H217" s="10" t="n">
        <x:f>'店长明细'!$D678</x:f>
        <x:v>862</x:v>
      </x:c>
      <x:c r="I217" s="10" t="n">
        <x:f>'店长明细'!$E910</x:f>
        <x:v>597</x:v>
      </x:c>
      <x:c r="J217" s="10" t="n">
        <x:f>'店长明细'!$D910</x:f>
        <x:v>290</x:v>
      </x:c>
      <x:c r="K217" s="10" t="n">
        <x:f>'店长明细'!$E1142</x:f>
        <x:v>8</x:v>
      </x:c>
      <x:c r="L217" s="10" t="n">
        <x:f>'店长明细'!$D1142</x:f>
        <x:v>3</x:v>
      </x:c>
      <x:c r="M217" s="10" t="n">
        <x:f>'店长明细'!$E1374</x:f>
        <x:v>775</x:v>
      </x:c>
      <x:c r="N217" s="10" t="n">
        <x:f>'店长明细'!$D1374</x:f>
        <x:v>453</x:v>
      </x:c>
      <x:c r="O217" s="10" t="n">
        <x:f>'店长明细'!$E1606</x:f>
        <x:v>878</x:v>
      </x:c>
      <x:c r="P217" s="10" t="n">
        <x:f>'店长明细'!$D1606</x:f>
        <x:v>620</x:v>
      </x:c>
      <x:c r="Q217" s="10" t="n">
        <x:f>'店长明细'!$E1838</x:f>
        <x:v>64</x:v>
      </x:c>
      <x:c r="R217" s="10" t="n">
        <x:f>'店长明细'!$D1838</x:f>
        <x:v>53</x:v>
      </x:c>
      <x:c r="S217" s="10" t="n">
        <x:f>'店长明细'!$E2070</x:f>
        <x:v>16</x:v>
      </x:c>
      <x:c r="T217" s="10" t="n">
        <x:f>'店长明细'!$D2070</x:f>
        <x:v>16</x:v>
      </x:c>
      <x:c r="U217" s="10" t="n">
        <x:f>'店长明细'!$E2302</x:f>
        <x:v>47</x:v>
      </x:c>
      <x:c r="V217" s="10" t="n">
        <x:f>'店长明细'!$D2302</x:f>
        <x:v>38</x:v>
      </x:c>
      <x:c r="W217" s="11" t="n">
        <x:f>'店长明细'!$F214</x:f>
        <x:v>867.66</x:v>
      </x:c>
      <x:c r="X217" s="11" t="n">
        <x:f>'店长明细'!$F446</x:f>
        <x:v>12393.6</x:v>
      </x:c>
      <x:c r="Y217" s="11" t="n">
        <x:f>'店长明细'!$F678</x:f>
        <x:v>11550.72</x:v>
      </x:c>
      <x:c r="Z217" s="11" t="n">
        <x:f>'店长明细'!$F910</x:f>
        <x:v>4655.69</x:v>
      </x:c>
      <x:c r="AA217" s="11" t="n">
        <x:f>'店长明细'!$F1142</x:f>
        <x:v>66.18</x:v>
      </x:c>
      <x:c r="AB217" s="11" t="n">
        <x:f>'店长明细'!$F1374</x:f>
        <x:v>7548.25</x:v>
      </x:c>
      <x:c r="AC217" s="11" t="n">
        <x:f>'店长明细'!$F1606</x:f>
        <x:v>8457.21</x:v>
      </x:c>
      <x:c r="AD217" s="11" t="n">
        <x:f>'店长明细'!$F1838</x:f>
        <x:v>2324.3</x:v>
      </x:c>
      <x:c r="AE217" s="11" t="n">
        <x:f>'店长明细'!$F2070</x:f>
        <x:v>1189.02</x:v>
      </x:c>
      <x:c r="AF217" s="11" t="n">
        <x:f>'店长明细'!$F2302</x:f>
        <x:v>607.13</x:v>
      </x:c>
    </x:row>
    <x:row r="218">
      <x:c r="A218" t="str">
        <x:f>TEXT($B218,"mm-dd")</x:f>
        <x:v>08-02</x:v>
      </x:c>
      <x:c r="B218" s="9" t="n">
        <x:f>'店长明细'!$C215</x:f>
        <x:v>46236</x:v>
      </x:c>
      <x:c r="C218" s="10" t="n">
        <x:f>'店长明细'!$E215</x:f>
        <x:v>82</x:v>
      </x:c>
      <x:c r="D218" s="10" t="n">
        <x:f>'店长明细'!$D215</x:f>
        <x:v>44</x:v>
      </x:c>
      <x:c r="E218" s="10" t="n">
        <x:f>'店长明细'!$E447</x:f>
        <x:v>1705</x:v>
      </x:c>
      <x:c r="F218" s="10" t="n">
        <x:f>'店长明细'!$D447</x:f>
        <x:v>980</x:v>
      </x:c>
      <x:c r="G218" s="10" t="n">
        <x:f>'店长明细'!$E679</x:f>
        <x:v>1912</x:v>
      </x:c>
      <x:c r="H218" s="10" t="n">
        <x:f>'店长明细'!$D679</x:f>
        <x:v>788</x:v>
      </x:c>
      <x:c r="I218" s="10" t="n">
        <x:f>'店长明细'!$E911</x:f>
        <x:v>636</x:v>
      </x:c>
      <x:c r="J218" s="10" t="n">
        <x:f>'店长明细'!$D911</x:f>
        <x:v>331</x:v>
      </x:c>
      <x:c r="K218" s="10" t="n">
        <x:f>'店长明细'!$E1143</x:f>
        <x:v>2</x:v>
      </x:c>
      <x:c r="L218" s="10" t="n">
        <x:f>'店长明细'!$D1143</x:f>
        <x:v>1</x:v>
      </x:c>
      <x:c r="M218" s="10" t="n">
        <x:f>'店长明细'!$E1375</x:f>
        <x:v>623</x:v>
      </x:c>
      <x:c r="N218" s="10" t="n">
        <x:f>'店长明细'!$D1375</x:f>
        <x:v>409</x:v>
      </x:c>
      <x:c r="O218" s="10" t="n">
        <x:f>'店长明细'!$E1607</x:f>
        <x:v>937</x:v>
      </x:c>
      <x:c r="P218" s="10" t="n">
        <x:f>'店长明细'!$D1607</x:f>
        <x:v>646</x:v>
      </x:c>
      <x:c r="Q218" s="10" t="n">
        <x:f>'店长明细'!$E1839</x:f>
        <x:v>26</x:v>
      </x:c>
      <x:c r="R218" s="10" t="n">
        <x:f>'店长明细'!$D1839</x:f>
        <x:v>22</x:v>
      </x:c>
      <x:c r="S218" s="10" t="n">
        <x:f>'店长明细'!$E2071</x:f>
        <x:v>10</x:v>
      </x:c>
      <x:c r="T218" s="10" t="n">
        <x:f>'店长明细'!$D2071</x:f>
        <x:v>10</x:v>
      </x:c>
      <x:c r="U218" s="10" t="n">
        <x:f>'店长明细'!$E2303</x:f>
        <x:v>28</x:v>
      </x:c>
      <x:c r="V218" s="10" t="n">
        <x:f>'店长明细'!$D2303</x:f>
        <x:v>24</x:v>
      </x:c>
      <x:c r="W218" s="11" t="n">
        <x:f>'店长明细'!$F215</x:f>
        <x:v>609.4</x:v>
      </x:c>
      <x:c r="X218" s="11" t="n">
        <x:f>'店长明细'!$F447</x:f>
        <x:v>13484.42</x:v>
      </x:c>
      <x:c r="Y218" s="11" t="n">
        <x:f>'店长明细'!$F679</x:f>
        <x:v>11098.05</x:v>
      </x:c>
      <x:c r="Z218" s="11" t="n">
        <x:f>'店长明细'!$F911</x:f>
        <x:v>5533.19</x:v>
      </x:c>
      <x:c r="AA218" s="11" t="n">
        <x:f>'店长明细'!$F1143</x:f>
        <x:v>18.75</x:v>
      </x:c>
      <x:c r="AB218" s="11" t="n">
        <x:f>'店长明细'!$F1375</x:f>
        <x:v>6001.67</x:v>
      </x:c>
      <x:c r="AC218" s="11" t="n">
        <x:f>'店长明细'!$F1607</x:f>
        <x:v>8880.41</x:v>
      </x:c>
      <x:c r="AD218" s="11" t="n">
        <x:f>'店长明细'!$F1839</x:f>
        <x:v>882.64</x:v>
      </x:c>
      <x:c r="AE218" s="11" t="n">
        <x:f>'店长明细'!$F2071</x:f>
        <x:v>878.31</x:v>
      </x:c>
      <x:c r="AF218" s="11" t="n">
        <x:f>'店长明细'!$F2303</x:f>
        <x:v>334.62</x:v>
      </x:c>
    </x:row>
    <x:row r="219">
      <x:c r="A219" t="str">
        <x:f>TEXT($B219,"mm-dd")</x:f>
        <x:v>08-03</x:v>
      </x:c>
      <x:c r="B219" s="9" t="n">
        <x:f>'店长明细'!$C216</x:f>
        <x:v>46237</x:v>
      </x:c>
      <x:c r="C219" s="10" t="n">
        <x:f>'店长明细'!$E216</x:f>
        <x:v>65</x:v>
      </x:c>
      <x:c r="D219" s="10" t="n">
        <x:f>'店长明细'!$D216</x:f>
        <x:v>46</x:v>
      </x:c>
      <x:c r="E219" s="10" t="n">
        <x:f>'店长明细'!$E448</x:f>
        <x:v>1723</x:v>
      </x:c>
      <x:c r="F219" s="10" t="n">
        <x:f>'店长明细'!$D448</x:f>
        <x:v>985</x:v>
      </x:c>
      <x:c r="G219" s="10" t="n">
        <x:f>'店长明细'!$E680</x:f>
        <x:v>2325</x:v>
      </x:c>
      <x:c r="H219" s="10" t="n">
        <x:f>'店长明细'!$D680</x:f>
        <x:v>939</x:v>
      </x:c>
      <x:c r="I219" s="10" t="n">
        <x:f>'店长明细'!$E912</x:f>
        <x:v>569</x:v>
      </x:c>
      <x:c r="J219" s="10" t="n">
        <x:f>'店长明细'!$D912</x:f>
        <x:v>324</x:v>
      </x:c>
      <x:c r="K219" s="10" t="n">
        <x:f>'店长明细'!$E1144</x:f>
        <x:v>5</x:v>
      </x:c>
      <x:c r="L219" s="10" t="n">
        <x:f>'店长明细'!$D1144</x:f>
        <x:v>4</x:v>
      </x:c>
      <x:c r="M219" s="10" t="n">
        <x:f>'店长明细'!$E1376</x:f>
        <x:v>871</x:v>
      </x:c>
      <x:c r="N219" s="10" t="n">
        <x:f>'店长明细'!$D1376</x:f>
        <x:v>540</x:v>
      </x:c>
      <x:c r="O219" s="10" t="n">
        <x:f>'店长明细'!$E1608</x:f>
        <x:v>1014</x:v>
      </x:c>
      <x:c r="P219" s="10" t="n">
        <x:f>'店长明细'!$D1608</x:f>
        <x:v>690</x:v>
      </x:c>
      <x:c r="Q219" s="10" t="n">
        <x:f>'店长明细'!$E1840</x:f>
        <x:v>20</x:v>
      </x:c>
      <x:c r="R219" s="10" t="n">
        <x:f>'店长明细'!$D1840</x:f>
        <x:v>13</x:v>
      </x:c>
      <x:c r="S219" s="10" t="n">
        <x:f>'店长明细'!$E2072</x:f>
        <x:v>16</x:v>
      </x:c>
      <x:c r="T219" s="10" t="n">
        <x:f>'店长明细'!$D2072</x:f>
        <x:v>14</x:v>
      </x:c>
      <x:c r="U219" s="10" t="n">
        <x:f>'店长明细'!$E2304</x:f>
        <x:v>71</x:v>
      </x:c>
      <x:c r="V219" s="10" t="n">
        <x:f>'店长明细'!$D2304</x:f>
        <x:v>55</x:v>
      </x:c>
      <x:c r="W219" s="11" t="n">
        <x:f>'店长明细'!$F216</x:f>
        <x:v>618.15</x:v>
      </x:c>
      <x:c r="X219" s="11" t="n">
        <x:f>'店长明细'!$F448</x:f>
        <x:v>14199.12</x:v>
      </x:c>
      <x:c r="Y219" s="11" t="n">
        <x:f>'店长明细'!$F680</x:f>
        <x:v>13113.81</x:v>
      </x:c>
      <x:c r="Z219" s="11" t="n">
        <x:f>'店长明细'!$F912</x:f>
        <x:v>5118.25</x:v>
      </x:c>
      <x:c r="AA219" s="11" t="n">
        <x:f>'店长明细'!$F1144</x:f>
        <x:v>124.63</x:v>
      </x:c>
      <x:c r="AB219" s="11" t="n">
        <x:f>'店长明细'!$F1376</x:f>
        <x:v>7824.23</x:v>
      </x:c>
      <x:c r="AC219" s="11" t="n">
        <x:f>'店长明细'!$F1608</x:f>
        <x:v>9591.53</x:v>
      </x:c>
      <x:c r="AD219" s="11" t="n">
        <x:f>'店长明细'!$F1840</x:f>
        <x:v>716.37</x:v>
      </x:c>
      <x:c r="AE219" s="11" t="n">
        <x:f>'店长明细'!$F2072</x:f>
        <x:v>1269.92</x:v>
      </x:c>
      <x:c r="AF219" s="11" t="n">
        <x:f>'店长明细'!$F2304</x:f>
        <x:v>833.93</x:v>
      </x:c>
    </x:row>
    <x:row r="220">
      <x:c r="A220" t="str">
        <x:f>TEXT($B220,"mm-dd")</x:f>
        <x:v>08-04</x:v>
      </x:c>
      <x:c r="B220" s="9" t="n">
        <x:f>'店长明细'!$C217</x:f>
        <x:v>46238</x:v>
      </x:c>
      <x:c r="C220" s="10" t="n">
        <x:f>'店长明细'!$E217</x:f>
        <x:v>165</x:v>
      </x:c>
      <x:c r="D220" s="10" t="n">
        <x:f>'店长明细'!$D217</x:f>
        <x:v>82</x:v>
      </x:c>
      <x:c r="E220" s="10" t="n">
        <x:f>'店长明细'!$E449</x:f>
        <x:v>1338</x:v>
      </x:c>
      <x:c r="F220" s="10" t="n">
        <x:f>'店长明细'!$D449</x:f>
        <x:v>724</x:v>
      </x:c>
      <x:c r="G220" s="10" t="n">
        <x:f>'店长明细'!$E681</x:f>
        <x:v>1812</x:v>
      </x:c>
      <x:c r="H220" s="10" t="n">
        <x:f>'店长明细'!$D681</x:f>
        <x:v>727</x:v>
      </x:c>
      <x:c r="I220" s="10" t="n">
        <x:f>'店长明细'!$E913</x:f>
        <x:v>671</x:v>
      </x:c>
      <x:c r="J220" s="10" t="n">
        <x:f>'店长明细'!$D913</x:f>
        <x:v>312</x:v>
      </x:c>
      <x:c r="K220" s="10" t="n">
        <x:f>'店长明细'!$E1145</x:f>
        <x:v>8</x:v>
      </x:c>
      <x:c r="L220" s="10" t="n">
        <x:f>'店长明细'!$D1145</x:f>
        <x:v>4</x:v>
      </x:c>
      <x:c r="M220" s="10" t="n">
        <x:f>'店长明细'!$E1377</x:f>
        <x:v>803</x:v>
      </x:c>
      <x:c r="N220" s="10" t="n">
        <x:f>'店长明细'!$D1377</x:f>
        <x:v>455</x:v>
      </x:c>
      <x:c r="O220" s="10" t="n">
        <x:f>'店长明细'!$E1609</x:f>
        <x:v>888</x:v>
      </x:c>
      <x:c r="P220" s="10" t="n">
        <x:f>'店长明细'!$D1609</x:f>
        <x:v>606</x:v>
      </x:c>
      <x:c r="Q220" s="10" t="n">
        <x:f>'店长明细'!$E1841</x:f>
        <x:v>75</x:v>
      </x:c>
      <x:c r="R220" s="10" t="n">
        <x:f>'店长明细'!$D1841</x:f>
        <x:v>58</x:v>
      </x:c>
      <x:c r="S220" s="10" t="n">
        <x:f>'店长明细'!$E2073</x:f>
        <x:v>38</x:v>
      </x:c>
      <x:c r="T220" s="10" t="n">
        <x:f>'店长明细'!$D2073</x:f>
        <x:v>33</x:v>
      </x:c>
      <x:c r="U220" s="10" t="n">
        <x:f>'店长明细'!$E2305</x:f>
        <x:v>56</x:v>
      </x:c>
      <x:c r="V220" s="10" t="n">
        <x:f>'店长明细'!$D2305</x:f>
        <x:v>42</x:v>
      </x:c>
      <x:c r="W220" s="11" t="n">
        <x:f>'店长明细'!$F217</x:f>
        <x:v>1090.87</x:v>
      </x:c>
      <x:c r="X220" s="11" t="n">
        <x:f>'店长明细'!$F449</x:f>
        <x:v>10248.01</x:v>
      </x:c>
      <x:c r="Y220" s="11" t="n">
        <x:f>'店长明细'!$F681</x:f>
        <x:v>10448.78</x:v>
      </x:c>
      <x:c r="Z220" s="11" t="n">
        <x:f>'店长明细'!$F913</x:f>
        <x:v>5267.01</x:v>
      </x:c>
      <x:c r="AA220" s="11" t="n">
        <x:f>'店长明细'!$F1145</x:f>
        <x:v>53.98</x:v>
      </x:c>
      <x:c r="AB220" s="11" t="n">
        <x:f>'店长明细'!$F1377</x:f>
        <x:v>8566.35</x:v>
      </x:c>
      <x:c r="AC220" s="11" t="n">
        <x:f>'店长明细'!$F1609</x:f>
        <x:v>8416.82</x:v>
      </x:c>
      <x:c r="AD220" s="11" t="n">
        <x:f>'店长明细'!$F1841</x:f>
        <x:v>2712.6</x:v>
      </x:c>
      <x:c r="AE220" s="11" t="n">
        <x:f>'店长明细'!$F2073</x:f>
        <x:v>2570.96</x:v>
      </x:c>
      <x:c r="AF220" s="11" t="n">
        <x:f>'店长明细'!$F2305</x:f>
        <x:v>670.97</x:v>
      </x:c>
    </x:row>
    <x:row r="221">
      <x:c r="A221" t="str">
        <x:f>TEXT($B221,"mm-dd")</x:f>
        <x:v>08-05</x:v>
      </x:c>
      <x:c r="B221" s="9" t="n">
        <x:f>'店长明细'!$C218</x:f>
        <x:v>46239</x:v>
      </x:c>
      <x:c r="C221" s="10" t="n">
        <x:f>'店长明细'!$E218</x:f>
        <x:v>86</x:v>
      </x:c>
      <x:c r="D221" s="10" t="n">
        <x:f>'店长明细'!$D218</x:f>
        <x:v>54</x:v>
      </x:c>
      <x:c r="E221" s="10" t="n">
        <x:f>'店长明细'!$E450</x:f>
        <x:v>1604</x:v>
      </x:c>
      <x:c r="F221" s="10" t="n">
        <x:f>'店长明细'!$D450</x:f>
        <x:v>926</x:v>
      </x:c>
      <x:c r="G221" s="10" t="n">
        <x:f>'店长明细'!$E682</x:f>
        <x:v>1857</x:v>
      </x:c>
      <x:c r="H221" s="10" t="n">
        <x:f>'店长明细'!$D682</x:f>
        <x:v>747</x:v>
      </x:c>
      <x:c r="I221" s="10" t="n">
        <x:f>'店长明细'!$E914</x:f>
        <x:v>689</x:v>
      </x:c>
      <x:c r="J221" s="10" t="n">
        <x:f>'店长明细'!$D914</x:f>
        <x:v>335</x:v>
      </x:c>
      <x:c r="K221" s="10" t="n">
        <x:f>'店长明细'!$E1146</x:f>
        <x:v>4</x:v>
      </x:c>
      <x:c r="L221" s="10" t="n">
        <x:f>'店长明细'!$D1146</x:f>
        <x:v>2</x:v>
      </x:c>
      <x:c r="M221" s="10" t="n">
        <x:f>'店长明细'!$E1378</x:f>
        <x:v>777</x:v>
      </x:c>
      <x:c r="N221" s="10" t="n">
        <x:f>'店长明细'!$D1378</x:f>
        <x:v>499</x:v>
      </x:c>
      <x:c r="O221" s="10" t="n">
        <x:f>'店长明细'!$E1610</x:f>
        <x:v>778</x:v>
      </x:c>
      <x:c r="P221" s="10" t="n">
        <x:f>'店长明细'!$D1610</x:f>
        <x:v>529</x:v>
      </x:c>
      <x:c r="Q221" s="10" t="n">
        <x:f>'店长明细'!$E1842</x:f>
        <x:v>30</x:v>
      </x:c>
      <x:c r="R221" s="10" t="n">
        <x:f>'店长明细'!$D1842</x:f>
        <x:v>25</x:v>
      </x:c>
      <x:c r="S221" s="10" t="n">
        <x:f>'店长明细'!$E2074</x:f>
        <x:v>24</x:v>
      </x:c>
      <x:c r="T221" s="10" t="n">
        <x:f>'店长明细'!$D2074</x:f>
        <x:v>19</x:v>
      </x:c>
      <x:c r="U221" s="10" t="n">
        <x:f>'店长明细'!$E2306</x:f>
        <x:v>62</x:v>
      </x:c>
      <x:c r="V221" s="10" t="n">
        <x:f>'店长明细'!$D2306</x:f>
        <x:v>45</x:v>
      </x:c>
      <x:c r="W221" s="11" t="n">
        <x:f>'店长明细'!$F218</x:f>
        <x:v>678.64</x:v>
      </x:c>
      <x:c r="X221" s="11" t="n">
        <x:f>'店长明细'!$F450</x:f>
        <x:v>13032.46</x:v>
      </x:c>
      <x:c r="Y221" s="11" t="n">
        <x:f>'店长明细'!$F682</x:f>
        <x:v>11327.89</x:v>
      </x:c>
      <x:c r="Z221" s="11" t="n">
        <x:f>'店长明细'!$F914</x:f>
        <x:v>5390.93</x:v>
      </x:c>
      <x:c r="AA221" s="11" t="n">
        <x:f>'店长明细'!$F1146</x:f>
        <x:v>33.03</x:v>
      </x:c>
      <x:c r="AB221" s="11" t="n">
        <x:f>'店长明细'!$F1378</x:f>
        <x:v>7330.92</x:v>
      </x:c>
      <x:c r="AC221" s="11" t="n">
        <x:f>'店长明细'!$F1610</x:f>
        <x:v>7868.44</x:v>
      </x:c>
      <x:c r="AD221" s="11" t="n">
        <x:f>'店长明细'!$F1842</x:f>
        <x:v>1170.78</x:v>
      </x:c>
      <x:c r="AE221" s="11" t="n">
        <x:f>'店长明细'!$F2074</x:f>
        <x:v>1545.42</x:v>
      </x:c>
      <x:c r="AF221" s="11" t="n">
        <x:f>'店长明细'!$F2306</x:f>
        <x:v>825.87</x:v>
      </x:c>
    </x:row>
    <x:row r="222">
      <x:c r="A222" t="str">
        <x:f>TEXT($B222,"mm-dd")</x:f>
        <x:v>08-06</x:v>
      </x:c>
      <x:c r="B222" s="9" t="n">
        <x:f>'店长明细'!$C219</x:f>
        <x:v>46240</x:v>
      </x:c>
      <x:c r="C222" s="10" t="n">
        <x:f>'店长明细'!$E219</x:f>
        <x:v>108</x:v>
      </x:c>
      <x:c r="D222" s="10" t="n">
        <x:f>'店长明细'!$D219</x:f>
        <x:v>57</x:v>
      </x:c>
      <x:c r="E222" s="10" t="n">
        <x:f>'店长明细'!$E451</x:f>
        <x:v>1405</x:v>
      </x:c>
      <x:c r="F222" s="10" t="n">
        <x:f>'店长明细'!$D451</x:f>
        <x:v>820</x:v>
      </x:c>
      <x:c r="G222" s="10" t="n">
        <x:f>'店长明细'!$E683</x:f>
        <x:v>2034</x:v>
      </x:c>
      <x:c r="H222" s="10" t="n">
        <x:f>'店长明细'!$D683</x:f>
        <x:v>801</x:v>
      </x:c>
      <x:c r="I222" s="10" t="n">
        <x:f>'店长明细'!$E915</x:f>
        <x:v>754</x:v>
      </x:c>
      <x:c r="J222" s="10" t="n">
        <x:f>'店长明细'!$D915</x:f>
        <x:v>347</x:v>
      </x:c>
      <x:c r="K222" s="10" t="n">
        <x:f>'店长明细'!$E1147</x:f>
        <x:v>9</x:v>
      </x:c>
      <x:c r="L222" s="10" t="n">
        <x:f>'店长明细'!$D1147</x:f>
        <x:v>4</x:v>
      </x:c>
      <x:c r="M222" s="10" t="n">
        <x:f>'店长明细'!$E1379</x:f>
        <x:v>822</x:v>
      </x:c>
      <x:c r="N222" s="10" t="n">
        <x:f>'店长明细'!$D1379</x:f>
        <x:v>523</x:v>
      </x:c>
      <x:c r="O222" s="10" t="n">
        <x:f>'店长明细'!$E1611</x:f>
        <x:v>945</x:v>
      </x:c>
      <x:c r="P222" s="10" t="n">
        <x:f>'店长明细'!$D1611</x:f>
        <x:v>622</x:v>
      </x:c>
      <x:c r="Q222" s="10" t="n">
        <x:f>'店长明细'!$E1843</x:f>
        <x:v>34</x:v>
      </x:c>
      <x:c r="R222" s="10" t="n">
        <x:f>'店长明细'!$D1843</x:f>
        <x:v>29</x:v>
      </x:c>
      <x:c r="S222" s="10" t="n">
        <x:f>'店长明细'!$E2075</x:f>
        <x:v>23</x:v>
      </x:c>
      <x:c r="T222" s="10" t="n">
        <x:f>'店长明细'!$D2075</x:f>
        <x:v>17</x:v>
      </x:c>
      <x:c r="U222" s="10" t="n">
        <x:f>'店长明细'!$E2307</x:f>
        <x:v>51</x:v>
      </x:c>
      <x:c r="V222" s="10" t="n">
        <x:f>'店长明细'!$D2307</x:f>
        <x:v>44</x:v>
      </x:c>
      <x:c r="W222" s="11" t="n">
        <x:f>'店长明细'!$F219</x:f>
        <x:v>801.82</x:v>
      </x:c>
      <x:c r="X222" s="11" t="n">
        <x:f>'店长明细'!$F451</x:f>
        <x:v>11450.86</x:v>
      </x:c>
      <x:c r="Y222" s="11" t="n">
        <x:f>'店长明细'!$F683</x:f>
        <x:v>12015.32</x:v>
      </x:c>
      <x:c r="Z222" s="11" t="n">
        <x:f>'店长明细'!$F915</x:f>
        <x:v>5977.79</x:v>
      </x:c>
      <x:c r="AA222" s="11" t="n">
        <x:f>'店长明细'!$F1147</x:f>
        <x:v>79.53</x:v>
      </x:c>
      <x:c r="AB222" s="11" t="n">
        <x:f>'店长明细'!$F1379</x:f>
        <x:v>7967.37</x:v>
      </x:c>
      <x:c r="AC222" s="11" t="n">
        <x:f>'店长明细'!$F1611</x:f>
        <x:v>9101.37</x:v>
      </x:c>
      <x:c r="AD222" s="11" t="n">
        <x:f>'店长明细'!$F1843</x:f>
        <x:v>1650.42</x:v>
      </x:c>
      <x:c r="AE222" s="11" t="n">
        <x:f>'店长明细'!$F2075</x:f>
        <x:v>1589.49</x:v>
      </x:c>
      <x:c r="AF222" s="11" t="n">
        <x:f>'店长明细'!$F2307</x:f>
        <x:v>651.84</x:v>
      </x:c>
    </x:row>
    <x:row r="223">
      <x:c r="A223" t="str">
        <x:f>TEXT($B223,"mm-dd")</x:f>
        <x:v>08-07</x:v>
      </x:c>
      <x:c r="B223" s="9" t="n">
        <x:f>'店长明细'!$C220</x:f>
        <x:v>46241</x:v>
      </x:c>
      <x:c r="C223" s="10" t="n">
        <x:f>'店长明细'!$E220</x:f>
        <x:v>77</x:v>
      </x:c>
      <x:c r="D223" s="10" t="n">
        <x:f>'店长明细'!$D220</x:f>
        <x:v>47</x:v>
      </x:c>
      <x:c r="E223" s="10" t="n">
        <x:f>'店长明细'!$E452</x:f>
        <x:v>1675</x:v>
      </x:c>
      <x:c r="F223" s="10" t="n">
        <x:f>'店长明细'!$D452</x:f>
        <x:v>952</x:v>
      </x:c>
      <x:c r="G223" s="10" t="n">
        <x:f>'店长明细'!$E684</x:f>
        <x:v>2246</x:v>
      </x:c>
      <x:c r="H223" s="10" t="n">
        <x:f>'店长明细'!$D684</x:f>
        <x:v>881</x:v>
      </x:c>
      <x:c r="I223" s="10" t="n">
        <x:f>'店长明细'!$E916</x:f>
        <x:v>906</x:v>
      </x:c>
      <x:c r="J223" s="10" t="n">
        <x:f>'店长明细'!$D916</x:f>
        <x:v>430</x:v>
      </x:c>
      <x:c r="K223" s="10" t="n">
        <x:f>'店长明细'!$E1148</x:f>
        <x:v>1</x:v>
      </x:c>
      <x:c r="L223" s="10" t="n">
        <x:f>'店长明细'!$D1148</x:f>
        <x:v>1</x:v>
      </x:c>
      <x:c r="M223" s="10" t="n">
        <x:f>'店长明细'!$E1380</x:f>
        <x:v>738</x:v>
      </x:c>
      <x:c r="N223" s="10" t="n">
        <x:f>'店长明细'!$D1380</x:f>
        <x:v>523</x:v>
      </x:c>
      <x:c r="O223" s="10" t="n">
        <x:f>'店长明细'!$E1612</x:f>
        <x:v>1038</x:v>
      </x:c>
      <x:c r="P223" s="10" t="n">
        <x:f>'店长明细'!$D1612</x:f>
        <x:v>730</x:v>
      </x:c>
      <x:c r="Q223" s="10" t="n">
        <x:f>'店长明细'!$E1844</x:f>
        <x:v>24</x:v>
      </x:c>
      <x:c r="R223" s="10" t="n">
        <x:f>'店长明细'!$D1844</x:f>
        <x:v>20</x:v>
      </x:c>
      <x:c r="S223" s="10" t="n">
        <x:f>'店长明细'!$E2076</x:f>
        <x:v>17</x:v>
      </x:c>
      <x:c r="T223" s="10" t="n">
        <x:f>'店长明细'!$D2076</x:f>
        <x:v>15</x:v>
      </x:c>
      <x:c r="U223" s="10" t="n">
        <x:f>'店长明细'!$E2308</x:f>
        <x:v>108</x:v>
      </x:c>
      <x:c r="V223" s="10" t="n">
        <x:f>'店长明细'!$D2308</x:f>
        <x:v>80</x:v>
      </x:c>
      <x:c r="W223" s="11" t="n">
        <x:f>'店长明细'!$F220</x:f>
        <x:v>549.4</x:v>
      </x:c>
      <x:c r="X223" s="11" t="n">
        <x:f>'店长明细'!$F452</x:f>
        <x:v>13686.52</x:v>
      </x:c>
      <x:c r="Y223" s="11" t="n">
        <x:f>'店长明细'!$F684</x:f>
        <x:v>12759.24</x:v>
      </x:c>
      <x:c r="Z223" s="11" t="n">
        <x:f>'店长明细'!$F916</x:f>
        <x:v>7213.07</x:v>
      </x:c>
      <x:c r="AA223" s="11" t="n">
        <x:f>'店长明细'!$F1148</x:f>
        <x:v>12.26</x:v>
      </x:c>
      <x:c r="AB223" s="11" t="n">
        <x:f>'店长明细'!$F1380</x:f>
        <x:v>6918.67</x:v>
      </x:c>
      <x:c r="AC223" s="11" t="n">
        <x:f>'店长明细'!$F1612</x:f>
        <x:v>9863.77</x:v>
      </x:c>
      <x:c r="AD223" s="11" t="n">
        <x:f>'店长明细'!$F1844</x:f>
        <x:v>958.49</x:v>
      </x:c>
      <x:c r="AE223" s="11" t="n">
        <x:f>'店长明细'!$F2076</x:f>
        <x:v>984.08</x:v>
      </x:c>
      <x:c r="AF223" s="11" t="n">
        <x:f>'店长明细'!$F2308</x:f>
        <x:v>1275.39</x:v>
      </x:c>
    </x:row>
    <x:row r="224">
      <x:c r="A224" t="str">
        <x:f>TEXT($B224,"mm-dd")</x:f>
        <x:v>08-08</x:v>
      </x:c>
      <x:c r="B224" s="9" t="n">
        <x:f>'店长明细'!$C221</x:f>
        <x:v>46242</x:v>
      </x:c>
      <x:c r="C224" s="10" t="n">
        <x:f>'店长明细'!$E221</x:f>
        <x:v>98</x:v>
      </x:c>
      <x:c r="D224" s="10" t="n">
        <x:f>'店长明细'!$D221</x:f>
        <x:v>60</x:v>
      </x:c>
      <x:c r="E224" s="10" t="n">
        <x:f>'店长明细'!$E453</x:f>
        <x:v>1839</x:v>
      </x:c>
      <x:c r="F224" s="10" t="n">
        <x:f>'店长明细'!$D453</x:f>
        <x:v>1075</x:v>
      </x:c>
      <x:c r="G224" s="10" t="n">
        <x:f>'店长明细'!$E685</x:f>
        <x:v>2354</x:v>
      </x:c>
      <x:c r="H224" s="10" t="n">
        <x:f>'店长明细'!$D685</x:f>
        <x:v>923</x:v>
      </x:c>
      <x:c r="I224" s="10" t="n">
        <x:f>'店长明细'!$E917</x:f>
        <x:v>747</x:v>
      </x:c>
      <x:c r="J224" s="10" t="n">
        <x:f>'店长明细'!$D917</x:f>
        <x:v>347</x:v>
      </x:c>
      <x:c r="K224" s="10" t="n">
        <x:f>'店长明细'!$E1149</x:f>
        <x:v>1</x:v>
      </x:c>
      <x:c r="L224" s="10" t="n">
        <x:f>'店长明细'!$D1149</x:f>
        <x:v>1</x:v>
      </x:c>
      <x:c r="M224" s="10" t="n">
        <x:f>'店长明细'!$E1381</x:f>
        <x:v>1106</x:v>
      </x:c>
      <x:c r="N224" s="10" t="n">
        <x:f>'店长明细'!$D1381</x:f>
        <x:v>683</x:v>
      </x:c>
      <x:c r="O224" s="10" t="n">
        <x:f>'店长明细'!$E1613</x:f>
        <x:v>1191</x:v>
      </x:c>
      <x:c r="P224" s="10" t="n">
        <x:f>'店长明细'!$D1613</x:f>
        <x:v>795</x:v>
      </x:c>
      <x:c r="Q224" s="10" t="n">
        <x:f>'店长明细'!$E1845</x:f>
        <x:v>46</x:v>
      </x:c>
      <x:c r="R224" s="10" t="n">
        <x:f>'店长明细'!$D1845</x:f>
        <x:v>31</x:v>
      </x:c>
      <x:c r="S224" s="10" t="n">
        <x:f>'店长明细'!$E2077</x:f>
        <x:v>25</x:v>
      </x:c>
      <x:c r="T224" s="10" t="n">
        <x:f>'店长明细'!$D2077</x:f>
        <x:v>23</x:v>
      </x:c>
      <x:c r="U224" s="10" t="n">
        <x:f>'店长明细'!$E2309</x:f>
        <x:v>80</x:v>
      </x:c>
      <x:c r="V224" s="10" t="n">
        <x:f>'店长明细'!$D2309</x:f>
        <x:v>63</x:v>
      </x:c>
      <x:c r="W224" s="11" t="n">
        <x:f>'店长明细'!$F221</x:f>
        <x:v>845.47</x:v>
      </x:c>
      <x:c r="X224" s="11" t="n">
        <x:f>'店长明细'!$F453</x:f>
        <x:v>15175.11</x:v>
      </x:c>
      <x:c r="Y224" s="11" t="n">
        <x:f>'店长明细'!$F685</x:f>
        <x:v>14101.97</x:v>
      </x:c>
      <x:c r="Z224" s="11" t="n">
        <x:f>'店长明细'!$F917</x:f>
        <x:v>6498.53</x:v>
      </x:c>
      <x:c r="AA224" s="11" t="n">
        <x:f>'店长明细'!$F1149</x:f>
        <x:v>17.34</x:v>
      </x:c>
      <x:c r="AB224" s="11" t="n">
        <x:f>'店长明细'!$F1381</x:f>
        <x:v>10597.85</x:v>
      </x:c>
      <x:c r="AC224" s="11" t="n">
        <x:f>'店长明细'!$F1613</x:f>
        <x:v>11962.44</x:v>
      </x:c>
      <x:c r="AD224" s="11" t="n">
        <x:f>'店长明细'!$F1845</x:f>
        <x:v>1593.2</x:v>
      </x:c>
      <x:c r="AE224" s="11" t="n">
        <x:f>'店长明细'!$F2077</x:f>
        <x:v>1720.61</x:v>
      </x:c>
      <x:c r="AF224" s="11" t="n">
        <x:f>'店长明细'!$F2309</x:f>
        <x:v>1021.36</x:v>
      </x:c>
    </x:row>
    <x:row r="225">
      <x:c r="A225" t="str">
        <x:f>TEXT($B225,"mm-dd")</x:f>
        <x:v>08-09</x:v>
      </x:c>
      <x:c r="B225" s="9" t="n">
        <x:f>'店长明细'!$C222</x:f>
        <x:v>46243</x:v>
      </x:c>
      <x:c r="C225" s="10" t="n">
        <x:f>'店长明细'!$E222</x:f>
        <x:v>88</x:v>
      </x:c>
      <x:c r="D225" s="10" t="n">
        <x:f>'店长明细'!$D222</x:f>
        <x:v>50</x:v>
      </x:c>
      <x:c r="E225" s="10" t="n">
        <x:f>'店长明细'!$E454</x:f>
        <x:v>1705</x:v>
      </x:c>
      <x:c r="F225" s="10" t="n">
        <x:f>'店长明细'!$D454</x:f>
        <x:v>1080</x:v>
      </x:c>
      <x:c r="G225" s="10" t="n">
        <x:f>'店长明细'!$E686</x:f>
        <x:v>1449</x:v>
      </x:c>
      <x:c r="H225" s="10" t="n">
        <x:f>'店长明细'!$D686</x:f>
        <x:v>574</x:v>
      </x:c>
      <x:c r="I225" s="10" t="n">
        <x:f>'店长明细'!$E918</x:f>
        <x:v>218</x:v>
      </x:c>
      <x:c r="J225" s="10" t="n">
        <x:f>'店长明细'!$D918</x:f>
        <x:v>98</x:v>
      </x:c>
      <x:c r="K225" s="10" t="n">
        <x:f>'店长明细'!$E1150</x:f>
        <x:v>1</x:v>
      </x:c>
      <x:c r="L225" s="10" t="n">
        <x:f>'店长明细'!$D1150</x:f>
        <x:v>1</x:v>
      </x:c>
      <x:c r="M225" s="10" t="n">
        <x:f>'店长明细'!$E1382</x:f>
        <x:v>763</x:v>
      </x:c>
      <x:c r="N225" s="10" t="n">
        <x:f>'店长明细'!$D1382</x:f>
        <x:v>504</x:v>
      </x:c>
      <x:c r="O225" s="10" t="n">
        <x:f>'店长明细'!$E1614</x:f>
        <x:v>749</x:v>
      </x:c>
      <x:c r="P225" s="10" t="n">
        <x:f>'店长明细'!$D1614</x:f>
        <x:v>450</x:v>
      </x:c>
      <x:c r="Q225" s="10" t="n">
        <x:f>'店长明细'!$E1846</x:f>
        <x:v>28</x:v>
      </x:c>
      <x:c r="R225" s="10" t="n">
        <x:f>'店长明细'!$D1846</x:f>
        <x:v>24</x:v>
      </x:c>
      <x:c r="S225" s="10" t="n">
        <x:f>'店长明细'!$E2078</x:f>
        <x:v>16</x:v>
      </x:c>
      <x:c r="T225" s="10" t="n">
        <x:f>'店长明细'!$D2078</x:f>
        <x:v>11</x:v>
      </x:c>
      <x:c r="U225" s="10" t="n">
        <x:f>'店长明细'!$E2310</x:f>
        <x:v>36</x:v>
      </x:c>
      <x:c r="V225" s="10" t="n">
        <x:f>'店长明细'!$D2310</x:f>
        <x:v>34</x:v>
      </x:c>
      <x:c r="W225" s="11" t="n">
        <x:f>'店长明细'!$F222</x:f>
        <x:v>726.47</x:v>
      </x:c>
      <x:c r="X225" s="11" t="n">
        <x:f>'店长明细'!$F454</x:f>
        <x:v>15117.88</x:v>
      </x:c>
      <x:c r="Y225" s="11" t="n">
        <x:f>'店长明细'!$F686</x:f>
        <x:v>8066.91</x:v>
      </x:c>
      <x:c r="Z225" s="11" t="n">
        <x:f>'店长明细'!$F918</x:f>
        <x:v>1686.72</x:v>
      </x:c>
      <x:c r="AA225" s="11" t="n">
        <x:f>'店长明细'!$F1150</x:f>
        <x:v>9.15</x:v>
      </x:c>
      <x:c r="AB225" s="11" t="n">
        <x:f>'店长明细'!$F1382</x:f>
        <x:v>7557.06</x:v>
      </x:c>
      <x:c r="AC225" s="11" t="n">
        <x:f>'店长明细'!$F1614</x:f>
        <x:v>5763.74</x:v>
      </x:c>
      <x:c r="AD225" s="11" t="n">
        <x:f>'店长明细'!$F1846</x:f>
        <x:v>1027.29</x:v>
      </x:c>
      <x:c r="AE225" s="11" t="n">
        <x:f>'店长明细'!$F2078</x:f>
        <x:v>949.36</x:v>
      </x:c>
      <x:c r="AF225" s="11" t="n">
        <x:f>'店长明细'!$F2310</x:f>
        <x:v>406.6</x:v>
      </x:c>
    </x:row>
    <x:row r="226">
      <x:c r="A226" t="str">
        <x:f>TEXT($B226,"mm-dd")</x:f>
        <x:v>08-10</x:v>
      </x:c>
      <x:c r="B226" s="9" t="n">
        <x:f>'店长明细'!$C223</x:f>
        <x:v>46244</x:v>
      </x:c>
      <x:c r="C226" s="10" t="n">
        <x:f>'店长明细'!$E223</x:f>
        <x:v>435</x:v>
      </x:c>
      <x:c r="D226" s="10" t="n">
        <x:f>'店长明细'!$D223</x:f>
        <x:v>374</x:v>
      </x:c>
      <x:c r="E226" s="10" t="n">
        <x:f>'店长明细'!$E455</x:f>
        <x:v>1376</x:v>
      </x:c>
      <x:c r="F226" s="10" t="n">
        <x:f>'店长明细'!$D455</x:f>
        <x:v>828</x:v>
      </x:c>
      <x:c r="G226" s="10" t="n">
        <x:f>'店长明细'!$E687</x:f>
        <x:v>1524</x:v>
      </x:c>
      <x:c r="H226" s="10" t="n">
        <x:f>'店长明细'!$D687</x:f>
        <x:v>619</x:v>
      </x:c>
      <x:c r="I226" s="10" t="n">
        <x:f>'店长明细'!$E919</x:f>
        <x:v>1309</x:v>
      </x:c>
      <x:c r="J226" s="10" t="n">
        <x:f>'店长明细'!$D919</x:f>
        <x:v>621</x:v>
      </x:c>
      <x:c r="K226" s="10" t="n">
        <x:f>'店长明细'!$E1151</x:f>
        <x:v>0</x:v>
      </x:c>
      <x:c r="L226" s="10" t="n">
        <x:f>'店长明细'!$D1151</x:f>
        <x:v>0</x:v>
      </x:c>
      <x:c r="M226" s="10" t="n">
        <x:f>'店长明细'!$E1383</x:f>
        <x:v>1341</x:v>
      </x:c>
      <x:c r="N226" s="10" t="n">
        <x:f>'店长明细'!$D1383</x:f>
        <x:v>899</x:v>
      </x:c>
      <x:c r="O226" s="10" t="n">
        <x:f>'店长明细'!$E1615</x:f>
        <x:v>1293</x:v>
      </x:c>
      <x:c r="P226" s="10" t="n">
        <x:f>'店长明细'!$D1615</x:f>
        <x:v>803</x:v>
      </x:c>
      <x:c r="Q226" s="10" t="n">
        <x:f>'店长明细'!$E1847</x:f>
        <x:v>32</x:v>
      </x:c>
      <x:c r="R226" s="10" t="n">
        <x:f>'店长明细'!$D1847</x:f>
        <x:v>18</x:v>
      </x:c>
      <x:c r="S226" s="10" t="n">
        <x:f>'店长明细'!$E2079</x:f>
        <x:v>19</x:v>
      </x:c>
      <x:c r="T226" s="10" t="n">
        <x:f>'店长明细'!$D2079</x:f>
        <x:v>13</x:v>
      </x:c>
      <x:c r="U226" s="10" t="n">
        <x:f>'店长明细'!$E2311</x:f>
        <x:v>90</x:v>
      </x:c>
      <x:c r="V226" s="10" t="n">
        <x:f>'店长明细'!$D2311</x:f>
        <x:v>66</x:v>
      </x:c>
      <x:c r="W226" s="11" t="n">
        <x:f>'店长明细'!$F223</x:f>
        <x:v>5090.64</x:v>
      </x:c>
      <x:c r="X226" s="11" t="n">
        <x:f>'店长明细'!$F455</x:f>
        <x:v>12016.28</x:v>
      </x:c>
      <x:c r="Y226" s="11" t="n">
        <x:f>'店长明细'!$F687</x:f>
        <x:v>9846.29</x:v>
      </x:c>
      <x:c r="Z226" s="11" t="n">
        <x:f>'店长明细'!$F919</x:f>
        <x:v>10673.06</x:v>
      </x:c>
      <x:c r="AA226" s="11" t="n">
        <x:f>'店长明细'!$F1151</x:f>
        <x:v>0</x:v>
      </x:c>
      <x:c r="AB226" s="11" t="n">
        <x:f>'店长明细'!$F1383</x:f>
        <x:v>13452.86</x:v>
      </x:c>
      <x:c r="AC226" s="11" t="n">
        <x:f>'店长明细'!$F1615</x:f>
        <x:v>14941.98</x:v>
      </x:c>
      <x:c r="AD226" s="11" t="n">
        <x:f>'店长明细'!$F1847</x:f>
        <x:v>914.45</x:v>
      </x:c>
      <x:c r="AE226" s="11" t="n">
        <x:f>'店长明细'!$F2079</x:f>
        <x:v>1432.28</x:v>
      </x:c>
      <x:c r="AF226" s="11" t="n">
        <x:f>'店长明细'!$F2311</x:f>
        <x:v>1125.5</x:v>
      </x:c>
    </x:row>
    <x:row r="227">
      <x:c r="A227" t="str">
        <x:f>TEXT($B227,"mm-dd")</x:f>
        <x:v>08-11</x:v>
      </x:c>
      <x:c r="B227" s="9" t="n">
        <x:f>'店长明细'!$C224</x:f>
        <x:v>46245</x:v>
      </x:c>
      <x:c r="C227" s="10" t="n">
        <x:f>'店长明细'!$E224</x:f>
        <x:v>229</x:v>
      </x:c>
      <x:c r="D227" s="10" t="n">
        <x:f>'店长明细'!$D224</x:f>
        <x:v>125</x:v>
      </x:c>
      <x:c r="E227" s="10" t="n">
        <x:f>'店长明细'!$E456</x:f>
        <x:v>1533</x:v>
      </x:c>
      <x:c r="F227" s="10" t="n">
        <x:f>'店长明细'!$D456</x:f>
        <x:v>925</x:v>
      </x:c>
      <x:c r="G227" s="10" t="n">
        <x:f>'店长明细'!$E688</x:f>
        <x:v>1469</x:v>
      </x:c>
      <x:c r="H227" s="10" t="n">
        <x:f>'店长明细'!$D688</x:f>
        <x:v>593</x:v>
      </x:c>
      <x:c r="I227" s="10" t="n">
        <x:f>'店长明细'!$E920</x:f>
        <x:v>845</x:v>
      </x:c>
      <x:c r="J227" s="10" t="n">
        <x:f>'店长明细'!$D920</x:f>
        <x:v>407</x:v>
      </x:c>
      <x:c r="K227" s="10" t="n">
        <x:f>'店长明细'!$E1152</x:f>
        <x:v>0</x:v>
      </x:c>
      <x:c r="L227" s="10" t="n">
        <x:f>'店长明细'!$D1152</x:f>
        <x:v>0</x:v>
      </x:c>
      <x:c r="M227" s="10" t="n">
        <x:f>'店长明细'!$E1384</x:f>
        <x:v>944</x:v>
      </x:c>
      <x:c r="N227" s="10" t="n">
        <x:f>'店长明细'!$D1384</x:f>
        <x:v>640</x:v>
      </x:c>
      <x:c r="O227" s="10" t="n">
        <x:f>'店长明细'!$E1616</x:f>
        <x:v>1160</x:v>
      </x:c>
      <x:c r="P227" s="10" t="n">
        <x:f>'店长明细'!$D1616</x:f>
        <x:v>735</x:v>
      </x:c>
      <x:c r="Q227" s="10" t="n">
        <x:f>'店长明细'!$E1848</x:f>
        <x:v>46</x:v>
      </x:c>
      <x:c r="R227" s="10" t="n">
        <x:f>'店长明细'!$D1848</x:f>
        <x:v>39</x:v>
      </x:c>
      <x:c r="S227" s="10" t="n">
        <x:f>'店长明细'!$E2080</x:f>
        <x:v>28</x:v>
      </x:c>
      <x:c r="T227" s="10" t="n">
        <x:f>'店长明细'!$D2080</x:f>
        <x:v>22</x:v>
      </x:c>
      <x:c r="U227" s="10" t="n">
        <x:f>'店长明细'!$E2312</x:f>
        <x:v>51</x:v>
      </x:c>
      <x:c r="V227" s="10" t="n">
        <x:f>'店长明细'!$D2312</x:f>
        <x:v>35</x:v>
      </x:c>
      <x:c r="W227" s="11" t="n">
        <x:f>'店长明细'!$F224</x:f>
        <x:v>1727.52</x:v>
      </x:c>
      <x:c r="X227" s="11" t="n">
        <x:f>'店长明细'!$F456</x:f>
        <x:v>13049.8</x:v>
      </x:c>
      <x:c r="Y227" s="11" t="n">
        <x:f>'店长明细'!$F688</x:f>
        <x:v>8806.29</x:v>
      </x:c>
      <x:c r="Z227" s="11" t="n">
        <x:f>'店长明细'!$F920</x:f>
        <x:v>7422.58</x:v>
      </x:c>
      <x:c r="AA227" s="11" t="n">
        <x:f>'店长明细'!$F1152</x:f>
        <x:v>0</x:v>
      </x:c>
      <x:c r="AB227" s="11" t="n">
        <x:f>'店长明细'!$F1384</x:f>
        <x:v>9311.5</x:v>
      </x:c>
      <x:c r="AC227" s="11" t="n">
        <x:f>'店长明细'!$F1616</x:f>
        <x:v>10612.64</x:v>
      </x:c>
      <x:c r="AD227" s="11" t="n">
        <x:f>'店长明细'!$F1848</x:f>
        <x:v>1633.44</x:v>
      </x:c>
      <x:c r="AE227" s="11" t="n">
        <x:f>'店长明细'!$F2080</x:f>
        <x:v>1367.7</x:v>
      </x:c>
      <x:c r="AF227" s="11" t="n">
        <x:f>'店长明细'!$F2312</x:f>
        <x:v>608.39</x:v>
      </x:c>
    </x:row>
    <x:row r="228">
      <x:c r="A228" t="str">
        <x:f>TEXT($B228,"mm-dd")</x:f>
        <x:v>08-12</x:v>
      </x:c>
      <x:c r="B228" s="9" t="n">
        <x:f>'店长明细'!$C225</x:f>
        <x:v>46246</x:v>
      </x:c>
      <x:c r="C228" s="10" t="n">
        <x:f>'店长明细'!$E225</x:f>
        <x:v>142</x:v>
      </x:c>
      <x:c r="D228" s="10" t="n">
        <x:f>'店长明细'!$D225</x:f>
        <x:v>76</x:v>
      </x:c>
      <x:c r="E228" s="10" t="n">
        <x:f>'店长明细'!$E457</x:f>
        <x:v>1449</x:v>
      </x:c>
      <x:c r="F228" s="10" t="n">
        <x:f>'店长明细'!$D457</x:f>
        <x:v>888</x:v>
      </x:c>
      <x:c r="G228" s="10" t="n">
        <x:f>'店长明细'!$E689</x:f>
        <x:v>1414</x:v>
      </x:c>
      <x:c r="H228" s="10" t="n">
        <x:f>'店长明细'!$D689</x:f>
        <x:v>540</x:v>
      </x:c>
      <x:c r="I228" s="10" t="n">
        <x:f>'店长明细'!$E921</x:f>
        <x:v>619</x:v>
      </x:c>
      <x:c r="J228" s="10" t="n">
        <x:f>'店长明细'!$D921</x:f>
        <x:v>296</x:v>
      </x:c>
      <x:c r="K228" s="10" t="n">
        <x:f>'店长明细'!$E1153</x:f>
        <x:v>2</x:v>
      </x:c>
      <x:c r="L228" s="10" t="n">
        <x:f>'店长明细'!$D1153</x:f>
        <x:v>1</x:v>
      </x:c>
      <x:c r="M228" s="10" t="n">
        <x:f>'店长明细'!$E1385</x:f>
        <x:v>822</x:v>
      </x:c>
      <x:c r="N228" s="10" t="n">
        <x:f>'店长明细'!$D1385</x:f>
        <x:v>575</x:v>
      </x:c>
      <x:c r="O228" s="10" t="n">
        <x:f>'店长明细'!$E1617</x:f>
        <x:v>1103</x:v>
      </x:c>
      <x:c r="P228" s="10" t="n">
        <x:f>'店长明细'!$D1617</x:f>
        <x:v>729</x:v>
      </x:c>
      <x:c r="Q228" s="10" t="n">
        <x:f>'店长明细'!$E1849</x:f>
        <x:v>34</x:v>
      </x:c>
      <x:c r="R228" s="10" t="n">
        <x:f>'店长明细'!$D1849</x:f>
        <x:v>30</x:v>
      </x:c>
      <x:c r="S228" s="10" t="n">
        <x:f>'店长明细'!$E2081</x:f>
        <x:v>12</x:v>
      </x:c>
      <x:c r="T228" s="10" t="n">
        <x:f>'店长明细'!$D2081</x:f>
        <x:v>12</x:v>
      </x:c>
      <x:c r="U228" s="10" t="n">
        <x:f>'店长明细'!$E2313</x:f>
        <x:v>56</x:v>
      </x:c>
      <x:c r="V228" s="10" t="n">
        <x:f>'店长明细'!$D2313</x:f>
        <x:v>44</x:v>
      </x:c>
      <x:c r="W228" s="11" t="n">
        <x:f>'店长明细'!$F225</x:f>
        <x:v>1074.83</x:v>
      </x:c>
      <x:c r="X228" s="11" t="n">
        <x:f>'店长明细'!$F457</x:f>
        <x:v>12472.89</x:v>
      </x:c>
      <x:c r="Y228" s="11" t="n">
        <x:f>'店长明细'!$F689</x:f>
        <x:v>7710.44</x:v>
      </x:c>
      <x:c r="Z228" s="11" t="n">
        <x:f>'店长明细'!$F921</x:f>
        <x:v>5318.32</x:v>
      </x:c>
      <x:c r="AA228" s="11" t="n">
        <x:f>'店长明细'!$F1153</x:f>
        <x:v>11.55</x:v>
      </x:c>
      <x:c r="AB228" s="11" t="n">
        <x:f>'店长明细'!$F1385</x:f>
        <x:v>8416.97</x:v>
      </x:c>
      <x:c r="AC228" s="11" t="n">
        <x:f>'店长明细'!$F1617</x:f>
        <x:v>10019.41</x:v>
      </x:c>
      <x:c r="AD228" s="11" t="n">
        <x:f>'店长明细'!$F1849</x:f>
        <x:v>1489.28</x:v>
      </x:c>
      <x:c r="AE228" s="11" t="n">
        <x:f>'店长明细'!$F2081</x:f>
        <x:v>1032.96</x:v>
      </x:c>
      <x:c r="AF228" s="11" t="n">
        <x:f>'店长明细'!$F2313</x:f>
        <x:v>643.21</x:v>
      </x:c>
    </x:row>
    <x:row r="229">
      <x:c r="A229" t="str">
        <x:f>TEXT($B229,"mm-dd")</x:f>
        <x:v>08-13</x:v>
      </x:c>
      <x:c r="B229" s="9" t="n">
        <x:f>'店长明细'!$C226</x:f>
        <x:v>46247</x:v>
      </x:c>
      <x:c r="C229" s="10" t="n">
        <x:f>'店长明细'!$E226</x:f>
        <x:v>192</x:v>
      </x:c>
      <x:c r="D229" s="10" t="n">
        <x:f>'店长明细'!$D226</x:f>
        <x:v>105</x:v>
      </x:c>
      <x:c r="E229" s="10" t="n">
        <x:f>'店长明细'!$E458</x:f>
        <x:v>1484</x:v>
      </x:c>
      <x:c r="F229" s="10" t="n">
        <x:f>'店长明细'!$D458</x:f>
        <x:v>913</x:v>
      </x:c>
      <x:c r="G229" s="10" t="n">
        <x:f>'店长明细'!$E690</x:f>
        <x:v>1373</x:v>
      </x:c>
      <x:c r="H229" s="10" t="n">
        <x:f>'店长明细'!$D690</x:f>
        <x:v>558</x:v>
      </x:c>
      <x:c r="I229" s="10" t="n">
        <x:f>'店长明细'!$E922</x:f>
        <x:v>937</x:v>
      </x:c>
      <x:c r="J229" s="10" t="n">
        <x:f>'店长明细'!$D922</x:f>
        <x:v>413</x:v>
      </x:c>
      <x:c r="K229" s="10" t="n">
        <x:f>'店长明细'!$E1154</x:f>
        <x:v>0</x:v>
      </x:c>
      <x:c r="L229" s="10" t="n">
        <x:f>'店长明细'!$D1154</x:f>
        <x:v>0</x:v>
      </x:c>
      <x:c r="M229" s="10" t="n">
        <x:f>'店长明细'!$E1386</x:f>
        <x:v>940</x:v>
      </x:c>
      <x:c r="N229" s="10" t="n">
        <x:f>'店长明细'!$D1386</x:f>
        <x:v>624</x:v>
      </x:c>
      <x:c r="O229" s="10" t="n">
        <x:f>'店长明细'!$E1618</x:f>
        <x:v>867</x:v>
      </x:c>
      <x:c r="P229" s="10" t="n">
        <x:f>'店长明细'!$D1618</x:f>
        <x:v>588</x:v>
      </x:c>
      <x:c r="Q229" s="10" t="n">
        <x:f>'店长明细'!$E1850</x:f>
        <x:v>38</x:v>
      </x:c>
      <x:c r="R229" s="10" t="n">
        <x:f>'店长明细'!$D1850</x:f>
        <x:v>28</x:v>
      </x:c>
      <x:c r="S229" s="10" t="n">
        <x:f>'店长明细'!$E2082</x:f>
        <x:v>14</x:v>
      </x:c>
      <x:c r="T229" s="10" t="n">
        <x:f>'店长明细'!$D2082</x:f>
        <x:v>13</x:v>
      </x:c>
      <x:c r="U229" s="10" t="n">
        <x:f>'店长明细'!$E2314</x:f>
        <x:v>76</x:v>
      </x:c>
      <x:c r="V229" s="10" t="n">
        <x:f>'店长明细'!$D2314</x:f>
        <x:v>51</x:v>
      </x:c>
      <x:c r="W229" s="11" t="n">
        <x:f>'店长明细'!$F226</x:f>
        <x:v>1502.67</x:v>
      </x:c>
      <x:c r="X229" s="11" t="n">
        <x:f>'店长明细'!$F458</x:f>
        <x:v>12511.25</x:v>
      </x:c>
      <x:c r="Y229" s="11" t="n">
        <x:f>'店长明细'!$F690</x:f>
        <x:v>8289.76</x:v>
      </x:c>
      <x:c r="Z229" s="11" t="n">
        <x:f>'店长明细'!$F922</x:f>
        <x:v>7783.64</x:v>
      </x:c>
      <x:c r="AA229" s="11" t="n">
        <x:f>'店长明细'!$F1154</x:f>
        <x:v>0</x:v>
      </x:c>
      <x:c r="AB229" s="11" t="n">
        <x:f>'店长明细'!$F1386</x:f>
        <x:v>9059.27</x:v>
      </x:c>
      <x:c r="AC229" s="11" t="n">
        <x:f>'店长明细'!$F1618</x:f>
        <x:v>8346.85</x:v>
      </x:c>
      <x:c r="AD229" s="11" t="n">
        <x:f>'店长明细'!$F1850</x:f>
        <x:v>1595.26</x:v>
      </x:c>
      <x:c r="AE229" s="11" t="n">
        <x:f>'店长明细'!$F2082</x:f>
        <x:v>976.92</x:v>
      </x:c>
      <x:c r="AF229" s="11" t="n">
        <x:f>'店长明细'!$F2314</x:f>
        <x:v>954.46</x:v>
      </x:c>
    </x:row>
    <x:row r="230">
      <x:c r="A230" t="str">
        <x:f>TEXT($B230,"mm-dd")</x:f>
        <x:v>08-14</x:v>
      </x:c>
      <x:c r="B230" s="9" t="n">
        <x:f>'店长明细'!$C227</x:f>
        <x:v>46248</x:v>
      </x:c>
      <x:c r="C230" s="10" t="n">
        <x:f>'店长明细'!$E227</x:f>
        <x:v>209</x:v>
      </x:c>
      <x:c r="D230" s="10" t="n">
        <x:f>'店长明细'!$D227</x:f>
        <x:v>114</x:v>
      </x:c>
      <x:c r="E230" s="10" t="n">
        <x:f>'店长明细'!$E459</x:f>
        <x:v>1862</x:v>
      </x:c>
      <x:c r="F230" s="10" t="n">
        <x:f>'店长明细'!$D459</x:f>
        <x:v>1085</x:v>
      </x:c>
      <x:c r="G230" s="10" t="n">
        <x:f>'店长明细'!$E691</x:f>
        <x:v>1574</x:v>
      </x:c>
      <x:c r="H230" s="10" t="n">
        <x:f>'店长明细'!$D691</x:f>
        <x:v>637</x:v>
      </x:c>
      <x:c r="I230" s="10" t="n">
        <x:f>'店长明细'!$E923</x:f>
        <x:v>795</x:v>
      </x:c>
      <x:c r="J230" s="10" t="n">
        <x:f>'店长明细'!$D923</x:f>
        <x:v>409</x:v>
      </x:c>
      <x:c r="K230" s="10" t="n">
        <x:f>'店长明细'!$E1155</x:f>
        <x:v>2</x:v>
      </x:c>
      <x:c r="L230" s="10" t="n">
        <x:f>'店长明细'!$D1155</x:f>
        <x:v>2</x:v>
      </x:c>
      <x:c r="M230" s="10" t="n">
        <x:f>'店长明细'!$E1387</x:f>
        <x:v>802</x:v>
      </x:c>
      <x:c r="N230" s="10" t="n">
        <x:f>'店长明细'!$D1387</x:f>
        <x:v>542</x:v>
      </x:c>
      <x:c r="O230" s="10" t="n">
        <x:f>'店长明细'!$E1619</x:f>
        <x:v>907</x:v>
      </x:c>
      <x:c r="P230" s="10" t="n">
        <x:f>'店长明细'!$D1619</x:f>
        <x:v>604</x:v>
      </x:c>
      <x:c r="Q230" s="10" t="n">
        <x:f>'店长明细'!$E1851</x:f>
        <x:v>39</x:v>
      </x:c>
      <x:c r="R230" s="10" t="n">
        <x:f>'店长明细'!$D1851</x:f>
        <x:v>29</x:v>
      </x:c>
      <x:c r="S230" s="10" t="n">
        <x:f>'店长明细'!$E2083</x:f>
        <x:v>12</x:v>
      </x:c>
      <x:c r="T230" s="10" t="n">
        <x:f>'店长明细'!$D2083</x:f>
        <x:v>11</x:v>
      </x:c>
      <x:c r="U230" s="10" t="n">
        <x:f>'店长明细'!$E2315</x:f>
        <x:v>60</x:v>
      </x:c>
      <x:c r="V230" s="10" t="n">
        <x:f>'店长明细'!$D2315</x:f>
        <x:v>43</x:v>
      </x:c>
      <x:c r="W230" s="11" t="n">
        <x:f>'店长明细'!$F227</x:f>
        <x:v>1600.77</x:v>
      </x:c>
      <x:c r="X230" s="11" t="n">
        <x:f>'店长明细'!$F459</x:f>
        <x:v>14663.36</x:v>
      </x:c>
      <x:c r="Y230" s="11" t="n">
        <x:f>'店长明细'!$F691</x:f>
        <x:v>9260.21</x:v>
      </x:c>
      <x:c r="Z230" s="11" t="n">
        <x:f>'店长明细'!$F923</x:f>
        <x:v>6976.52</x:v>
      </x:c>
      <x:c r="AA230" s="11" t="n">
        <x:f>'店长明细'!$F1155</x:f>
        <x:v>26.06</x:v>
      </x:c>
      <x:c r="AB230" s="11" t="n">
        <x:f>'店长明细'!$F1387</x:f>
        <x:v>7679.48</x:v>
      </x:c>
      <x:c r="AC230" s="11" t="n">
        <x:f>'店长明细'!$F1619</x:f>
        <x:v>8700.12</x:v>
      </x:c>
      <x:c r="AD230" s="11" t="n">
        <x:f>'店长明细'!$F1851</x:f>
        <x:v>1680.56</x:v>
      </x:c>
      <x:c r="AE230" s="11" t="n">
        <x:f>'店长明细'!$F2083</x:f>
        <x:v>1077.25</x:v>
      </x:c>
      <x:c r="AF230" s="11" t="n">
        <x:f>'店长明细'!$F2315</x:f>
        <x:v>646.25</x:v>
      </x:c>
    </x:row>
    <x:row r="231">
      <x:c r="A231" t="str">
        <x:f>TEXT($B231,"mm-dd")</x:f>
        <x:v>08-15</x:v>
      </x:c>
      <x:c r="B231" s="9" t="n">
        <x:f>'店长明细'!$C228</x:f>
        <x:v>46249</x:v>
      </x:c>
      <x:c r="C231" s="10" t="n">
        <x:f>'店长明细'!$E228</x:f>
        <x:v>164</x:v>
      </x:c>
      <x:c r="D231" s="10" t="n">
        <x:f>'店长明细'!$D228</x:f>
        <x:v>70</x:v>
      </x:c>
      <x:c r="E231" s="10" t="n">
        <x:f>'店长明细'!$E460</x:f>
        <x:v>1478</x:v>
      </x:c>
      <x:c r="F231" s="10" t="n">
        <x:f>'店长明细'!$D460</x:f>
        <x:v>870</x:v>
      </x:c>
      <x:c r="G231" s="10" t="n">
        <x:f>'店长明细'!$E692</x:f>
        <x:v>1204</x:v>
      </x:c>
      <x:c r="H231" s="10" t="n">
        <x:f>'店长明细'!$D692</x:f>
        <x:v>485</x:v>
      </x:c>
      <x:c r="I231" s="10" t="n">
        <x:f>'店长明细'!$E924</x:f>
        <x:v>700</x:v>
      </x:c>
      <x:c r="J231" s="10" t="n">
        <x:f>'店长明细'!$D924</x:f>
        <x:v>334</x:v>
      </x:c>
      <x:c r="K231" s="10" t="n">
        <x:f>'店长明细'!$E1156</x:f>
        <x:v>0</x:v>
      </x:c>
      <x:c r="L231" s="10" t="n">
        <x:f>'店长明细'!$D1156</x:f>
        <x:v>0</x:v>
      </x:c>
      <x:c r="M231" s="10" t="n">
        <x:f>'店长明细'!$E1388</x:f>
        <x:v>932</x:v>
      </x:c>
      <x:c r="N231" s="10" t="n">
        <x:f>'店长明细'!$D1388</x:f>
        <x:v>621</x:v>
      </x:c>
      <x:c r="O231" s="10" t="n">
        <x:f>'店长明细'!$E1620</x:f>
        <x:v>877</x:v>
      </x:c>
      <x:c r="P231" s="10" t="n">
        <x:f>'店长明细'!$D1620</x:f>
        <x:v>567</x:v>
      </x:c>
      <x:c r="Q231" s="10" t="n">
        <x:f>'店长明细'!$E1852</x:f>
        <x:v>46</x:v>
      </x:c>
      <x:c r="R231" s="10" t="n">
        <x:f>'店长明细'!$D1852</x:f>
        <x:v>31</x:v>
      </x:c>
      <x:c r="S231" s="10" t="n">
        <x:f>'店长明细'!$E2084</x:f>
        <x:v>25</x:v>
      </x:c>
      <x:c r="T231" s="10" t="n">
        <x:f>'店长明细'!$D2084</x:f>
        <x:v>21</x:v>
      </x:c>
      <x:c r="U231" s="10" t="n">
        <x:f>'店长明细'!$E2316</x:f>
        <x:v>50</x:v>
      </x:c>
      <x:c r="V231" s="10" t="n">
        <x:f>'店长明细'!$D2316</x:f>
        <x:v>39</x:v>
      </x:c>
      <x:c r="W231" s="11" t="n">
        <x:f>'店长明细'!$F228</x:f>
        <x:v>1094.83</x:v>
      </x:c>
      <x:c r="X231" s="11" t="n">
        <x:f>'店长明细'!$F460</x:f>
        <x:v>11932.98</x:v>
      </x:c>
      <x:c r="Y231" s="11" t="n">
        <x:f>'店长明细'!$F692</x:f>
        <x:v>6822.05</x:v>
      </x:c>
      <x:c r="Z231" s="11" t="n">
        <x:f>'店长明细'!$F924</x:f>
        <x:v>6518.28</x:v>
      </x:c>
      <x:c r="AA231" s="11" t="n">
        <x:f>'店长明细'!$F1156</x:f>
        <x:v>0</x:v>
      </x:c>
      <x:c r="AB231" s="11" t="n">
        <x:f>'店长明细'!$F1388</x:f>
        <x:v>9427.92</x:v>
      </x:c>
      <x:c r="AC231" s="11" t="n">
        <x:f>'店长明细'!$F1620</x:f>
        <x:v>8580.08</x:v>
      </x:c>
      <x:c r="AD231" s="11" t="n">
        <x:f>'店长明细'!$F1852</x:f>
        <x:v>1990.21</x:v>
      </x:c>
      <x:c r="AE231" s="11" t="n">
        <x:f>'店长明细'!$F2084</x:f>
        <x:v>1442.78</x:v>
      </x:c>
      <x:c r="AF231" s="11" t="n">
        <x:f>'店长明细'!$F2316</x:f>
        <x:v>576.53</x:v>
      </x:c>
    </x:row>
    <x:row r="232">
      <x:c r="A232" t="str">
        <x:f>TEXT($B232,"mm-dd")</x:f>
        <x:v>08-16</x:v>
      </x:c>
      <x:c r="B232" s="9" t="n">
        <x:f>'店长明细'!$C229</x:f>
        <x:v>46250</x:v>
      </x:c>
      <x:c r="C232" s="10" t="n">
        <x:f>'店长明细'!$E229</x:f>
        <x:v>240</x:v>
      </x:c>
      <x:c r="D232" s="10" t="n">
        <x:f>'店长明细'!$D229</x:f>
        <x:v>128</x:v>
      </x:c>
      <x:c r="E232" s="10" t="n">
        <x:f>'店长明细'!$E461</x:f>
        <x:v>1077</x:v>
      </x:c>
      <x:c r="F232" s="10" t="n">
        <x:f>'店长明细'!$D461</x:f>
        <x:v>617</x:v>
      </x:c>
      <x:c r="G232" s="10" t="n">
        <x:f>'店长明细'!$E693</x:f>
        <x:v>1077</x:v>
      </x:c>
      <x:c r="H232" s="10" t="n">
        <x:f>'店长明细'!$D693</x:f>
        <x:v>457</x:v>
      </x:c>
      <x:c r="I232" s="10" t="n">
        <x:f>'店长明细'!$E925</x:f>
        <x:v>886</x:v>
      </x:c>
      <x:c r="J232" s="10" t="n">
        <x:f>'店长明细'!$D925</x:f>
        <x:v>427</x:v>
      </x:c>
      <x:c r="K232" s="10" t="n">
        <x:f>'店长明细'!$E1157</x:f>
        <x:v>0</x:v>
      </x:c>
      <x:c r="L232" s="10" t="n">
        <x:f>'店长明细'!$D1157</x:f>
        <x:v>0</x:v>
      </x:c>
      <x:c r="M232" s="10" t="n">
        <x:f>'店长明细'!$E1389</x:f>
        <x:v>870</x:v>
      </x:c>
      <x:c r="N232" s="10" t="n">
        <x:f>'店长明细'!$D1389</x:f>
        <x:v>535</x:v>
      </x:c>
      <x:c r="O232" s="10" t="n">
        <x:f>'店长明细'!$E1621</x:f>
        <x:v>744</x:v>
      </x:c>
      <x:c r="P232" s="10" t="n">
        <x:f>'店长明细'!$D1621</x:f>
        <x:v>426</x:v>
      </x:c>
      <x:c r="Q232" s="10" t="n">
        <x:f>'店长明细'!$E1853</x:f>
        <x:v>25</x:v>
      </x:c>
      <x:c r="R232" s="10" t="n">
        <x:f>'店长明细'!$D1853</x:f>
        <x:v>23</x:v>
      </x:c>
      <x:c r="S232" s="10" t="n">
        <x:f>'店长明细'!$E2085</x:f>
        <x:v>12</x:v>
      </x:c>
      <x:c r="T232" s="10" t="n">
        <x:f>'店长明细'!$D2085</x:f>
        <x:v>12</x:v>
      </x:c>
      <x:c r="U232" s="10" t="n">
        <x:f>'店长明细'!$E2317</x:f>
        <x:v>47</x:v>
      </x:c>
      <x:c r="V232" s="10" t="n">
        <x:f>'店长明细'!$D2317</x:f>
        <x:v>26</x:v>
      </x:c>
      <x:c r="W232" s="11" t="n">
        <x:f>'店长明细'!$F229</x:f>
        <x:v>1763.94</x:v>
      </x:c>
      <x:c r="X232" s="11" t="n">
        <x:f>'店长明细'!$F461</x:f>
        <x:v>8874.95</x:v>
      </x:c>
      <x:c r="Y232" s="11" t="n">
        <x:f>'店长明细'!$F693</x:f>
        <x:v>6669.39</x:v>
      </x:c>
      <x:c r="Z232" s="11" t="n">
        <x:f>'店长明细'!$F925</x:f>
        <x:v>7702.93</x:v>
      </x:c>
      <x:c r="AA232" s="11" t="n">
        <x:f>'店长明细'!$F1157</x:f>
        <x:v>0</x:v>
      </x:c>
      <x:c r="AB232" s="11" t="n">
        <x:f>'店长明细'!$F1389</x:f>
        <x:v>8367.05</x:v>
      </x:c>
      <x:c r="AC232" s="11" t="n">
        <x:f>'店长明细'!$F1621</x:f>
        <x:v>6866.57</x:v>
      </x:c>
      <x:c r="AD232" s="11" t="n">
        <x:f>'店长明细'!$F1853</x:f>
        <x:v>1416.38</x:v>
      </x:c>
      <x:c r="AE232" s="11" t="n">
        <x:f>'店长明细'!$F2085</x:f>
        <x:v>811.87</x:v>
      </x:c>
      <x:c r="AF232" s="11" t="n">
        <x:f>'店长明细'!$F2317</x:f>
        <x:v>727.96</x:v>
      </x:c>
    </x:row>
    <x:row r="233">
      <x:c r="A233" t="str">
        <x:f>TEXT($B233,"mm-dd")</x:f>
        <x:v>08-17</x:v>
      </x:c>
      <x:c r="B233" s="9" t="n">
        <x:f>'店长明细'!$C230</x:f>
        <x:v>46251</x:v>
      </x:c>
      <x:c r="C233" s="10" t="n">
        <x:f>'店长明细'!$E230</x:f>
        <x:v>233</x:v>
      </x:c>
      <x:c r="D233" s="10" t="n">
        <x:f>'店长明细'!$D230</x:f>
        <x:v>119</x:v>
      </x:c>
      <x:c r="E233" s="10" t="n">
        <x:f>'店长明细'!$E462</x:f>
        <x:v>1509</x:v>
      </x:c>
      <x:c r="F233" s="10" t="n">
        <x:f>'店长明细'!$D462</x:f>
        <x:v>862</x:v>
      </x:c>
      <x:c r="G233" s="10" t="n">
        <x:f>'店长明细'!$E694</x:f>
        <x:v>1414</x:v>
      </x:c>
      <x:c r="H233" s="10" t="n">
        <x:f>'店长明细'!$D694</x:f>
        <x:v>566</x:v>
      </x:c>
      <x:c r="I233" s="10" t="n">
        <x:f>'店长明细'!$E926</x:f>
        <x:v>823</x:v>
      </x:c>
      <x:c r="J233" s="10" t="n">
        <x:f>'店长明细'!$D926</x:f>
        <x:v>398</x:v>
      </x:c>
      <x:c r="K233" s="10" t="n">
        <x:f>'店长明细'!$E1158</x:f>
        <x:v>22</x:v>
      </x:c>
      <x:c r="L233" s="10" t="n">
        <x:f>'店长明细'!$D1158</x:f>
        <x:v>20</x:v>
      </x:c>
      <x:c r="M233" s="10" t="n">
        <x:f>'店长明细'!$E1390</x:f>
        <x:v>934</x:v>
      </x:c>
      <x:c r="N233" s="10" t="n">
        <x:f>'店长明细'!$D1390</x:f>
        <x:v>654</x:v>
      </x:c>
      <x:c r="O233" s="10" t="n">
        <x:f>'店长明细'!$E1622</x:f>
        <x:v>973</x:v>
      </x:c>
      <x:c r="P233" s="10" t="n">
        <x:f>'店长明细'!$D1622</x:f>
        <x:v>551</x:v>
      </x:c>
      <x:c r="Q233" s="10" t="n">
        <x:f>'店长明细'!$E1854</x:f>
        <x:v>20</x:v>
      </x:c>
      <x:c r="R233" s="10" t="n">
        <x:f>'店长明细'!$D1854</x:f>
        <x:v>13</x:v>
      </x:c>
      <x:c r="S233" s="10" t="n">
        <x:f>'店长明细'!$E2086</x:f>
        <x:v>14</x:v>
      </x:c>
      <x:c r="T233" s="10" t="n">
        <x:f>'店长明细'!$D2086</x:f>
        <x:v>12</x:v>
      </x:c>
      <x:c r="U233" s="10" t="n">
        <x:f>'店长明细'!$E2318</x:f>
        <x:v>44</x:v>
      </x:c>
      <x:c r="V233" s="10" t="n">
        <x:f>'店长明细'!$D2318</x:f>
        <x:v>40</x:v>
      </x:c>
      <x:c r="W233" s="11" t="n">
        <x:f>'店长明细'!$F230</x:f>
        <x:v>1693.63</x:v>
      </x:c>
      <x:c r="X233" s="11" t="n">
        <x:f>'店长明细'!$F462</x:f>
        <x:v>12535.55</x:v>
      </x:c>
      <x:c r="Y233" s="11" t="n">
        <x:f>'店长明细'!$F694</x:f>
        <x:v>8014.18</x:v>
      </x:c>
      <x:c r="Z233" s="11" t="n">
        <x:f>'店长明细'!$F926</x:f>
        <x:v>6869</x:v>
      </x:c>
      <x:c r="AA233" s="11" t="n">
        <x:f>'店长明细'!$F1158</x:f>
        <x:v>267.79</x:v>
      </x:c>
      <x:c r="AB233" s="11" t="n">
        <x:f>'店长明细'!$F1390</x:f>
        <x:v>9226.12</x:v>
      </x:c>
      <x:c r="AC233" s="11" t="n">
        <x:f>'店长明细'!$F1622</x:f>
        <x:v>9311.16</x:v>
      </x:c>
      <x:c r="AD233" s="11" t="n">
        <x:f>'店长明细'!$F1854</x:f>
        <x:v>844.28</x:v>
      </x:c>
      <x:c r="AE233" s="11" t="n">
        <x:f>'店长明细'!$F2086</x:f>
        <x:v>1244.74</x:v>
      </x:c>
      <x:c r="AF233" s="11" t="n">
        <x:f>'店长明细'!$F2318</x:f>
        <x:v>550.52</x:v>
      </x:c>
    </x:row>
    <x:row r="234">
      <x:c r="A234" t="str">
        <x:f>TEXT($B234,"mm-dd")</x:f>
        <x:v>08-18</x:v>
      </x:c>
      <x:c r="B234" s="9" t="n">
        <x:f>'店长明细'!$C231</x:f>
        <x:v>46252</x:v>
      </x:c>
      <x:c r="C234" s="10" t="n">
        <x:f>'店长明细'!$E231</x:f>
        <x:v>196</x:v>
      </x:c>
      <x:c r="D234" s="10" t="n">
        <x:f>'店长明细'!$D231</x:f>
        <x:v>96</x:v>
      </x:c>
      <x:c r="E234" s="10" t="n">
        <x:f>'店长明细'!$E463</x:f>
        <x:v>1365</x:v>
      </x:c>
      <x:c r="F234" s="10" t="n">
        <x:f>'店长明细'!$D463</x:f>
        <x:v>817</x:v>
      </x:c>
      <x:c r="G234" s="10" t="n">
        <x:f>'店长明细'!$E695</x:f>
        <x:v>1538</x:v>
      </x:c>
      <x:c r="H234" s="10" t="n">
        <x:f>'店长明细'!$D695</x:f>
        <x:v>613</x:v>
      </x:c>
      <x:c r="I234" s="10" t="n">
        <x:f>'店长明细'!$E927</x:f>
        <x:v>466</x:v>
      </x:c>
      <x:c r="J234" s="10" t="n">
        <x:f>'店长明细'!$D927</x:f>
        <x:v>211</x:v>
      </x:c>
      <x:c r="K234" s="10" t="n">
        <x:f>'店长明细'!$E1159</x:f>
        <x:v>1</x:v>
      </x:c>
      <x:c r="L234" s="10" t="n">
        <x:f>'店长明细'!$D1159</x:f>
        <x:v>1</x:v>
      </x:c>
      <x:c r="M234" s="10" t="n">
        <x:f>'店长明细'!$E1391</x:f>
        <x:v>792</x:v>
      </x:c>
      <x:c r="N234" s="10" t="n">
        <x:f>'店长明细'!$D1391</x:f>
        <x:v>535</x:v>
      </x:c>
      <x:c r="O234" s="10" t="n">
        <x:f>'店长明细'!$E1623</x:f>
        <x:v>860</x:v>
      </x:c>
      <x:c r="P234" s="10" t="n">
        <x:f>'店长明细'!$D1623</x:f>
        <x:v>545</x:v>
      </x:c>
      <x:c r="Q234" s="10" t="n">
        <x:f>'店长明细'!$E1855</x:f>
        <x:v>78</x:v>
      </x:c>
      <x:c r="R234" s="10" t="n">
        <x:f>'店长明细'!$D1855</x:f>
        <x:v>60</x:v>
      </x:c>
      <x:c r="S234" s="10" t="n">
        <x:f>'店长明细'!$E2087</x:f>
        <x:v>53</x:v>
      </x:c>
      <x:c r="T234" s="10" t="n">
        <x:f>'店长明细'!$D2087</x:f>
        <x:v>48</x:v>
      </x:c>
      <x:c r="U234" s="10" t="n">
        <x:f>'店长明细'!$E2319</x:f>
        <x:v>49</x:v>
      </x:c>
      <x:c r="V234" s="10" t="n">
        <x:f>'店长明细'!$D2319</x:f>
        <x:v>40</x:v>
      </x:c>
      <x:c r="W234" s="11" t="n">
        <x:f>'店长明细'!$F231</x:f>
        <x:v>1368.63</x:v>
      </x:c>
      <x:c r="X234" s="11" t="n">
        <x:f>'店长明细'!$F463</x:f>
        <x:v>11524.6</x:v>
      </x:c>
      <x:c r="Y234" s="11" t="n">
        <x:f>'店长明细'!$F695</x:f>
        <x:v>8686.5</x:v>
      </x:c>
      <x:c r="Z234" s="11" t="n">
        <x:f>'店长明细'!$F927</x:f>
        <x:v>4246.01</x:v>
      </x:c>
      <x:c r="AA234" s="11" t="n">
        <x:f>'店长明细'!$F1159</x:f>
        <x:v>12.24</x:v>
      </x:c>
      <x:c r="AB234" s="11" t="n">
        <x:f>'店长明细'!$F1391</x:f>
        <x:v>7828.53</x:v>
      </x:c>
      <x:c r="AC234" s="11" t="n">
        <x:f>'店长明细'!$F1623</x:f>
        <x:v>8248.39</x:v>
      </x:c>
      <x:c r="AD234" s="11" t="n">
        <x:f>'店长明细'!$F1855</x:f>
        <x:v>3251.33</x:v>
      </x:c>
      <x:c r="AE234" s="11" t="n">
        <x:f>'店长明细'!$F2087</x:f>
        <x:v>2985.17</x:v>
      </x:c>
      <x:c r="AF234" s="11" t="n">
        <x:f>'店长明细'!$F2319</x:f>
        <x:v>592.38</x:v>
      </x:c>
    </x:row>
    <x:row r="235">
      <x:c r="A235" t="str">
        <x:f>TEXT($B235,"mm-dd")</x:f>
        <x:v>08-19</x:v>
      </x:c>
      <x:c r="B235" s="9" t="n">
        <x:f>'店长明细'!$C232</x:f>
        <x:v>46253</x:v>
      </x:c>
      <x:c r="C235" s="10" t="n">
        <x:f>'店长明细'!$E232</x:f>
        <x:v>228</x:v>
      </x:c>
      <x:c r="D235" s="10" t="n">
        <x:f>'店长明细'!$D232</x:f>
        <x:v>122</x:v>
      </x:c>
      <x:c r="E235" s="10" t="n">
        <x:f>'店长明细'!$E464</x:f>
        <x:v>1307</x:v>
      </x:c>
      <x:c r="F235" s="10" t="n">
        <x:f>'店长明细'!$D464</x:f>
        <x:v>746</x:v>
      </x:c>
      <x:c r="G235" s="10" t="n">
        <x:f>'店长明细'!$E696</x:f>
        <x:v>2070</x:v>
      </x:c>
      <x:c r="H235" s="10" t="n">
        <x:f>'店长明细'!$D696</x:f>
        <x:v>843</x:v>
      </x:c>
      <x:c r="I235" s="10" t="n">
        <x:f>'店长明细'!$E928</x:f>
        <x:v>534</x:v>
      </x:c>
      <x:c r="J235" s="10" t="n">
        <x:f>'店长明细'!$D928</x:f>
        <x:v>274</x:v>
      </x:c>
      <x:c r="K235" s="10" t="n">
        <x:f>'店长明细'!$E1160</x:f>
        <x:v>1</x:v>
      </x:c>
      <x:c r="L235" s="10" t="n">
        <x:f>'店长明细'!$D1160</x:f>
        <x:v>1</x:v>
      </x:c>
      <x:c r="M235" s="10" t="n">
        <x:f>'店长明细'!$E1392</x:f>
        <x:v>938</x:v>
      </x:c>
      <x:c r="N235" s="10" t="n">
        <x:f>'店长明细'!$D1392</x:f>
        <x:v>639</x:v>
      </x:c>
      <x:c r="O235" s="10" t="n">
        <x:f>'店长明细'!$E1624</x:f>
        <x:v>846</x:v>
      </x:c>
      <x:c r="P235" s="10" t="n">
        <x:f>'店长明细'!$D1624</x:f>
        <x:v>558</x:v>
      </x:c>
      <x:c r="Q235" s="10" t="n">
        <x:f>'店长明细'!$E1856</x:f>
        <x:v>65</x:v>
      </x:c>
      <x:c r="R235" s="10" t="n">
        <x:f>'店长明细'!$D1856</x:f>
        <x:v>43</x:v>
      </x:c>
      <x:c r="S235" s="10" t="n">
        <x:f>'店长明细'!$E2088</x:f>
        <x:v>30</x:v>
      </x:c>
      <x:c r="T235" s="10" t="n">
        <x:f>'店长明细'!$D2088</x:f>
        <x:v>27</x:v>
      </x:c>
      <x:c r="U235" s="10" t="n">
        <x:f>'店长明细'!$E2320</x:f>
        <x:v>54</x:v>
      </x:c>
      <x:c r="V235" s="10" t="n">
        <x:f>'店长明细'!$D2320</x:f>
        <x:v>34</x:v>
      </x:c>
      <x:c r="W235" s="11" t="n">
        <x:f>'店长明细'!$F232</x:f>
        <x:v>1744.22</x:v>
      </x:c>
      <x:c r="X235" s="11" t="n">
        <x:f>'店长明细'!$F464</x:f>
        <x:v>10514.26</x:v>
      </x:c>
      <x:c r="Y235" s="11" t="n">
        <x:f>'店长明细'!$F696</x:f>
        <x:v>12336.03</x:v>
      </x:c>
      <x:c r="Z235" s="11" t="n">
        <x:f>'店长明细'!$F928</x:f>
        <x:v>4617.07</x:v>
      </x:c>
      <x:c r="AA235" s="11" t="n">
        <x:f>'店长明细'!$F1160</x:f>
        <x:v>12.24</x:v>
      </x:c>
      <x:c r="AB235" s="11" t="n">
        <x:f>'店长明细'!$F1392</x:f>
        <x:v>9422.04</x:v>
      </x:c>
      <x:c r="AC235" s="11" t="n">
        <x:f>'店长明细'!$F1624</x:f>
        <x:v>7972.9</x:v>
      </x:c>
      <x:c r="AD235" s="11" t="n">
        <x:f>'店长明细'!$F1856</x:f>
        <x:v>2066.1</x:v>
      </x:c>
      <x:c r="AE235" s="11" t="n">
        <x:f>'店长明细'!$F2088</x:f>
        <x:v>1668.77</x:v>
      </x:c>
      <x:c r="AF235" s="11" t="n">
        <x:f>'店长明细'!$F2320</x:f>
        <x:v>768.38</x:v>
      </x:c>
    </x:row>
    <x:row r="236">
      <x:c r="A236" t="str">
        <x:f>TEXT($B236,"mm-dd")</x:f>
        <x:v>08-20</x:v>
      </x:c>
      <x:c r="B236" s="9" t="n">
        <x:f>'店长明细'!$C233</x:f>
        <x:v>46254</x:v>
      </x:c>
      <x:c r="C236" s="10" t="n">
        <x:f>'店长明细'!$E233</x:f>
        <x:v>128</x:v>
      </x:c>
      <x:c r="D236" s="10" t="n">
        <x:f>'店长明细'!$D233</x:f>
        <x:v>83</x:v>
      </x:c>
      <x:c r="E236" s="10" t="n">
        <x:f>'店长明细'!$E465</x:f>
        <x:v>962</x:v>
      </x:c>
      <x:c r="F236" s="10" t="n">
        <x:f>'店长明细'!$D465</x:f>
        <x:v>555</x:v>
      </x:c>
      <x:c r="G236" s="10" t="n">
        <x:f>'店长明细'!$E697</x:f>
        <x:v>1018</x:v>
      </x:c>
      <x:c r="H236" s="10" t="n">
        <x:f>'店长明细'!$D697</x:f>
        <x:v>407</x:v>
      </x:c>
      <x:c r="I236" s="10" t="n">
        <x:f>'店长明细'!$E929</x:f>
        <x:v>371</x:v>
      </x:c>
      <x:c r="J236" s="10" t="n">
        <x:f>'店长明细'!$D929</x:f>
        <x:v>202</x:v>
      </x:c>
      <x:c r="K236" s="10" t="n">
        <x:f>'店长明细'!$E1161</x:f>
        <x:v>0</x:v>
      </x:c>
      <x:c r="L236" s="10" t="n">
        <x:f>'店长明细'!$D1161</x:f>
        <x:v>0</x:v>
      </x:c>
      <x:c r="M236" s="10" t="n">
        <x:f>'店长明细'!$E1393</x:f>
        <x:v>684</x:v>
      </x:c>
      <x:c r="N236" s="10" t="n">
        <x:f>'店长明细'!$D1393</x:f>
        <x:v>477</x:v>
      </x:c>
      <x:c r="O236" s="10" t="n">
        <x:f>'店长明细'!$E1625</x:f>
        <x:v>606</x:v>
      </x:c>
      <x:c r="P236" s="10" t="n">
        <x:f>'店长明细'!$D1625</x:f>
        <x:v>411</x:v>
      </x:c>
      <x:c r="Q236" s="10" t="n">
        <x:f>'店长明细'!$E1857</x:f>
        <x:v>43</x:v>
      </x:c>
      <x:c r="R236" s="10" t="n">
        <x:f>'店长明细'!$D1857</x:f>
        <x:v>30</x:v>
      </x:c>
      <x:c r="S236" s="10" t="n">
        <x:f>'店长明细'!$E2089</x:f>
        <x:v>16</x:v>
      </x:c>
      <x:c r="T236" s="10" t="n">
        <x:f>'店长明细'!$D2089</x:f>
        <x:v>14</x:v>
      </x:c>
      <x:c r="U236" s="10" t="n">
        <x:f>'店长明细'!$E2321</x:f>
        <x:v>42</x:v>
      </x:c>
      <x:c r="V236" s="10" t="n">
        <x:f>'店长明细'!$D2321</x:f>
        <x:v>30</x:v>
      </x:c>
      <x:c r="W236" s="11" t="n">
        <x:f>'店长明细'!$F233</x:f>
        <x:v>1205.19</x:v>
      </x:c>
      <x:c r="X236" s="11" t="n">
        <x:f>'店长明细'!$F465</x:f>
        <x:v>8428.89</x:v>
      </x:c>
      <x:c r="Y236" s="11" t="n">
        <x:f>'店长明细'!$F697</x:f>
        <x:v>5974.28</x:v>
      </x:c>
      <x:c r="Z236" s="11" t="n">
        <x:f>'店长明细'!$F929</x:f>
        <x:v>3420.09</x:v>
      </x:c>
      <x:c r="AA236" s="11" t="n">
        <x:f>'店长明细'!$F1161</x:f>
        <x:v>0</x:v>
      </x:c>
      <x:c r="AB236" s="11" t="n">
        <x:f>'店长明细'!$F1393</x:f>
        <x:v>6720.66</x:v>
      </x:c>
      <x:c r="AC236" s="11" t="n">
        <x:f>'店长明细'!$F1625</x:f>
        <x:v>5362.63</x:v>
      </x:c>
      <x:c r="AD236" s="11" t="n">
        <x:f>'店长明细'!$F1857</x:f>
        <x:v>1471.01</x:v>
      </x:c>
      <x:c r="AE236" s="11" t="n">
        <x:f>'店长明细'!$F2089</x:f>
        <x:v>618.43</x:v>
      </x:c>
      <x:c r="AF236" s="11" t="n">
        <x:f>'店长明细'!$F2321</x:f>
        <x:v>494.14</x:v>
      </x:c>
    </x:row>
    <x:row r="240" ht="24" customHeight="1">
      <x:c r="A240" s="87" t="str">
        <x:v>店长维度｜按月综合｜公式图表数据</x:v>
      </x:c>
      <x:c r="B240" s="87"/>
      <x:c r="C240" s="87"/>
      <x:c r="D240" s="87"/>
      <x:c r="E240" s="87"/>
      <x:c r="F240" s="87"/>
      <x:c r="G240" s="87"/>
      <x:c r="H240" s="87"/>
      <x:c r="I240" s="87"/>
      <x:c r="J240" s="87"/>
      <x:c r="K240" s="87"/>
      <x:c r="L240" s="87"/>
      <x:c r="M240" s="87"/>
      <x:c r="N240" s="87"/>
      <x:c r="O240" s="87"/>
      <x:c r="P240" s="87"/>
      <x:c r="Q240" s="87"/>
      <x:c r="R240" s="87"/>
      <x:c r="S240" s="87"/>
      <x:c r="T240" s="87"/>
      <x:c r="U240" s="87"/>
      <x:c r="V240" s="87"/>
      <x:c r="W240" s="87"/>
      <x:c r="X240" s="87"/>
      <x:c r="Y240" s="87"/>
      <x:c r="Z240" s="87"/>
      <x:c r="AA240" s="87"/>
      <x:c r="AB240" s="87"/>
      <x:c r="AC240" s="87"/>
      <x:c r="AD240" s="87"/>
      <x:c r="AE240" s="87"/>
      <x:c r="AF240" s="87"/>
    </x:row>
    <x:row r="241" ht="34" customHeight="1">
      <x:c r="A241" s="93" t="str">
        <x:v>时间标签</x:v>
      </x:c>
      <x:c r="B241" s="94" t="str">
        <x:v>时间值</x:v>
      </x:c>
      <x:c r="C241" s="94" t="str">
        <x:v>王云_销量</x:v>
      </x:c>
      <x:c r="D241" s="94" t="str">
        <x:v>王云_订单</x:v>
      </x:c>
      <x:c r="E241" s="94" t="str">
        <x:v>樊永鹏_销量</x:v>
      </x:c>
      <x:c r="F241" s="94" t="str">
        <x:v>樊永鹏_订单</x:v>
      </x:c>
      <x:c r="G241" s="94" t="str">
        <x:v>侯兴华_销量</x:v>
      </x:c>
      <x:c r="H241" s="94" t="str">
        <x:v>侯兴华_订单</x:v>
      </x:c>
      <x:c r="I241" s="94" t="str">
        <x:v>张垒_销量</x:v>
      </x:c>
      <x:c r="J241" s="94" t="str">
        <x:v>张垒_订单</x:v>
      </x:c>
      <x:c r="K241" s="94" t="str">
        <x:v>李雪雪_销量</x:v>
      </x:c>
      <x:c r="L241" s="94" t="str">
        <x:v>李雪雪_订单</x:v>
      </x:c>
      <x:c r="M241" s="94" t="str">
        <x:v>朱春雨_销量</x:v>
      </x:c>
      <x:c r="N241" s="94" t="str">
        <x:v>朱春雨_订单</x:v>
      </x:c>
      <x:c r="O241" s="94" t="str">
        <x:v>吴承龙_销量</x:v>
      </x:c>
      <x:c r="P241" s="94" t="str">
        <x:v>吴承龙_订单</x:v>
      </x:c>
      <x:c r="Q241" s="94" t="str">
        <x:v>叶娜_销量</x:v>
      </x:c>
      <x:c r="R241" s="94" t="str">
        <x:v>叶娜_订单</x:v>
      </x:c>
      <x:c r="S241" s="94" t="str">
        <x:v>徐跃男_销量</x:v>
      </x:c>
      <x:c r="T241" s="94" t="str">
        <x:v>徐跃男_订单</x:v>
      </x:c>
      <x:c r="U241" s="94" t="str">
        <x:v>许炎_销量</x:v>
      </x:c>
      <x:c r="V241" s="94" t="str">
        <x:v>许炎_订单</x:v>
      </x:c>
      <x:c r="W241" s="94" t="str">
        <x:v>王云_发货金额</x:v>
      </x:c>
      <x:c r="X241" s="94" t="str">
        <x:v>樊永鹏_发货金额</x:v>
      </x:c>
      <x:c r="Y241" s="94" t="str">
        <x:v>侯兴华_发货金额</x:v>
      </x:c>
      <x:c r="Z241" s="94" t="str">
        <x:v>张垒_发货金额</x:v>
      </x:c>
      <x:c r="AA241" s="94" t="str">
        <x:v>李雪雪_发货金额</x:v>
      </x:c>
      <x:c r="AB241" s="94" t="str">
        <x:v>朱春雨_发货金额</x:v>
      </x:c>
      <x:c r="AC241" s="94" t="str">
        <x:v>吴承龙_发货金额</x:v>
      </x:c>
      <x:c r="AD241" s="94" t="str">
        <x:v>叶娜_发货金额</x:v>
      </x:c>
      <x:c r="AE241" s="94" t="str">
        <x:v>徐跃男_发货金额</x:v>
      </x:c>
      <x:c r="AF241" s="95" t="str">
        <x:v>许炎_发货金额</x:v>
      </x:c>
    </x:row>
    <x:row r="242">
      <x:c r="A242" t="str">
        <x:f>TEXT($B242,"yyyy-mm")</x:f>
        <x:v>2026-01</x:v>
      </x:c>
      <x:c r="B242" s="9" t="n">
        <x:v>46023</x:v>
      </x:c>
      <x:c r="C242" s="10" t="n">
        <x:f>SUM('店长明细'!$E$2:$E$32)</x:f>
        <x:v>6905</x:v>
      </x:c>
      <x:c r="D242" s="10" t="n">
        <x:f>SUM('店长明细'!$D$2:$D$32)</x:f>
        <x:v>4339</x:v>
      </x:c>
      <x:c r="E242" s="10" t="n">
        <x:f>SUM('店长明细'!$E$234:$E$264)</x:f>
        <x:v>70598</x:v>
      </x:c>
      <x:c r="F242" s="10" t="n">
        <x:f>SUM('店长明细'!$D$234:$D$264)</x:f>
        <x:v>43823</x:v>
      </x:c>
      <x:c r="G242" s="10" t="n">
        <x:f>SUM('店长明细'!$E$466:$E$496)</x:f>
        <x:v>77980</x:v>
      </x:c>
      <x:c r="H242" s="10" t="n">
        <x:f>SUM('店长明细'!$D$466:$D$496)</x:f>
        <x:v>34255</x:v>
      </x:c>
      <x:c r="I242" s="10" t="n">
        <x:f>SUM('店长明细'!$E$698:$E$728)</x:f>
        <x:v>13311</x:v>
      </x:c>
      <x:c r="J242" s="10" t="n">
        <x:f>SUM('店长明细'!$D$698:$D$728)</x:f>
        <x:v>7671</x:v>
      </x:c>
      <x:c r="K242" s="10" t="n">
        <x:f>SUM('店长明细'!$E$930:$E$960)</x:f>
        <x:v>84</x:v>
      </x:c>
      <x:c r="L242" s="10" t="n">
        <x:f>SUM('店长明细'!$D$930:$D$960)</x:f>
        <x:v>68</x:v>
      </x:c>
      <x:c r="M242" s="10" t="n">
        <x:f>SUM('店长明细'!$E$1162:$E$1192)</x:f>
        <x:v>5492</x:v>
      </x:c>
      <x:c r="N242" s="10" t="n">
        <x:f>SUM('店长明细'!$D$1162:$D$1192)</x:f>
        <x:v>4049</x:v>
      </x:c>
      <x:c r="O242" s="10" t="n">
        <x:f>SUM('店长明细'!$E$1394:$E$1424)</x:f>
        <x:v>30410</x:v>
      </x:c>
      <x:c r="P242" s="10" t="n">
        <x:f>SUM('店长明细'!$D$1394:$D$1424)</x:f>
        <x:v>20842</x:v>
      </x:c>
      <x:c r="Q242" s="10" t="n">
        <x:f>SUM('店长明细'!$E$1626:$E$1656)</x:f>
        <x:v>2039</x:v>
      </x:c>
      <x:c r="R242" s="10" t="n">
        <x:f>SUM('店长明细'!$D$1626:$D$1656)</x:f>
        <x:v>1635</x:v>
      </x:c>
      <x:c r="S242" s="10" t="n">
        <x:f>SUM('店长明细'!$E$1858:$E$1888)</x:f>
        <x:v>1366</x:v>
      </x:c>
      <x:c r="T242" s="10" t="n">
        <x:f>SUM('店长明细'!$D$1858:$D$1888)</x:f>
        <x:v>963</x:v>
      </x:c>
      <x:c r="U242" s="10" t="n">
        <x:f>SUM('店长明细'!$E$2090:$E$2120)</x:f>
        <x:v>18577</x:v>
      </x:c>
      <x:c r="V242" s="10" t="n">
        <x:f>SUM('店长明细'!$D$2090:$D$2120)</x:f>
        <x:v>7705</x:v>
      </x:c>
      <x:c r="W242" s="11" t="n">
        <x:f>SUM('店长明细'!$F$2:$F$32)</x:f>
        <x:v>61372.3</x:v>
      </x:c>
      <x:c r="X242" s="11" t="n">
        <x:f>SUM('店长明细'!$F$234:$F$264)</x:f>
        <x:v>648566.7</x:v>
      </x:c>
      <x:c r="Y242" s="11" t="n">
        <x:f>SUM('店长明细'!$F$466:$F$496)</x:f>
        <x:v>481237.74000000005</x:v>
      </x:c>
      <x:c r="Z242" s="11" t="n">
        <x:f>SUM('店长明细'!$F$698:$F$728)</x:f>
        <x:v>119859.76999999999</x:v>
      </x:c>
      <x:c r="AA242" s="11" t="n">
        <x:f>SUM('店长明细'!$F$930:$F$960)</x:f>
        <x:v>824.27</x:v>
      </x:c>
      <x:c r="AB242" s="11" t="n">
        <x:f>SUM('店长明细'!$F$1162:$F$1192)</x:f>
        <x:v>65737.39000000001</x:v>
      </x:c>
      <x:c r="AC242" s="11" t="n">
        <x:f>SUM('店长明细'!$F$1394:$F$1424)</x:f>
        <x:v>309726.25999999995</x:v>
      </x:c>
      <x:c r="AD242" s="11" t="n">
        <x:f>SUM('店长明细'!$F$1626:$F$1656)</x:f>
        <x:v>155595.34000000003</x:v>
      </x:c>
      <x:c r="AE242" s="11" t="n">
        <x:f>SUM('店长明细'!$F$1858:$F$1888)</x:f>
        <x:v>86986.18999999997</x:v>
      </x:c>
      <x:c r="AF242" s="11" t="n">
        <x:f>SUM('店长明细'!$F$2090:$F$2120)</x:f>
        <x:v>169599.32999999993</x:v>
      </x:c>
    </x:row>
    <x:row r="243">
      <x:c r="A243" t="str">
        <x:f>TEXT($B243,"yyyy-mm")</x:f>
        <x:v>2026-02</x:v>
      </x:c>
      <x:c r="B243" s="9" t="n">
        <x:v>46054</x:v>
      </x:c>
      <x:c r="C243" s="10" t="n">
        <x:f>SUM('店长明细'!$E$33:$E$60)</x:f>
        <x:v>4376</x:v>
      </x:c>
      <x:c r="D243" s="10" t="n">
        <x:f>SUM('店长明细'!$D$33:$D$60)</x:f>
        <x:v>2527</x:v>
      </x:c>
      <x:c r="E243" s="10" t="n">
        <x:f>SUM('店长明细'!$E$265:$E$292)</x:f>
        <x:v>58104</x:v>
      </x:c>
      <x:c r="F243" s="10" t="n">
        <x:f>SUM('店长明细'!$D$265:$D$292)</x:f>
        <x:v>36285</x:v>
      </x:c>
      <x:c r="G243" s="10" t="n">
        <x:f>SUM('店长明细'!$E$497:$E$524)</x:f>
        <x:v>60250</x:v>
      </x:c>
      <x:c r="H243" s="10" t="n">
        <x:f>SUM('店长明细'!$D$497:$D$524)</x:f>
        <x:v>27430</x:v>
      </x:c>
      <x:c r="I243" s="10" t="n">
        <x:f>SUM('店长明细'!$E$729:$E$756)</x:f>
        <x:v>29162</x:v>
      </x:c>
      <x:c r="J243" s="10" t="n">
        <x:f>SUM('店长明细'!$D$729:$D$756)</x:f>
        <x:v>18258</x:v>
      </x:c>
      <x:c r="K243" s="10" t="n">
        <x:f>SUM('店长明细'!$E$961:$E$988)</x:f>
        <x:v>38</x:v>
      </x:c>
      <x:c r="L243" s="10" t="n">
        <x:f>SUM('店长明细'!$D$961:$D$988)</x:f>
        <x:v>23</x:v>
      </x:c>
      <x:c r="M243" s="10" t="n">
        <x:f>SUM('店长明细'!$E$1193:$E$1220)</x:f>
        <x:v>2681</x:v>
      </x:c>
      <x:c r="N243" s="10" t="n">
        <x:f>SUM('店长明细'!$D$1193:$D$1220)</x:f>
        <x:v>2027</x:v>
      </x:c>
      <x:c r="O243" s="10" t="n">
        <x:f>SUM('店长明细'!$E$1425:$E$1452)</x:f>
        <x:v>27799</x:v>
      </x:c>
      <x:c r="P243" s="10" t="n">
        <x:f>SUM('店长明细'!$D$1425:$D$1452)</x:f>
        <x:v>20490</x:v>
      </x:c>
      <x:c r="Q243" s="10" t="n">
        <x:f>SUM('店长明细'!$E$1657:$E$1684)</x:f>
        <x:v>1353</x:v>
      </x:c>
      <x:c r="R243" s="10" t="n">
        <x:f>SUM('店长明细'!$D$1657:$D$1684)</x:f>
        <x:v>809</x:v>
      </x:c>
      <x:c r="S243" s="10" t="n">
        <x:f>SUM('店长明细'!$E$1889:$E$1916)</x:f>
        <x:v>566</x:v>
      </x:c>
      <x:c r="T243" s="10" t="n">
        <x:f>SUM('店长明细'!$D$1889:$D$1916)</x:f>
        <x:v>435</x:v>
      </x:c>
      <x:c r="U243" s="10" t="n">
        <x:f>SUM('店长明细'!$E$2121:$E$2148)</x:f>
        <x:v>9679</x:v>
      </x:c>
      <x:c r="V243" s="10" t="n">
        <x:f>SUM('店长明细'!$D$2121:$D$2148)</x:f>
        <x:v>5092</x:v>
      </x:c>
      <x:c r="W243" s="11" t="n">
        <x:f>SUM('店长明细'!$F$33:$F$60)</x:f>
        <x:v>38335.740000000005</x:v>
      </x:c>
      <x:c r="X243" s="11" t="n">
        <x:f>SUM('店长明细'!$F$265:$F$292)</x:f>
        <x:v>536569.1000000001</x:v>
      </x:c>
      <x:c r="Y243" s="11" t="n">
        <x:f>SUM('店长明细'!$F$497:$F$524)</x:f>
        <x:v>423119.54000000004</x:v>
      </x:c>
      <x:c r="Z243" s="11" t="n">
        <x:f>SUM('店长明细'!$F$729:$F$756)</x:f>
        <x:v>290601.63</x:v>
      </x:c>
      <x:c r="AA243" s="11" t="n">
        <x:f>SUM('店长明细'!$F$961:$F$988)</x:f>
        <x:v>399.88</x:v>
      </x:c>
      <x:c r="AB243" s="11" t="n">
        <x:f>SUM('店长明细'!$F$1193:$F$1220)</x:f>
        <x:v>35787.57000000001</x:v>
      </x:c>
      <x:c r="AC243" s="11" t="n">
        <x:f>SUM('店长明细'!$F$1425:$F$1452)</x:f>
        <x:v>221940.12999999995</x:v>
      </x:c>
      <x:c r="AD243" s="11" t="n">
        <x:f>SUM('店长明细'!$F$1657:$F$1684)</x:f>
        <x:v>-26208.54</x:v>
      </x:c>
      <x:c r="AE243" s="11" t="n">
        <x:f>SUM('店长明细'!$F$1889:$F$1916)</x:f>
        <x:v>-7979.390000000003</x:v>
      </x:c>
      <x:c r="AF243" s="11" t="n">
        <x:f>SUM('店长明细'!$F$2121:$F$2148)</x:f>
        <x:v>110080.40999999997</x:v>
      </x:c>
    </x:row>
    <x:row r="244">
      <x:c r="A244" t="str">
        <x:f>TEXT($B244,"yyyy-mm")</x:f>
        <x:v>2026-03</x:v>
      </x:c>
      <x:c r="B244" s="9" t="n">
        <x:v>46082</x:v>
      </x:c>
      <x:c r="C244" s="10" t="n">
        <x:f>SUM('店长明细'!$E$61:$E$91)</x:f>
        <x:v>30390</x:v>
      </x:c>
      <x:c r="D244" s="10" t="n">
        <x:f>SUM('店长明细'!$D$61:$D$91)</x:f>
        <x:v>26687</x:v>
      </x:c>
      <x:c r="E244" s="10" t="n">
        <x:f>SUM('店长明细'!$E$293:$E$323)</x:f>
        <x:v>49521</x:v>
      </x:c>
      <x:c r="F244" s="10" t="n">
        <x:f>SUM('店长明细'!$D$293:$D$323)</x:f>
        <x:v>31807</x:v>
      </x:c>
      <x:c r="G244" s="10" t="n">
        <x:f>SUM('店长明细'!$E$525:$E$555)</x:f>
        <x:v>43395</x:v>
      </x:c>
      <x:c r="H244" s="10" t="n">
        <x:f>SUM('店长明细'!$D$525:$D$555)</x:f>
        <x:v>21278</x:v>
      </x:c>
      <x:c r="I244" s="10" t="n">
        <x:f>SUM('店长明细'!$E$757:$E$787)</x:f>
        <x:v>32936</x:v>
      </x:c>
      <x:c r="J244" s="10" t="n">
        <x:f>SUM('店长明细'!$D$757:$D$787)</x:f>
        <x:v>18518</x:v>
      </x:c>
      <x:c r="K244" s="10" t="n">
        <x:f>SUM('店长明细'!$E$989:$E$1019)</x:f>
        <x:v>109</x:v>
      </x:c>
      <x:c r="L244" s="10" t="n">
        <x:f>SUM('店长明细'!$D$989:$D$1019)</x:f>
        <x:v>31</x:v>
      </x:c>
      <x:c r="M244" s="10" t="n">
        <x:f>SUM('店长明细'!$E$1221:$E$1251)</x:f>
        <x:v>2166</x:v>
      </x:c>
      <x:c r="N244" s="10" t="n">
        <x:f>SUM('店长明细'!$D$1221:$D$1251)</x:f>
        <x:v>1547</x:v>
      </x:c>
      <x:c r="O244" s="10" t="n">
        <x:f>SUM('店长明细'!$E$1453:$E$1483)</x:f>
        <x:v>22286</x:v>
      </x:c>
      <x:c r="P244" s="10" t="n">
        <x:f>SUM('店长明细'!$D$1453:$D$1483)</x:f>
        <x:v>16887</x:v>
      </x:c>
      <x:c r="Q244" s="10" t="n">
        <x:f>SUM('店长明细'!$E$1685:$E$1715)</x:f>
        <x:v>1437</x:v>
      </x:c>
      <x:c r="R244" s="10" t="n">
        <x:f>SUM('店长明细'!$D$1685:$D$1715)</x:f>
        <x:v>906</x:v>
      </x:c>
      <x:c r="S244" s="10" t="n">
        <x:f>SUM('店长明细'!$E$1917:$E$1947)</x:f>
        <x:v>505</x:v>
      </x:c>
      <x:c r="T244" s="10" t="n">
        <x:f>SUM('店长明细'!$D$1917:$D$1947)</x:f>
        <x:v>407</x:v>
      </x:c>
      <x:c r="U244" s="10" t="n">
        <x:f>SUM('店长明细'!$E$2149:$E$2179)</x:f>
        <x:v>7975</x:v>
      </x:c>
      <x:c r="V244" s="10" t="n">
        <x:f>SUM('店长明细'!$D$2149:$D$2179)</x:f>
        <x:v>4518</x:v>
      </x:c>
      <x:c r="W244" s="11" t="n">
        <x:f>SUM('店长明细'!$F$61:$F$91)</x:f>
        <x:v>259415.97999999998</x:v>
      </x:c>
      <x:c r="X244" s="11" t="n">
        <x:f>SUM('店长明细'!$F$293:$F$323)</x:f>
        <x:v>432472.10000000003</x:v>
      </x:c>
      <x:c r="Y244" s="11" t="n">
        <x:f>SUM('店长明细'!$F$525:$F$555)</x:f>
        <x:v>265943.55</x:v>
      </x:c>
      <x:c r="Z244" s="11" t="n">
        <x:f>SUM('店长明细'!$F$757:$F$787)</x:f>
        <x:v>325356.81</x:v>
      </x:c>
      <x:c r="AA244" s="11" t="n">
        <x:f>SUM('店长明细'!$F$989:$F$1019)</x:f>
        <x:v>472.9</x:v>
      </x:c>
      <x:c r="AB244" s="11" t="n">
        <x:f>SUM('店长明细'!$F$1221:$F$1251)</x:f>
        <x:v>25735.430000000004</x:v>
      </x:c>
      <x:c r="AC244" s="11" t="n">
        <x:f>SUM('店长明细'!$F$1453:$F$1483)</x:f>
        <x:v>263367.22000000003</x:v>
      </x:c>
      <x:c r="AD244" s="11" t="n">
        <x:f>SUM('店长明细'!$F$1685:$F$1715)</x:f>
        <x:v>26830.179999999997</x:v>
      </x:c>
      <x:c r="AE244" s="11" t="n">
        <x:f>SUM('店长明细'!$F$1917:$F$1947)</x:f>
        <x:v>17531.660000000003</x:v>
      </x:c>
      <x:c r="AF244" s="11" t="n">
        <x:f>SUM('店长明细'!$F$2149:$F$2179)</x:f>
        <x:v>91242.36000000003</x:v>
      </x:c>
    </x:row>
    <x:row r="245">
      <x:c r="A245" t="str">
        <x:f>TEXT($B245,"yyyy-mm")</x:f>
        <x:v>2026-04</x:v>
      </x:c>
      <x:c r="B245" s="9" t="n">
        <x:v>46113</x:v>
      </x:c>
      <x:c r="C245" s="10" t="n">
        <x:f>SUM('店长明细'!$E$92:$E$121)</x:f>
        <x:v>22350</x:v>
      </x:c>
      <x:c r="D245" s="10" t="n">
        <x:f>SUM('店长明细'!$D$92:$D$121)</x:f>
        <x:v>18895</x:v>
      </x:c>
      <x:c r="E245" s="10" t="n">
        <x:f>SUM('店长明细'!$E$324:$E$353)</x:f>
        <x:v>49271</x:v>
      </x:c>
      <x:c r="F245" s="10" t="n">
        <x:f>SUM('店长明细'!$D$324:$D$353)</x:f>
        <x:v>33254</x:v>
      </x:c>
      <x:c r="G245" s="10" t="n">
        <x:f>SUM('店长明细'!$E$556:$E$585)</x:f>
        <x:v>60532</x:v>
      </x:c>
      <x:c r="H245" s="10" t="n">
        <x:f>SUM('店长明细'!$D$556:$D$585)</x:f>
        <x:v>39619</x:v>
      </x:c>
      <x:c r="I245" s="10" t="n">
        <x:f>SUM('店长明细'!$E$788:$E$817)</x:f>
        <x:v>31803</x:v>
      </x:c>
      <x:c r="J245" s="10" t="n">
        <x:f>SUM('店长明细'!$D$788:$D$817)</x:f>
        <x:v>15906</x:v>
      </x:c>
      <x:c r="K245" s="10" t="n">
        <x:f>SUM('店长明细'!$E$1020:$E$1049)</x:f>
        <x:v>38</x:v>
      </x:c>
      <x:c r="L245" s="10" t="n">
        <x:f>SUM('店长明细'!$D$1020:$D$1049)</x:f>
        <x:v>30</x:v>
      </x:c>
      <x:c r="M245" s="10" t="n">
        <x:f>SUM('店长明细'!$E$1252:$E$1281)</x:f>
        <x:v>3708</x:v>
      </x:c>
      <x:c r="N245" s="10" t="n">
        <x:f>SUM('店长明细'!$D$1252:$D$1281)</x:f>
        <x:v>2438</x:v>
      </x:c>
      <x:c r="O245" s="10" t="n">
        <x:f>SUM('店长明细'!$E$1484:$E$1513)</x:f>
        <x:v>19577</x:v>
      </x:c>
      <x:c r="P245" s="10" t="n">
        <x:f>SUM('店长明细'!$D$1484:$D$1513)</x:f>
        <x:v>13742</x:v>
      </x:c>
      <x:c r="Q245" s="10" t="n">
        <x:f>SUM('店长明细'!$E$1716:$E$1745)</x:f>
        <x:v>1438</x:v>
      </x:c>
      <x:c r="R245" s="10" t="n">
        <x:f>SUM('店长明细'!$D$1716:$D$1745)</x:f>
        <x:v>1145</x:v>
      </x:c>
      <x:c r="S245" s="10" t="n">
        <x:f>SUM('店长明细'!$E$1948:$E$1977)</x:f>
        <x:v>644</x:v>
      </x:c>
      <x:c r="T245" s="10" t="n">
        <x:f>SUM('店长明细'!$D$1948:$D$1977)</x:f>
        <x:v>561</x:v>
      </x:c>
      <x:c r="U245" s="10" t="n">
        <x:f>SUM('店长明细'!$E$2180:$E$2209)</x:f>
        <x:v>5002</x:v>
      </x:c>
      <x:c r="V245" s="10" t="n">
        <x:f>SUM('店长明细'!$D$2180:$D$2209)</x:f>
        <x:v>3654</x:v>
      </x:c>
      <x:c r="W245" s="11" t="n">
        <x:f>SUM('店长明细'!$F$92:$F$121)</x:f>
        <x:v>195880.74999999997</x:v>
      </x:c>
      <x:c r="X245" s="11" t="n">
        <x:f>SUM('店长明细'!$F$324:$F$353)</x:f>
        <x:v>431522.55</x:v>
      </x:c>
      <x:c r="Y245" s="11" t="n">
        <x:f>SUM('店长明细'!$F$556:$F$585)</x:f>
        <x:v>458087.79000000004</x:v>
      </x:c>
      <x:c r="Z245" s="11" t="n">
        <x:f>SUM('店长明细'!$F$788:$F$817)</x:f>
        <x:v>263820.87</x:v>
      </x:c>
      <x:c r="AA245" s="11" t="n">
        <x:f>SUM('店长明细'!$F$1020:$F$1049)</x:f>
        <x:v>314.44999999999993</x:v>
      </x:c>
      <x:c r="AB245" s="11" t="n">
        <x:f>SUM('店长明细'!$F$1252:$F$1281)</x:f>
        <x:v>45941.86999999999</x:v>
      </x:c>
      <x:c r="AC245" s="11" t="n">
        <x:f>SUM('店长明细'!$F$1484:$F$1513)</x:f>
        <x:v>208642.97</x:v>
      </x:c>
      <x:c r="AD245" s="11" t="n">
        <x:f>SUM('店长明细'!$F$1716:$F$1745)</x:f>
        <x:v>44981.62</x:v>
      </x:c>
      <x:c r="AE245" s="11" t="n">
        <x:f>SUM('店长明细'!$F$1948:$F$1977)</x:f>
        <x:v>23340.82</x:v>
      </x:c>
      <x:c r="AF245" s="11" t="n">
        <x:f>SUM('店长明细'!$F$2180:$F$2209)</x:f>
        <x:v>49326.85</x:v>
      </x:c>
    </x:row>
    <x:row r="246">
      <x:c r="A246" t="str">
        <x:f>TEXT($B246,"yyyy-mm")</x:f>
        <x:v>2026-05</x:v>
      </x:c>
      <x:c r="B246" s="9" t="n">
        <x:v>46143</x:v>
      </x:c>
      <x:c r="C246" s="10" t="n">
        <x:f>SUM('店长明细'!$E$122:$E$152)</x:f>
        <x:v>6093</x:v>
      </x:c>
      <x:c r="D246" s="10" t="n">
        <x:f>SUM('店长明细'!$D$122:$D$152)</x:f>
        <x:v>4137</x:v>
      </x:c>
      <x:c r="E246" s="10" t="n">
        <x:f>SUM('店长明细'!$E$354:$E$384)</x:f>
        <x:v>34964</x:v>
      </x:c>
      <x:c r="F246" s="10" t="n">
        <x:f>SUM('店长明细'!$D$354:$D$384)</x:f>
        <x:v>21569</x:v>
      </x:c>
      <x:c r="G246" s="10" t="n">
        <x:f>SUM('店长明细'!$E$586:$E$616)</x:f>
        <x:v>49370</x:v>
      </x:c>
      <x:c r="H246" s="10" t="n">
        <x:f>SUM('店长明细'!$D$586:$D$616)</x:f>
        <x:v>29734</x:v>
      </x:c>
      <x:c r="I246" s="10" t="n">
        <x:f>SUM('店长明细'!$E$818:$E$848)</x:f>
        <x:v>38406</x:v>
      </x:c>
      <x:c r="J246" s="10" t="n">
        <x:f>SUM('店长明细'!$D$818:$D$848)</x:f>
        <x:v>20377</x:v>
      </x:c>
      <x:c r="K246" s="10" t="n">
        <x:f>SUM('店长明细'!$E$1050:$E$1080)</x:f>
        <x:v>178</x:v>
      </x:c>
      <x:c r="L246" s="10" t="n">
        <x:f>SUM('店长明细'!$D$1050:$D$1080)</x:f>
        <x:v>156</x:v>
      </x:c>
      <x:c r="M246" s="10" t="n">
        <x:f>SUM('店长明细'!$E$1282:$E$1312)</x:f>
        <x:v>8190</x:v>
      </x:c>
      <x:c r="N246" s="10" t="n">
        <x:f>SUM('店长明细'!$D$1282:$D$1312)</x:f>
        <x:v>5530</x:v>
      </x:c>
      <x:c r="O246" s="10" t="n">
        <x:f>SUM('店长明细'!$E$1514:$E$1544)</x:f>
        <x:v>21044</x:v>
      </x:c>
      <x:c r="P246" s="10" t="n">
        <x:f>SUM('店长明细'!$D$1514:$D$1544)</x:f>
        <x:v>14816</x:v>
      </x:c>
      <x:c r="Q246" s="10" t="n">
        <x:f>SUM('店长明细'!$E$1746:$E$1776)</x:f>
        <x:v>1983</x:v>
      </x:c>
      <x:c r="R246" s="10" t="n">
        <x:f>SUM('店长明细'!$D$1746:$D$1776)</x:f>
        <x:v>1387</x:v>
      </x:c>
      <x:c r="S246" s="10" t="n">
        <x:f>SUM('店长明细'!$E$1978:$E$2008)</x:f>
        <x:v>544</x:v>
      </x:c>
      <x:c r="T246" s="10" t="n">
        <x:f>SUM('店长明细'!$D$1978:$D$2008)</x:f>
        <x:v>451</x:v>
      </x:c>
      <x:c r="U246" s="10" t="n">
        <x:f>SUM('店长明细'!$E$2210:$E$2240)</x:f>
        <x:v>3566</x:v>
      </x:c>
      <x:c r="V246" s="10" t="n">
        <x:f>SUM('店长明细'!$D$2210:$D$2240)</x:f>
        <x:v>2210</x:v>
      </x:c>
      <x:c r="W246" s="11" t="n">
        <x:f>SUM('店长明细'!$F$122:$F$152)</x:f>
        <x:v>52638.31000000001</x:v>
      </x:c>
      <x:c r="X246" s="11" t="n">
        <x:f>SUM('店长明细'!$F$354:$F$384)</x:f>
        <x:v>313949.7200000001</x:v>
      </x:c>
      <x:c r="Y246" s="11" t="n">
        <x:f>SUM('店长明细'!$F$586:$F$616)</x:f>
        <x:v>367695.69000000006</x:v>
      </x:c>
      <x:c r="Z246" s="11" t="n">
        <x:f>SUM('店长明细'!$F$818:$F$848)</x:f>
        <x:v>316078.56999999995</x:v>
      </x:c>
      <x:c r="AA246" s="11" t="n">
        <x:f>SUM('店长明细'!$F$1050:$F$1080)</x:f>
        <x:v>1518.19</x:v>
      </x:c>
      <x:c r="AB246" s="11" t="n">
        <x:f>SUM('店长明细'!$F$1282:$F$1312)</x:f>
        <x:v>83144.02</x:v>
      </x:c>
      <x:c r="AC246" s="11" t="n">
        <x:f>SUM('店长明细'!$F$1514:$F$1544)</x:f>
        <x:v>223063.19999999995</x:v>
      </x:c>
      <x:c r="AD246" s="11" t="n">
        <x:f>SUM('店长明细'!$F$1746:$F$1776)</x:f>
        <x:v>56220.19000000001</x:v>
      </x:c>
      <x:c r="AE246" s="11" t="n">
        <x:f>SUM('店长明细'!$F$1978:$F$2008)</x:f>
        <x:v>20087.010000000002</x:v>
      </x:c>
      <x:c r="AF246" s="11" t="n">
        <x:f>SUM('店长明细'!$F$2210:$F$2240)</x:f>
        <x:v>34092.350000000006</x:v>
      </x:c>
    </x:row>
    <x:row r="247">
      <x:c r="A247" t="str">
        <x:f>TEXT($B247,"yyyy-mm")</x:f>
        <x:v>2026-06</x:v>
      </x:c>
      <x:c r="B247" s="9" t="n">
        <x:v>46174</x:v>
      </x:c>
      <x:c r="C247" s="10" t="n">
        <x:f>SUM('店长明细'!$E$153:$E$182)</x:f>
        <x:v>7230</x:v>
      </x:c>
      <x:c r="D247" s="10" t="n">
        <x:f>SUM('店长明细'!$D$153:$D$182)</x:f>
        <x:v>3970</x:v>
      </x:c>
      <x:c r="E247" s="10" t="n">
        <x:f>SUM('店长明细'!$E$385:$E$414)</x:f>
        <x:v>43116</x:v>
      </x:c>
      <x:c r="F247" s="10" t="n">
        <x:f>SUM('店长明细'!$D$385:$D$414)</x:f>
        <x:v>27336</x:v>
      </x:c>
      <x:c r="G247" s="10" t="n">
        <x:f>SUM('店长明细'!$E$617:$E$646)</x:f>
        <x:v>74556</x:v>
      </x:c>
      <x:c r="H247" s="10" t="n">
        <x:f>SUM('店长明细'!$D$617:$D$646)</x:f>
        <x:v>32402</x:v>
      </x:c>
      <x:c r="I247" s="10" t="n">
        <x:f>SUM('店长明细'!$E$849:$E$878)</x:f>
        <x:v>35037</x:v>
      </x:c>
      <x:c r="J247" s="10" t="n">
        <x:f>SUM('店长明细'!$D$849:$D$878)</x:f>
        <x:v>17239</x:v>
      </x:c>
      <x:c r="K247" s="10" t="n">
        <x:f>SUM('店长明细'!$E$1081:$E$1110)</x:f>
        <x:v>230</x:v>
      </x:c>
      <x:c r="L247" s="10" t="n">
        <x:f>SUM('店长明细'!$D$1081:$D$1110)</x:f>
        <x:v>188</x:v>
      </x:c>
      <x:c r="M247" s="10" t="n">
        <x:f>SUM('店长明细'!$E$1313:$E$1342)</x:f>
        <x:v>14364</x:v>
      </x:c>
      <x:c r="N247" s="10" t="n">
        <x:f>SUM('店长明细'!$D$1313:$D$1342)</x:f>
        <x:v>9168</x:v>
      </x:c>
      <x:c r="O247" s="10" t="n">
        <x:f>SUM('店长明细'!$E$1545:$E$1574)</x:f>
        <x:v>29734</x:v>
      </x:c>
      <x:c r="P247" s="10" t="n">
        <x:f>SUM('店长明细'!$D$1545:$D$1574)</x:f>
        <x:v>19783</x:v>
      </x:c>
      <x:c r="Q247" s="10" t="n">
        <x:f>SUM('店长明细'!$E$1777:$E$1806)</x:f>
        <x:v>1163</x:v>
      </x:c>
      <x:c r="R247" s="10" t="n">
        <x:f>SUM('店长明细'!$D$1777:$D$1806)</x:f>
        <x:v>817</x:v>
      </x:c>
      <x:c r="S247" s="10" t="n">
        <x:f>SUM('店长明细'!$E$2009:$E$2038)</x:f>
        <x:v>459</x:v>
      </x:c>
      <x:c r="T247" s="10" t="n">
        <x:f>SUM('店长明细'!$D$2009:$D$2038)</x:f>
        <x:v>337</x:v>
      </x:c>
      <x:c r="U247" s="10" t="n">
        <x:f>SUM('店长明细'!$E$2241:$E$2270)</x:f>
        <x:v>1055</x:v>
      </x:c>
      <x:c r="V247" s="10" t="n">
        <x:f>SUM('店长明细'!$D$2241:$D$2270)</x:f>
        <x:v>604</x:v>
      </x:c>
      <x:c r="W247" s="11" t="n">
        <x:f>SUM('店长明细'!$F$153:$F$182)</x:f>
        <x:v>53388.84999999999</x:v>
      </x:c>
      <x:c r="X247" s="11" t="n">
        <x:f>SUM('店长明细'!$F$385:$F$414)</x:f>
        <x:v>388711.62000000005</x:v>
      </x:c>
      <x:c r="Y247" s="11" t="n">
        <x:f>SUM('店长明细'!$F$617:$F$646)</x:f>
        <x:v>438427.4999999999</x:v>
      </x:c>
      <x:c r="Z247" s="11" t="n">
        <x:f>SUM('店长明细'!$F$849:$F$878)</x:f>
        <x:v>282159.55000000005</x:v>
      </x:c>
      <x:c r="AA247" s="11" t="n">
        <x:f>SUM('店长明细'!$F$1081:$F$1110)</x:f>
        <x:v>1788.57</x:v>
      </x:c>
      <x:c r="AB247" s="11" t="n">
        <x:f>SUM('店长明细'!$F$1313:$F$1342)</x:f>
        <x:v>143954.21000000005</x:v>
      </x:c>
      <x:c r="AC247" s="11" t="n">
        <x:f>SUM('店长明细'!$F$1545:$F$1574)</x:f>
        <x:v>300962.00000000006</x:v>
      </x:c>
      <x:c r="AD247" s="11" t="n">
        <x:f>SUM('店长明细'!$F$1777:$F$1806)</x:f>
        <x:v>43257.95</x:v>
      </x:c>
      <x:c r="AE247" s="11" t="n">
        <x:f>SUM('店长明细'!$F$2009:$F$2038)</x:f>
        <x:v>19703.43</x:v>
      </x:c>
      <x:c r="AF247" s="11" t="n">
        <x:f>SUM('店长明细'!$F$2241:$F$2270)</x:f>
        <x:v>13501.479999999998</x:v>
      </x:c>
    </x:row>
    <x:row r="248">
      <x:c r="A248" t="str">
        <x:f>TEXT($B248,"yyyy-mm")</x:f>
        <x:v>2026-07</x:v>
      </x:c>
      <x:c r="B248" s="9" t="n">
        <x:v>46204</x:v>
      </x:c>
      <x:c r="C248" s="10" t="n">
        <x:f>SUM('店长明细'!$E$183:$E$213)</x:f>
        <x:v>5430</x:v>
      </x:c>
      <x:c r="D248" s="10" t="n">
        <x:f>SUM('店长明细'!$D$183:$D$213)</x:f>
        <x:v>2820</x:v>
      </x:c>
      <x:c r="E248" s="10" t="n">
        <x:f>SUM('店长明细'!$E$415:$E$445)</x:f>
        <x:v>38878</x:v>
      </x:c>
      <x:c r="F248" s="10" t="n">
        <x:f>SUM('店长明细'!$D$415:$D$445)</x:f>
        <x:v>21571</x:v>
      </x:c>
      <x:c r="G248" s="10" t="n">
        <x:f>SUM('店长明细'!$E$647:$E$677)</x:f>
        <x:v>56811</x:v>
      </x:c>
      <x:c r="H248" s="10" t="n">
        <x:f>SUM('店长明细'!$D$647:$D$677)</x:f>
        <x:v>24221</x:v>
      </x:c>
      <x:c r="I248" s="10" t="n">
        <x:f>SUM('店长明细'!$E$879:$E$909)</x:f>
        <x:v>25618</x:v>
      </x:c>
      <x:c r="J248" s="10" t="n">
        <x:f>SUM('店长明细'!$D$879:$D$909)</x:f>
        <x:v>12526</x:v>
      </x:c>
      <x:c r="K248" s="10" t="n">
        <x:f>SUM('店长明细'!$E$1111:$E$1141)</x:f>
        <x:v>84</x:v>
      </x:c>
      <x:c r="L248" s="10" t="n">
        <x:f>SUM('店长明细'!$D$1111:$D$1141)</x:f>
        <x:v>52</x:v>
      </x:c>
      <x:c r="M248" s="10" t="n">
        <x:f>SUM('店长明细'!$E$1343:$E$1373)</x:f>
        <x:v>17766</x:v>
      </x:c>
      <x:c r="N248" s="10" t="n">
        <x:f>SUM('店长明细'!$D$1343:$D$1373)</x:f>
        <x:v>11210</x:v>
      </x:c>
      <x:c r="O248" s="10" t="n">
        <x:f>SUM('店长明细'!$E$1575:$E$1605)</x:f>
        <x:v>30409</x:v>
      </x:c>
      <x:c r="P248" s="10" t="n">
        <x:f>SUM('店长明细'!$D$1575:$D$1605)</x:f>
        <x:v>20379</x:v>
      </x:c>
      <x:c r="Q248" s="10" t="n">
        <x:f>SUM('店长明细'!$E$1807:$E$1837)</x:f>
        <x:v>1620</x:v>
      </x:c>
      <x:c r="R248" s="10" t="n">
        <x:f>SUM('店长明细'!$D$1807:$D$1837)</x:f>
        <x:v>1211</x:v>
      </x:c>
      <x:c r="S248" s="10" t="n">
        <x:f>SUM('店长明细'!$E$2039:$E$2069)</x:f>
        <x:v>684</x:v>
      </x:c>
      <x:c r="T248" s="10" t="n">
        <x:f>SUM('店长明细'!$D$2039:$D$2069)</x:f>
        <x:v>545</x:v>
      </x:c>
      <x:c r="U248" s="10" t="n">
        <x:f>SUM('店长明细'!$E$2271:$E$2301)</x:f>
        <x:v>1079</x:v>
      </x:c>
      <x:c r="V248" s="10" t="n">
        <x:f>SUM('店长明细'!$D$2271:$D$2301)</x:f>
        <x:v>634</x:v>
      </x:c>
      <x:c r="W248" s="11" t="n">
        <x:f>SUM('店长明细'!$F$183:$F$213)</x:f>
        <x:v>39108.729999999996</x:v>
      </x:c>
      <x:c r="X248" s="11" t="n">
        <x:f>SUM('店长明细'!$F$415:$F$445)</x:f>
        <x:v>312373.45</x:v>
      </x:c>
      <x:c r="Y248" s="11" t="n">
        <x:f>SUM('店长明细'!$F$647:$F$677)</x:f>
        <x:v>320679.28</x:v>
      </x:c>
      <x:c r="Z248" s="11" t="n">
        <x:f>SUM('店长明细'!$F$879:$F$909)</x:f>
        <x:v>215203.75000000003</x:v>
      </x:c>
      <x:c r="AA248" s="11" t="n">
        <x:f>SUM('店长明细'!$F$1111:$F$1141)</x:f>
        <x:v>747.9000000000001</x:v>
      </x:c>
      <x:c r="AB248" s="11" t="n">
        <x:f>SUM('店长明细'!$F$1343:$F$1373)</x:f>
        <x:v>168964.56</x:v>
      </x:c>
      <x:c r="AC248" s="11" t="n">
        <x:f>SUM('店长明细'!$F$1575:$F$1605)</x:f>
        <x:v>283223.75</x:v>
      </x:c>
      <x:c r="AD248" s="11" t="n">
        <x:f>SUM('店长明细'!$F$1807:$F$1837)</x:f>
        <x:v>52520.96000000001</x:v>
      </x:c>
      <x:c r="AE248" s="11" t="n">
        <x:f>SUM('店长明细'!$F$2039:$F$2069)</x:f>
        <x:v>29453.330000000005</x:v>
      </x:c>
      <x:c r="AF248" s="11" t="n">
        <x:f>SUM('店长明细'!$F$2271:$F$2301)</x:f>
        <x:v>13498.279999999999</x:v>
      </x:c>
    </x:row>
    <x:row r="249">
      <x:c r="A249" t="str">
        <x:f>TEXT($B249,"yyyy-mm")</x:f>
        <x:v>2026-08</x:v>
      </x:c>
      <x:c r="B249" s="9" t="n">
        <x:v>46235</x:v>
      </x:c>
      <x:c r="C249" s="10" t="n">
        <x:f>SUM('店长明细'!$E$214:$E$233)</x:f>
        <x:v>3272</x:v>
      </x:c>
      <x:c r="D249" s="10" t="n">
        <x:f>SUM('店长明细'!$D$214:$D$233)</x:f>
        <x:v>1909</x:v>
      </x:c>
      <x:c r="E249" s="10" t="n">
        <x:f>SUM('店长明细'!$E$446:$E$465)</x:f>
        <x:v>29920</x:v>
      </x:c>
      <x:c r="F249" s="10" t="n">
        <x:f>SUM('店长明细'!$D$446:$D$465)</x:f>
        <x:v>17525</x:v>
      </x:c>
      <x:c r="G249" s="10" t="n">
        <x:f>SUM('店长明细'!$E$678:$E$697)</x:f>
        <x:v>33754</x:v>
      </x:c>
      <x:c r="H249" s="10" t="n">
        <x:f>SUM('店长明细'!$D$678:$D$697)</x:f>
        <x:v>13560</x:v>
      </x:c>
      <x:c r="I249" s="10" t="n">
        <x:f>SUM('店长明细'!$E$910:$E$929)</x:f>
        <x:v>14072</x:v>
      </x:c>
      <x:c r="J249" s="10" t="n">
        <x:f>SUM('店长明细'!$D$910:$D$929)</x:f>
        <x:v>6806</x:v>
      </x:c>
      <x:c r="K249" s="10" t="n">
        <x:f>SUM('店长明细'!$E$1142:$E$1161)</x:f>
        <x:v>67</x:v>
      </x:c>
      <x:c r="L249" s="10" t="n">
        <x:f>SUM('店长明细'!$D$1142:$D$1161)</x:f>
        <x:v>46</x:v>
      </x:c>
      <x:c r="M249" s="10" t="n">
        <x:f>SUM('店长明细'!$E$1374:$E$1393)</x:f>
        <x:v>17277</x:v>
      </x:c>
      <x:c r="N249" s="10" t="n">
        <x:f>SUM('店长明细'!$D$1374:$D$1393)</x:f>
        <x:v>11330</x:v>
      </x:c>
      <x:c r="O249" s="10" t="n">
        <x:f>SUM('店长明细'!$E$1606:$E$1625)</x:f>
        <x:v>18654</x:v>
      </x:c>
      <x:c r="P249" s="10" t="n">
        <x:f>SUM('店长明细'!$D$1606:$D$1625)</x:f>
        <x:v>12205</x:v>
      </x:c>
      <x:c r="Q249" s="10" t="n">
        <x:f>SUM('店长明细'!$E$1838:$E$1857)</x:f>
        <x:v>813</x:v>
      </x:c>
      <x:c r="R249" s="10" t="n">
        <x:f>SUM('店长明细'!$D$1838:$D$1857)</x:f>
        <x:v>619</x:v>
      </x:c>
      <x:c r="S249" s="10" t="n">
        <x:f>SUM('店长明细'!$E$2070:$E$2089)</x:f>
        <x:v>420</x:v>
      </x:c>
      <x:c r="T249" s="10" t="n">
        <x:f>SUM('店长明细'!$D$2070:$D$2089)</x:f>
        <x:v>363</x:v>
      </x:c>
      <x:c r="U249" s="10" t="n">
        <x:f>SUM('店长明细'!$E$2302:$E$2321)</x:f>
        <x:v>1158</x:v>
      </x:c>
      <x:c r="V249" s="10" t="n">
        <x:f>SUM('店长明细'!$D$2302:$D$2321)</x:f>
        <x:v>873</x:v>
      </x:c>
      <x:c r="W249" s="11" t="n">
        <x:f>SUM('店长明细'!$F$214:$F$233)</x:f>
        <x:v>26654.75</x:v>
      </x:c>
      <x:c r="X249" s="11" t="n">
        <x:f>SUM('店长明细'!$F$446:$F$465)</x:f>
        <x:v>247312.79000000004</x:v>
      </x:c>
      <x:c r="Y249" s="11" t="n">
        <x:f>SUM('店长明细'!$F$678:$F$697)</x:f>
        <x:v>196898.11000000002</x:v>
      </x:c>
      <x:c r="Z249" s="11" t="n">
        <x:f>SUM('店长明细'!$F$910:$F$929)</x:f>
        <x:v>118888.68</x:v>
      </x:c>
      <x:c r="AA249" s="11" t="n">
        <x:f>SUM('店长明细'!$F$1142:$F$1161)</x:f>
        <x:v>744.73</x:v>
      </x:c>
      <x:c r="AB249" s="11" t="n">
        <x:f>SUM('店长明细'!$F$1374:$F$1393)</x:f>
        <x:v>169224.77</x:v>
      </x:c>
      <x:c r="AC249" s="11" t="n">
        <x:f>SUM('店长明细'!$F$1606:$F$1625)</x:f>
        <x:v>178868.46</x:v>
      </x:c>
      <x:c r="AD249" s="11" t="n">
        <x:f>SUM('店长明细'!$F$1838:$F$1857)</x:f>
        <x:v>31388.389999999996</x:v>
      </x:c>
      <x:c r="AE249" s="11" t="n">
        <x:f>SUM('店长明细'!$F$2070:$F$2089)</x:f>
        <x:v>27356.040000000005</x:v>
      </x:c>
      <x:c r="AF249" s="11" t="n">
        <x:f>SUM('店长明细'!$F$2302:$F$2321)</x:f>
        <x:v>14315.43</x:v>
      </x:c>
    </x:row>
    <x:row r="253" ht="24" customHeight="1">
      <x:c r="A253" s="75" t="str">
        <x:v>站点维度｜按天（密集）｜公式图表数据</x:v>
      </x:c>
      <x:c r="B253" s="75"/>
      <x:c r="C253" s="75"/>
      <x:c r="D253" s="75"/>
      <x:c r="E253" s="75"/>
      <x:c r="F253" s="75"/>
      <x:c r="G253" s="75"/>
      <x:c r="H253" s="75"/>
      <x:c r="I253" s="75"/>
      <x:c r="J253" s="75"/>
      <x:c r="K253" s="75"/>
      <x:c r="L253" s="75"/>
      <x:c r="M253" s="75"/>
      <x:c r="N253" s="75"/>
      <x:c r="O253" s="75"/>
      <x:c r="P253" s="75"/>
      <x:c r="Q253" s="75"/>
      <x:c r="R253" s="75"/>
      <x:c r="S253" s="75"/>
      <x:c r="T253" s="75"/>
      <x:c r="U253" s="75"/>
      <x:c r="V253" s="75"/>
      <x:c r="W253" s="75"/>
    </x:row>
    <x:row r="254" ht="34" customHeight="1">
      <x:c r="A254" s="81" t="str">
        <x:v>时间标签</x:v>
      </x:c>
      <x:c r="B254" s="82" t="str">
        <x:v>时间值</x:v>
      </x:c>
      <x:c r="C254" s="82" t="str">
        <x:v>印度尼西亚_销量</x:v>
      </x:c>
      <x:c r="D254" s="82" t="str">
        <x:v>印度尼西亚_订单</x:v>
      </x:c>
      <x:c r="E254" s="82" t="str">
        <x:v>菲律宾_销量</x:v>
      </x:c>
      <x:c r="F254" s="82" t="str">
        <x:v>菲律宾_订单</x:v>
      </x:c>
      <x:c r="G254" s="82" t="str">
        <x:v>越南_销量</x:v>
      </x:c>
      <x:c r="H254" s="82" t="str">
        <x:v>越南_订单</x:v>
      </x:c>
      <x:c r="I254" s="82" t="str">
        <x:v>马来西亚_销量</x:v>
      </x:c>
      <x:c r="J254" s="82" t="str">
        <x:v>马来西亚_订单</x:v>
      </x:c>
      <x:c r="K254" s="82" t="str">
        <x:v>泰国_销量</x:v>
      </x:c>
      <x:c r="L254" s="82" t="str">
        <x:v>泰国_订单</x:v>
      </x:c>
      <x:c r="M254" s="82" t="str">
        <x:v>墨西哥_销量</x:v>
      </x:c>
      <x:c r="N254" s="82" t="str">
        <x:v>墨西哥_订单</x:v>
      </x:c>
      <x:c r="O254" s="82" t="str">
        <x:v>巴西_销量</x:v>
      </x:c>
      <x:c r="P254" s="82" t="str">
        <x:v>巴西_订单</x:v>
      </x:c>
      <x:c r="Q254" s="82" t="str">
        <x:v>印度尼西亚_发货金额</x:v>
      </x:c>
      <x:c r="R254" s="82" t="str">
        <x:v>菲律宾_发货金额</x:v>
      </x:c>
      <x:c r="S254" s="82" t="str">
        <x:v>越南_发货金额</x:v>
      </x:c>
      <x:c r="T254" s="82" t="str">
        <x:v>马来西亚_发货金额</x:v>
      </x:c>
      <x:c r="U254" s="82" t="str">
        <x:v>泰国_发货金额</x:v>
      </x:c>
      <x:c r="V254" s="82" t="str">
        <x:v>墨西哥_发货金额</x:v>
      </x:c>
      <x:c r="W254" s="83" t="str">
        <x:v>巴西_发货金额</x:v>
      </x:c>
    </x:row>
    <x:row r="255">
      <x:c r="A255" t="str">
        <x:f>TEXT($B255,"mm-dd")</x:f>
        <x:v>01-01</x:v>
      </x:c>
      <x:c r="B255" s="9" t="n">
        <x:f>'站点明细'!$C2</x:f>
        <x:v>46023</x:v>
      </x:c>
      <x:c r="C255" s="10" t="n">
        <x:f>'站点明细'!$E2</x:f>
        <x:v>5656</x:v>
      </x:c>
      <x:c r="D255" s="10" t="n">
        <x:f>'站点明细'!$D2</x:f>
        <x:v>3350</x:v>
      </x:c>
      <x:c r="E255" s="10" t="n">
        <x:f>'站点明细'!$E234</x:f>
        <x:v>0</x:v>
      </x:c>
      <x:c r="F255" s="10" t="n">
        <x:f>'站点明细'!$D234</x:f>
        <x:v>0</x:v>
      </x:c>
      <x:c r="G255" s="10" t="n">
        <x:f>'站点明细'!$E466</x:f>
        <x:v>36</x:v>
      </x:c>
      <x:c r="H255" s="10" t="n">
        <x:f>'站点明细'!$D466</x:f>
        <x:v>24</x:v>
      </x:c>
      <x:c r="I255" s="10" t="n">
        <x:f>'站点明细'!$E698</x:f>
        <x:v>87</x:v>
      </x:c>
      <x:c r="J255" s="10" t="n">
        <x:f>'站点明细'!$D698</x:f>
        <x:v>36</x:v>
      </x:c>
      <x:c r="K255" s="10" t="n">
        <x:f>'站点明细'!$E930</x:f>
        <x:v>47</x:v>
      </x:c>
      <x:c r="L255" s="10" t="n">
        <x:f>'站点明细'!$D930</x:f>
        <x:v>45</x:v>
      </x:c>
      <x:c r="M255" s="10" t="n">
        <x:f>'站点明细'!$E1162</x:f>
        <x:v>65</x:v>
      </x:c>
      <x:c r="N255" s="10" t="n">
        <x:f>'站点明细'!$D1162</x:f>
        <x:v>55</x:v>
      </x:c>
      <x:c r="O255" s="10" t="n">
        <x:f>'站点明细'!$E1394</x:f>
        <x:v>0</x:v>
      </x:c>
      <x:c r="P255" s="10" t="n">
        <x:f>'站点明细'!$D1394</x:f>
        <x:v>0</x:v>
      </x:c>
      <x:c r="Q255" s="11" t="n">
        <x:f>'站点明细'!$F2</x:f>
        <x:v>48332.44</x:v>
      </x:c>
      <x:c r="R255" s="11" t="n">
        <x:f>'站点明细'!$F234</x:f>
        <x:v>0</x:v>
      </x:c>
      <x:c r="S255" s="11" t="n">
        <x:f>'站点明细'!$F466</x:f>
        <x:v>327.81</x:v>
      </x:c>
      <x:c r="T255" s="11" t="n">
        <x:f>'站点明细'!$F698</x:f>
        <x:v>612.27</x:v>
      </x:c>
      <x:c r="U255" s="11" t="n">
        <x:f>'站点明细'!$F930</x:f>
        <x:v>580.83</x:v>
      </x:c>
      <x:c r="V255" s="11" t="n">
        <x:f>'站点明细'!$F1162</x:f>
        <x:v>3989.03</x:v>
      </x:c>
      <x:c r="W255" s="11" t="n">
        <x:f>'站点明细'!$F1394</x:f>
        <x:v>0</x:v>
      </x:c>
    </x:row>
    <x:row r="256">
      <x:c r="A256" t="str">
        <x:f>TEXT($B256,"mm-dd")</x:f>
        <x:v>01-02</x:v>
      </x:c>
      <x:c r="B256" s="9" t="n">
        <x:f>'站点明细'!$C3</x:f>
        <x:v>46024</x:v>
      </x:c>
      <x:c r="C256" s="10" t="n">
        <x:f>'站点明细'!$E3</x:f>
        <x:v>6499</x:v>
      </x:c>
      <x:c r="D256" s="10" t="n">
        <x:f>'站点明细'!$D3</x:f>
        <x:v>3870</x:v>
      </x:c>
      <x:c r="E256" s="10" t="n">
        <x:f>'站点明细'!$E235</x:f>
        <x:v>2692</x:v>
      </x:c>
      <x:c r="F256" s="10" t="n">
        <x:f>'站点明细'!$D235</x:f>
        <x:v>1199</x:v>
      </x:c>
      <x:c r="G256" s="10" t="n">
        <x:f>'站点明细'!$E467</x:f>
        <x:v>199</x:v>
      </x:c>
      <x:c r="H256" s="10" t="n">
        <x:f>'站点明细'!$D467</x:f>
        <x:v>101</x:v>
      </x:c>
      <x:c r="I256" s="10" t="n">
        <x:f>'站点明细'!$E699</x:f>
        <x:v>156</x:v>
      </x:c>
      <x:c r="J256" s="10" t="n">
        <x:f>'站点明细'!$D699</x:f>
        <x:v>56</x:v>
      </x:c>
      <x:c r="K256" s="10" t="n">
        <x:f>'站点明细'!$E931</x:f>
        <x:v>30</x:v>
      </x:c>
      <x:c r="L256" s="10" t="n">
        <x:f>'站点明细'!$D931</x:f>
        <x:v>27</x:v>
      </x:c>
      <x:c r="M256" s="10" t="n">
        <x:f>'站点明细'!$E1163</x:f>
        <x:v>23</x:v>
      </x:c>
      <x:c r="N256" s="10" t="n">
        <x:f>'站点明细'!$D1163</x:f>
        <x:v>15</x:v>
      </x:c>
      <x:c r="O256" s="10" t="n">
        <x:f>'站点明细'!$E1395</x:f>
        <x:v>0</x:v>
      </x:c>
      <x:c r="P256" s="10" t="n">
        <x:f>'站点明细'!$D1395</x:f>
        <x:v>0</x:v>
      </x:c>
      <x:c r="Q256" s="11" t="n">
        <x:f>'站点明细'!$F3</x:f>
        <x:v>54080.69</x:v>
      </x:c>
      <x:c r="R256" s="11" t="n">
        <x:f>'站点明细'!$F235</x:f>
        <x:v>26702.23</x:v>
      </x:c>
      <x:c r="S256" s="11" t="n">
        <x:f>'站点明细'!$F467</x:f>
        <x:v>1566.8</x:v>
      </x:c>
      <x:c r="T256" s="11" t="n">
        <x:f>'站点明细'!$F699</x:f>
        <x:v>1238.95</x:v>
      </x:c>
      <x:c r="U256" s="11" t="n">
        <x:f>'站点明细'!$F931</x:f>
        <x:v>369.02</x:v>
      </x:c>
      <x:c r="V256" s="11" t="n">
        <x:f>'站点明细'!$F1163</x:f>
        <x:v>1773.14</x:v>
      </x:c>
      <x:c r="W256" s="11" t="n">
        <x:f>'站点明细'!$F1395</x:f>
        <x:v>0</x:v>
      </x:c>
    </x:row>
    <x:row r="257">
      <x:c r="A257" t="str">
        <x:f>TEXT($B257,"mm-dd")</x:f>
        <x:v>01-03</x:v>
      </x:c>
      <x:c r="B257" s="9" t="n">
        <x:f>'站点明细'!$C4</x:f>
        <x:v>46025</x:v>
      </x:c>
      <x:c r="C257" s="10" t="n">
        <x:f>'站点明细'!$E4</x:f>
        <x:v>5454</x:v>
      </x:c>
      <x:c r="D257" s="10" t="n">
        <x:f>'站点明细'!$D4</x:f>
        <x:v>3374</x:v>
      </x:c>
      <x:c r="E257" s="10" t="n">
        <x:f>'站点明细'!$E236</x:f>
        <x:v>1331</x:v>
      </x:c>
      <x:c r="F257" s="10" t="n">
        <x:f>'站点明细'!$D236</x:f>
        <x:v>586</x:v>
      </x:c>
      <x:c r="G257" s="10" t="n">
        <x:f>'站点明细'!$E468</x:f>
        <x:v>80</x:v>
      </x:c>
      <x:c r="H257" s="10" t="n">
        <x:f>'站点明细'!$D468</x:f>
        <x:v>44</x:v>
      </x:c>
      <x:c r="I257" s="10" t="n">
        <x:f>'站点明细'!$E700</x:f>
        <x:v>92</x:v>
      </x:c>
      <x:c r="J257" s="10" t="n">
        <x:f>'站点明细'!$D700</x:f>
        <x:v>34</x:v>
      </x:c>
      <x:c r="K257" s="10" t="n">
        <x:f>'站点明细'!$E932</x:f>
        <x:v>76</x:v>
      </x:c>
      <x:c r="L257" s="10" t="n">
        <x:f>'站点明细'!$D932</x:f>
        <x:v>65</x:v>
      </x:c>
      <x:c r="M257" s="10" t="n">
        <x:f>'站点明细'!$E1164</x:f>
        <x:v>188</x:v>
      </x:c>
      <x:c r="N257" s="10" t="n">
        <x:f>'站点明细'!$D1164</x:f>
        <x:v>159</x:v>
      </x:c>
      <x:c r="O257" s="10" t="n">
        <x:f>'站点明细'!$E1396</x:f>
        <x:v>0</x:v>
      </x:c>
      <x:c r="P257" s="10" t="n">
        <x:f>'站点明细'!$D1396</x:f>
        <x:v>0</x:v>
      </x:c>
      <x:c r="Q257" s="11" t="n">
        <x:f>'站点明细'!$F4</x:f>
        <x:v>45901.02</x:v>
      </x:c>
      <x:c r="R257" s="11" t="n">
        <x:f>'站点明细'!$F236</x:f>
        <x:v>13335.26</x:v>
      </x:c>
      <x:c r="S257" s="11" t="n">
        <x:f>'站点明细'!$F468</x:f>
        <x:v>592.07</x:v>
      </x:c>
      <x:c r="T257" s="11" t="n">
        <x:f>'站点明细'!$F700</x:f>
        <x:v>753.96</x:v>
      </x:c>
      <x:c r="U257" s="11" t="n">
        <x:f>'站点明细'!$F932</x:f>
        <x:v>933.29</x:v>
      </x:c>
      <x:c r="V257" s="11" t="n">
        <x:f>'站点明细'!$F1164</x:f>
        <x:v>15913.25</x:v>
      </x:c>
      <x:c r="W257" s="11" t="n">
        <x:f>'站点明细'!$F1396</x:f>
        <x:v>0</x:v>
      </x:c>
    </x:row>
    <x:row r="258">
      <x:c r="A258" t="str">
        <x:f>TEXT($B258,"mm-dd")</x:f>
        <x:v>01-04</x:v>
      </x:c>
      <x:c r="B258" s="9" t="n">
        <x:f>'站点明细'!$C5</x:f>
        <x:v>46026</x:v>
      </x:c>
      <x:c r="C258" s="10" t="n">
        <x:f>'站点明细'!$E5</x:f>
        <x:v>5883</x:v>
      </x:c>
      <x:c r="D258" s="10" t="n">
        <x:f>'站点明细'!$D5</x:f>
        <x:v>3716</x:v>
      </x:c>
      <x:c r="E258" s="10" t="n">
        <x:f>'站点明细'!$E237</x:f>
        <x:v>1293</x:v>
      </x:c>
      <x:c r="F258" s="10" t="n">
        <x:f>'站点明细'!$D237</x:f>
        <x:v>553</x:v>
      </x:c>
      <x:c r="G258" s="10" t="n">
        <x:f>'站点明细'!$E469</x:f>
        <x:v>101</x:v>
      </x:c>
      <x:c r="H258" s="10" t="n">
        <x:f>'站点明细'!$D469</x:f>
        <x:v>62</x:v>
      </x:c>
      <x:c r="I258" s="10" t="n">
        <x:f>'站点明细'!$E701</x:f>
        <x:v>77</x:v>
      </x:c>
      <x:c r="J258" s="10" t="n">
        <x:f>'站点明细'!$D701</x:f>
        <x:v>29</x:v>
      </x:c>
      <x:c r="K258" s="10" t="n">
        <x:f>'站点明细'!$E933</x:f>
        <x:v>43</x:v>
      </x:c>
      <x:c r="L258" s="10" t="n">
        <x:f>'站点明细'!$D933</x:f>
        <x:v>35</x:v>
      </x:c>
      <x:c r="M258" s="10" t="n">
        <x:f>'站点明细'!$E1165</x:f>
        <x:v>109</x:v>
      </x:c>
      <x:c r="N258" s="10" t="n">
        <x:f>'站点明细'!$D1165</x:f>
        <x:v>93</x:v>
      </x:c>
      <x:c r="O258" s="10" t="n">
        <x:f>'站点明细'!$E1397</x:f>
        <x:v>0</x:v>
      </x:c>
      <x:c r="P258" s="10" t="n">
        <x:f>'站点明细'!$D1397</x:f>
        <x:v>0</x:v>
      </x:c>
      <x:c r="Q258" s="11" t="n">
        <x:f>'站点明细'!$F5</x:f>
        <x:v>50829.52</x:v>
      </x:c>
      <x:c r="R258" s="11" t="n">
        <x:f>'站点明细'!$F237</x:f>
        <x:v>13731.39</x:v>
      </x:c>
      <x:c r="S258" s="11" t="n">
        <x:f>'站点明细'!$F469</x:f>
        <x:v>785.99</x:v>
      </x:c>
      <x:c r="T258" s="11" t="n">
        <x:f>'站点明细'!$F701</x:f>
        <x:v>642.46</x:v>
      </x:c>
      <x:c r="U258" s="11" t="n">
        <x:f>'站点明细'!$F933</x:f>
        <x:v>565.91</x:v>
      </x:c>
      <x:c r="V258" s="11" t="n">
        <x:f>'站点明细'!$F1165</x:f>
        <x:v>9461.49</x:v>
      </x:c>
      <x:c r="W258" s="11" t="n">
        <x:f>'站点明细'!$F1397</x:f>
        <x:v>0</x:v>
      </x:c>
    </x:row>
    <x:row r="259">
      <x:c r="A259" t="str">
        <x:f>TEXT($B259,"mm-dd")</x:f>
        <x:v>01-05</x:v>
      </x:c>
      <x:c r="B259" s="9" t="n">
        <x:f>'站点明细'!$C6</x:f>
        <x:v>46027</x:v>
      </x:c>
      <x:c r="C259" s="10" t="n">
        <x:f>'站点明细'!$E6</x:f>
        <x:v>5650</x:v>
      </x:c>
      <x:c r="D259" s="10" t="n">
        <x:f>'站点明细'!$D6</x:f>
        <x:v>3574</x:v>
      </x:c>
      <x:c r="E259" s="10" t="n">
        <x:f>'站点明细'!$E238</x:f>
        <x:v>1669</x:v>
      </x:c>
      <x:c r="F259" s="10" t="n">
        <x:f>'站点明细'!$D238</x:f>
        <x:v>722</x:v>
      </x:c>
      <x:c r="G259" s="10" t="n">
        <x:f>'站点明细'!$E470</x:f>
        <x:v>132</x:v>
      </x:c>
      <x:c r="H259" s="10" t="n">
        <x:f>'站点明细'!$D470</x:f>
        <x:v>76</x:v>
      </x:c>
      <x:c r="I259" s="10" t="n">
        <x:f>'站点明细'!$E702</x:f>
        <x:v>92</x:v>
      </x:c>
      <x:c r="J259" s="10" t="n">
        <x:f>'站点明细'!$D702</x:f>
        <x:v>62</x:v>
      </x:c>
      <x:c r="K259" s="10" t="n">
        <x:f>'站点明细'!$E934</x:f>
        <x:v>54</x:v>
      </x:c>
      <x:c r="L259" s="10" t="n">
        <x:f>'站点明细'!$D934</x:f>
        <x:v>47</x:v>
      </x:c>
      <x:c r="M259" s="10" t="n">
        <x:f>'站点明细'!$E1166</x:f>
        <x:v>100</x:v>
      </x:c>
      <x:c r="N259" s="10" t="n">
        <x:f>'站点明细'!$D1166</x:f>
        <x:v>80</x:v>
      </x:c>
      <x:c r="O259" s="10" t="n">
        <x:f>'站点明细'!$E1398</x:f>
        <x:v>0</x:v>
      </x:c>
      <x:c r="P259" s="10" t="n">
        <x:f>'站点明细'!$D1398</x:f>
        <x:v>0</x:v>
      </x:c>
      <x:c r="Q259" s="11" t="n">
        <x:f>'站点明细'!$F6</x:f>
        <x:v>48081.39</x:v>
      </x:c>
      <x:c r="R259" s="11" t="n">
        <x:f>'站点明细'!$F238</x:f>
        <x:v>16397.18</x:v>
      </x:c>
      <x:c r="S259" s="11" t="n">
        <x:f>'站点明细'!$F470</x:f>
        <x:v>1021.49</x:v>
      </x:c>
      <x:c r="T259" s="11" t="n">
        <x:f>'站点明细'!$F702</x:f>
        <x:v>255.57</x:v>
      </x:c>
      <x:c r="U259" s="11" t="n">
        <x:f>'站点明细'!$F934</x:f>
        <x:v>678.64</x:v>
      </x:c>
      <x:c r="V259" s="11" t="n">
        <x:f>'站点明细'!$F1166</x:f>
        <x:v>7298.63</x:v>
      </x:c>
      <x:c r="W259" s="11" t="n">
        <x:f>'站点明细'!$F1398</x:f>
        <x:v>0</x:v>
      </x:c>
    </x:row>
    <x:row r="260">
      <x:c r="A260" t="str">
        <x:f>TEXT($B260,"mm-dd")</x:f>
        <x:v>01-06</x:v>
      </x:c>
      <x:c r="B260" s="9" t="n">
        <x:f>'站点明细'!$C7</x:f>
        <x:v>46028</x:v>
      </x:c>
      <x:c r="C260" s="10" t="n">
        <x:f>'站点明细'!$E7</x:f>
        <x:v>6423</x:v>
      </x:c>
      <x:c r="D260" s="10" t="n">
        <x:f>'站点明细'!$D7</x:f>
        <x:v>3704</x:v>
      </x:c>
      <x:c r="E260" s="10" t="n">
        <x:f>'站点明细'!$E239</x:f>
        <x:v>1810</x:v>
      </x:c>
      <x:c r="F260" s="10" t="n">
        <x:f>'站点明细'!$D239</x:f>
        <x:v>762</x:v>
      </x:c>
      <x:c r="G260" s="10" t="n">
        <x:f>'站点明细'!$E471</x:f>
        <x:v>140</x:v>
      </x:c>
      <x:c r="H260" s="10" t="n">
        <x:f>'站点明细'!$D471</x:f>
        <x:v>76</x:v>
      </x:c>
      <x:c r="I260" s="10" t="n">
        <x:f>'站点明细'!$E703</x:f>
        <x:v>26</x:v>
      </x:c>
      <x:c r="J260" s="10" t="n">
        <x:f>'站点明细'!$D703</x:f>
        <x:v>12</x:v>
      </x:c>
      <x:c r="K260" s="10" t="n">
        <x:f>'站点明细'!$E935</x:f>
        <x:v>31</x:v>
      </x:c>
      <x:c r="L260" s="10" t="n">
        <x:f>'站点明细'!$D935</x:f>
        <x:v>27</x:v>
      </x:c>
      <x:c r="M260" s="10" t="n">
        <x:f>'站点明细'!$E1167</x:f>
        <x:v>229</x:v>
      </x:c>
      <x:c r="N260" s="10" t="n">
        <x:f>'站点明细'!$D1167</x:f>
        <x:v>173</x:v>
      </x:c>
      <x:c r="O260" s="10" t="n">
        <x:f>'站点明细'!$E1399</x:f>
        <x:v>0</x:v>
      </x:c>
      <x:c r="P260" s="10" t="n">
        <x:f>'站点明细'!$D1399</x:f>
        <x:v>0</x:v>
      </x:c>
      <x:c r="Q260" s="11" t="n">
        <x:f>'站点明细'!$F7</x:f>
        <x:v>50920.38</x:v>
      </x:c>
      <x:c r="R260" s="11" t="n">
        <x:f>'站点明细'!$F239</x:f>
        <x:v>16824.57</x:v>
      </x:c>
      <x:c r="S260" s="11" t="n">
        <x:f>'站点明细'!$F471</x:f>
        <x:v>1144.15</x:v>
      </x:c>
      <x:c r="T260" s="11" t="n">
        <x:f>'站点明细'!$F703</x:f>
        <x:v>231.81</x:v>
      </x:c>
      <x:c r="U260" s="11" t="n">
        <x:f>'站点明细'!$F935</x:f>
        <x:v>384.78</x:v>
      </x:c>
      <x:c r="V260" s="11" t="n">
        <x:f>'站点明细'!$F1167</x:f>
        <x:v>16609.87</x:v>
      </x:c>
      <x:c r="W260" s="11" t="n">
        <x:f>'站点明细'!$F1399</x:f>
        <x:v>0</x:v>
      </x:c>
    </x:row>
    <x:row r="261">
      <x:c r="A261" t="str">
        <x:f>TEXT($B261,"mm-dd")</x:f>
        <x:v>01-07</x:v>
      </x:c>
      <x:c r="B261" s="9" t="n">
        <x:f>'站点明细'!$C8</x:f>
        <x:v>46029</x:v>
      </x:c>
      <x:c r="C261" s="10" t="n">
        <x:f>'站点明细'!$E8</x:f>
        <x:v>6552</x:v>
      </x:c>
      <x:c r="D261" s="10" t="n">
        <x:f>'站点明细'!$D8</x:f>
        <x:v>3641</x:v>
      </x:c>
      <x:c r="E261" s="10" t="n">
        <x:f>'站点明细'!$E240</x:f>
        <x:v>1712</x:v>
      </x:c>
      <x:c r="F261" s="10" t="n">
        <x:f>'站点明细'!$D240</x:f>
        <x:v>727</x:v>
      </x:c>
      <x:c r="G261" s="10" t="n">
        <x:f>'站点明细'!$E472</x:f>
        <x:v>167</x:v>
      </x:c>
      <x:c r="H261" s="10" t="n">
        <x:f>'站点明细'!$D472</x:f>
        <x:v>99</x:v>
      </x:c>
      <x:c r="I261" s="10" t="n">
        <x:f>'站点明细'!$E704</x:f>
        <x:v>56</x:v>
      </x:c>
      <x:c r="J261" s="10" t="n">
        <x:f>'站点明细'!$D704</x:f>
        <x:v>24</x:v>
      </x:c>
      <x:c r="K261" s="10" t="n">
        <x:f>'站点明细'!$E936</x:f>
        <x:v>43</x:v>
      </x:c>
      <x:c r="L261" s="10" t="n">
        <x:f>'站点明细'!$D936</x:f>
        <x:v>36</x:v>
      </x:c>
      <x:c r="M261" s="10" t="n">
        <x:f>'站点明细'!$E1168</x:f>
        <x:v>158</x:v>
      </x:c>
      <x:c r="N261" s="10" t="n">
        <x:f>'站点明细'!$D1168</x:f>
        <x:v>140</x:v>
      </x:c>
      <x:c r="O261" s="10" t="n">
        <x:f>'站点明细'!$E1400</x:f>
        <x:v>0</x:v>
      </x:c>
      <x:c r="P261" s="10" t="n">
        <x:f>'站点明细'!$D1400</x:f>
        <x:v>0</x:v>
      </x:c>
      <x:c r="Q261" s="11" t="n">
        <x:f>'站点明细'!$F8</x:f>
        <x:v>50675.53</x:v>
      </x:c>
      <x:c r="R261" s="11" t="n">
        <x:f>'站点明细'!$F240</x:f>
        <x:v>16072.43</x:v>
      </x:c>
      <x:c r="S261" s="11" t="n">
        <x:f>'站点明细'!$F472</x:f>
        <x:v>1449.9</x:v>
      </x:c>
      <x:c r="T261" s="11" t="n">
        <x:f>'站点明细'!$F704</x:f>
        <x:v>387.2</x:v>
      </x:c>
      <x:c r="U261" s="11" t="n">
        <x:f>'站点明细'!$F936</x:f>
        <x:v>576.02</x:v>
      </x:c>
      <x:c r="V261" s="11" t="n">
        <x:f>'站点明细'!$F1168</x:f>
        <x:v>13838.12</x:v>
      </x:c>
      <x:c r="W261" s="11" t="n">
        <x:f>'站点明细'!$F1400</x:f>
        <x:v>0</x:v>
      </x:c>
    </x:row>
    <x:row r="262">
      <x:c r="A262" t="str">
        <x:f>TEXT($B262,"mm-dd")</x:f>
        <x:v>01-08</x:v>
      </x:c>
      <x:c r="B262" s="9" t="n">
        <x:f>'站点明细'!$C9</x:f>
        <x:v>46030</x:v>
      </x:c>
      <x:c r="C262" s="10" t="n">
        <x:f>'站点明细'!$E9</x:f>
        <x:v>6694</x:v>
      </x:c>
      <x:c r="D262" s="10" t="n">
        <x:f>'站点明细'!$D9</x:f>
        <x:v>3785</x:v>
      </x:c>
      <x:c r="E262" s="10" t="n">
        <x:f>'站点明细'!$E241</x:f>
        <x:v>1538</x:v>
      </x:c>
      <x:c r="F262" s="10" t="n">
        <x:f>'站点明细'!$D241</x:f>
        <x:v>645</x:v>
      </x:c>
      <x:c r="G262" s="10" t="n">
        <x:f>'站点明细'!$E473</x:f>
        <x:v>118</x:v>
      </x:c>
      <x:c r="H262" s="10" t="n">
        <x:f>'站点明细'!$D473</x:f>
        <x:v>65</x:v>
      </x:c>
      <x:c r="I262" s="10" t="n">
        <x:f>'站点明细'!$E705</x:f>
        <x:v>126</x:v>
      </x:c>
      <x:c r="J262" s="10" t="n">
        <x:f>'站点明细'!$D705</x:f>
        <x:v>55</x:v>
      </x:c>
      <x:c r="K262" s="10" t="n">
        <x:f>'站点明细'!$E937</x:f>
        <x:v>72</x:v>
      </x:c>
      <x:c r="L262" s="10" t="n">
        <x:f>'站点明细'!$D937</x:f>
        <x:v>39</x:v>
      </x:c>
      <x:c r="M262" s="10" t="n">
        <x:f>'站点明细'!$E1169</x:f>
        <x:v>102</x:v>
      </x:c>
      <x:c r="N262" s="10" t="n">
        <x:f>'站点明细'!$D1169</x:f>
        <x:v>94</x:v>
      </x:c>
      <x:c r="O262" s="10" t="n">
        <x:f>'站点明细'!$E1401</x:f>
        <x:v>0</x:v>
      </x:c>
      <x:c r="P262" s="10" t="n">
        <x:f>'站点明细'!$D1401</x:f>
        <x:v>0</x:v>
      </x:c>
      <x:c r="Q262" s="11" t="n">
        <x:f>'站点明细'!$F9</x:f>
        <x:v>52912.9</x:v>
      </x:c>
      <x:c r="R262" s="11" t="n">
        <x:f>'站点明细'!$F241</x:f>
        <x:v>14222.57</x:v>
      </x:c>
      <x:c r="S262" s="11" t="n">
        <x:f>'站点明细'!$F473</x:f>
        <x:v>898.77</x:v>
      </x:c>
      <x:c r="T262" s="11" t="n">
        <x:f>'站点明细'!$F705</x:f>
        <x:v>656</x:v>
      </x:c>
      <x:c r="U262" s="11" t="n">
        <x:f>'站点明细'!$F937</x:f>
        <x:v>636.02</x:v>
      </x:c>
      <x:c r="V262" s="11" t="n">
        <x:f>'站点明细'!$F1169</x:f>
        <x:v>6589.5</x:v>
      </x:c>
      <x:c r="W262" s="11" t="n">
        <x:f>'站点明细'!$F1401</x:f>
        <x:v>0</x:v>
      </x:c>
    </x:row>
    <x:row r="263">
      <x:c r="A263" t="str">
        <x:f>TEXT($B263,"mm-dd")</x:f>
        <x:v>01-09</x:v>
      </x:c>
      <x:c r="B263" s="9" t="n">
        <x:f>'站点明细'!$C10</x:f>
        <x:v>46031</x:v>
      </x:c>
      <x:c r="C263" s="10" t="n">
        <x:f>'站点明细'!$E10</x:f>
        <x:v>7455</x:v>
      </x:c>
      <x:c r="D263" s="10" t="n">
        <x:f>'站点明细'!$D10</x:f>
        <x:v>4127</x:v>
      </x:c>
      <x:c r="E263" s="10" t="n">
        <x:f>'站点明细'!$E242</x:f>
        <x:v>1724</x:v>
      </x:c>
      <x:c r="F263" s="10" t="n">
        <x:f>'站点明细'!$D242</x:f>
        <x:v>723</x:v>
      </x:c>
      <x:c r="G263" s="10" t="n">
        <x:f>'站点明细'!$E474</x:f>
        <x:v>144</x:v>
      </x:c>
      <x:c r="H263" s="10" t="n">
        <x:f>'站点明细'!$D474</x:f>
        <x:v>78</x:v>
      </x:c>
      <x:c r="I263" s="10" t="n">
        <x:f>'站点明细'!$E706</x:f>
        <x:v>69</x:v>
      </x:c>
      <x:c r="J263" s="10" t="n">
        <x:f>'站点明细'!$D706</x:f>
        <x:v>26</x:v>
      </x:c>
      <x:c r="K263" s="10" t="n">
        <x:f>'站点明细'!$E938</x:f>
        <x:v>79</x:v>
      </x:c>
      <x:c r="L263" s="10" t="n">
        <x:f>'站点明细'!$D938</x:f>
        <x:v>39</x:v>
      </x:c>
      <x:c r="M263" s="10" t="n">
        <x:f>'站点明细'!$E1170</x:f>
        <x:v>113</x:v>
      </x:c>
      <x:c r="N263" s="10" t="n">
        <x:f>'站点明细'!$D1170</x:f>
        <x:v>99</x:v>
      </x:c>
      <x:c r="O263" s="10" t="n">
        <x:f>'站点明细'!$E1402</x:f>
        <x:v>0</x:v>
      </x:c>
      <x:c r="P263" s="10" t="n">
        <x:f>'站点明细'!$D1402</x:f>
        <x:v>0</x:v>
      </x:c>
      <x:c r="Q263" s="11" t="n">
        <x:f>'站点明细'!$F10</x:f>
        <x:v>54375.25</x:v>
      </x:c>
      <x:c r="R263" s="11" t="n">
        <x:f>'站点明细'!$F242</x:f>
        <x:v>15432.45</x:v>
      </x:c>
      <x:c r="S263" s="11" t="n">
        <x:f>'站点明细'!$F474</x:f>
        <x:v>1152.02</x:v>
      </x:c>
      <x:c r="T263" s="11" t="n">
        <x:f>'站点明细'!$F706</x:f>
        <x:v>332.37</x:v>
      </x:c>
      <x:c r="U263" s="11" t="n">
        <x:f>'站点明细'!$F938</x:f>
        <x:v>580.87</x:v>
      </x:c>
      <x:c r="V263" s="11" t="n">
        <x:f>'站点明细'!$F1170</x:f>
        <x:v>9015.49</x:v>
      </x:c>
      <x:c r="W263" s="11" t="n">
        <x:f>'站点明细'!$F1402</x:f>
        <x:v>0</x:v>
      </x:c>
    </x:row>
    <x:row r="264">
      <x:c r="A264" t="str">
        <x:f>TEXT($B264,"mm-dd")</x:f>
        <x:v>01-10</x:v>
      </x:c>
      <x:c r="B264" s="9" t="n">
        <x:f>'站点明细'!$C11</x:f>
        <x:v>46032</x:v>
      </x:c>
      <x:c r="C264" s="10" t="n">
        <x:f>'站点明细'!$E11</x:f>
        <x:v>6592</x:v>
      </x:c>
      <x:c r="D264" s="10" t="n">
        <x:f>'站点明细'!$D11</x:f>
        <x:v>3668</x:v>
      </x:c>
      <x:c r="E264" s="10" t="n">
        <x:f>'站点明细'!$E243</x:f>
        <x:v>1634</x:v>
      </x:c>
      <x:c r="F264" s="10" t="n">
        <x:f>'站点明细'!$D243</x:f>
        <x:v>704</x:v>
      </x:c>
      <x:c r="G264" s="10" t="n">
        <x:f>'站点明细'!$E475</x:f>
        <x:v>203</x:v>
      </x:c>
      <x:c r="H264" s="10" t="n">
        <x:f>'站点明细'!$D475</x:f>
        <x:v>109</x:v>
      </x:c>
      <x:c r="I264" s="10" t="n">
        <x:f>'站点明细'!$E707</x:f>
        <x:v>31</x:v>
      </x:c>
      <x:c r="J264" s="10" t="n">
        <x:f>'站点明细'!$D707</x:f>
        <x:v>15</x:v>
      </x:c>
      <x:c r="K264" s="10" t="n">
        <x:f>'站点明细'!$E939</x:f>
        <x:v>59</x:v>
      </x:c>
      <x:c r="L264" s="10" t="n">
        <x:f>'站点明细'!$D939</x:f>
        <x:v>30</x:v>
      </x:c>
      <x:c r="M264" s="10" t="n">
        <x:f>'站点明细'!$E1171</x:f>
        <x:v>130</x:v>
      </x:c>
      <x:c r="N264" s="10" t="n">
        <x:f>'站点明细'!$D1171</x:f>
        <x:v>102</x:v>
      </x:c>
      <x:c r="O264" s="10" t="n">
        <x:f>'站点明细'!$E1403</x:f>
        <x:v>0</x:v>
      </x:c>
      <x:c r="P264" s="10" t="n">
        <x:f>'站点明细'!$D1403</x:f>
        <x:v>0</x:v>
      </x:c>
      <x:c r="Q264" s="11" t="n">
        <x:f>'站点明细'!$F11</x:f>
        <x:v>46719.25</x:v>
      </x:c>
      <x:c r="R264" s="11" t="n">
        <x:f>'站点明细'!$F243</x:f>
        <x:v>15095.55</x:v>
      </x:c>
      <x:c r="S264" s="11" t="n">
        <x:f>'站点明细'!$F475</x:f>
        <x:v>1596.31</x:v>
      </x:c>
      <x:c r="T264" s="11" t="n">
        <x:f>'站点明细'!$F707</x:f>
        <x:v>266.86</x:v>
      </x:c>
      <x:c r="U264" s="11" t="n">
        <x:f>'站点明细'!$F939</x:f>
        <x:v>410.44</x:v>
      </x:c>
      <x:c r="V264" s="11" t="n">
        <x:f>'站点明细'!$F1171</x:f>
        <x:v>10466.34</x:v>
      </x:c>
      <x:c r="W264" s="11" t="n">
        <x:f>'站点明细'!$F1403</x:f>
        <x:v>0</x:v>
      </x:c>
    </x:row>
    <x:row r="265">
      <x:c r="A265" t="str">
        <x:f>TEXT($B265,"mm-dd")</x:f>
        <x:v>01-11</x:v>
      </x:c>
      <x:c r="B265" s="9" t="n">
        <x:f>'站点明细'!$C12</x:f>
        <x:v>46033</x:v>
      </x:c>
      <x:c r="C265" s="10" t="n">
        <x:f>'站点明细'!$E12</x:f>
        <x:v>5720</x:v>
      </x:c>
      <x:c r="D265" s="10" t="n">
        <x:f>'站点明细'!$D12</x:f>
        <x:v>3176</x:v>
      </x:c>
      <x:c r="E265" s="10" t="n">
        <x:f>'站点明细'!$E244</x:f>
        <x:v>1654</x:v>
      </x:c>
      <x:c r="F265" s="10" t="n">
        <x:f>'站点明细'!$D244</x:f>
        <x:v>734</x:v>
      </x:c>
      <x:c r="G265" s="10" t="n">
        <x:f>'站点明细'!$E476</x:f>
        <x:v>139</x:v>
      </x:c>
      <x:c r="H265" s="10" t="n">
        <x:f>'站点明细'!$D476</x:f>
        <x:v>87</x:v>
      </x:c>
      <x:c r="I265" s="10" t="n">
        <x:f>'站点明细'!$E708</x:f>
        <x:v>5</x:v>
      </x:c>
      <x:c r="J265" s="10" t="n">
        <x:f>'站点明细'!$D708</x:f>
        <x:v>2</x:v>
      </x:c>
      <x:c r="K265" s="10" t="n">
        <x:f>'站点明细'!$E940</x:f>
        <x:v>57</x:v>
      </x:c>
      <x:c r="L265" s="10" t="n">
        <x:f>'站点明细'!$D940</x:f>
        <x:v>35</x:v>
      </x:c>
      <x:c r="M265" s="10" t="n">
        <x:f>'站点明细'!$E1172</x:f>
        <x:v>84</x:v>
      </x:c>
      <x:c r="N265" s="10" t="n">
        <x:f>'站点明细'!$D1172</x:f>
        <x:v>72</x:v>
      </x:c>
      <x:c r="O265" s="10" t="n">
        <x:f>'站点明细'!$E1404</x:f>
        <x:v>0</x:v>
      </x:c>
      <x:c r="P265" s="10" t="n">
        <x:f>'站点明细'!$D1404</x:f>
        <x:v>0</x:v>
      </x:c>
      <x:c r="Q265" s="11" t="n">
        <x:f>'站点明细'!$F12</x:f>
        <x:v>41470.2</x:v>
      </x:c>
      <x:c r="R265" s="11" t="n">
        <x:f>'站点明细'!$F244</x:f>
        <x:v>15253.51</x:v>
      </x:c>
      <x:c r="S265" s="11" t="n">
        <x:f>'站点明细'!$F476</x:f>
        <x:v>1122.91</x:v>
      </x:c>
      <x:c r="T265" s="11" t="n">
        <x:f>'站点明细'!$F708</x:f>
        <x:v>47.06</x:v>
      </x:c>
      <x:c r="U265" s="11" t="n">
        <x:f>'站点明细'!$F940</x:f>
        <x:v>499.89</x:v>
      </x:c>
      <x:c r="V265" s="11" t="n">
        <x:f>'站点明细'!$F1172</x:f>
        <x:v>7449.34</x:v>
      </x:c>
      <x:c r="W265" s="11" t="n">
        <x:f>'站点明细'!$F1404</x:f>
        <x:v>0</x:v>
      </x:c>
    </x:row>
    <x:row r="266">
      <x:c r="A266" t="str">
        <x:f>TEXT($B266,"mm-dd")</x:f>
        <x:v>01-12</x:v>
      </x:c>
      <x:c r="B266" s="9" t="n">
        <x:f>'站点明细'!$C13</x:f>
        <x:v>46034</x:v>
      </x:c>
      <x:c r="C266" s="10" t="n">
        <x:f>'站点明细'!$E13</x:f>
        <x:v>5794</x:v>
      </x:c>
      <x:c r="D266" s="10" t="n">
        <x:f>'站点明细'!$D13</x:f>
        <x:v>3247</x:v>
      </x:c>
      <x:c r="E266" s="10" t="n">
        <x:f>'站点明细'!$E245</x:f>
        <x:v>1518</x:v>
      </x:c>
      <x:c r="F266" s="10" t="n">
        <x:f>'站点明细'!$D245</x:f>
        <x:v>678</x:v>
      </x:c>
      <x:c r="G266" s="10" t="n">
        <x:f>'站点明细'!$E477</x:f>
        <x:v>132</x:v>
      </x:c>
      <x:c r="H266" s="10" t="n">
        <x:f>'站点明细'!$D477</x:f>
        <x:v>75</x:v>
      </x:c>
      <x:c r="I266" s="10" t="n">
        <x:f>'站点明细'!$E709</x:f>
        <x:v>10</x:v>
      </x:c>
      <x:c r="J266" s="10" t="n">
        <x:f>'站点明细'!$D709</x:f>
        <x:v>3</x:v>
      </x:c>
      <x:c r="K266" s="10" t="n">
        <x:f>'站点明细'!$E941</x:f>
        <x:v>63</x:v>
      </x:c>
      <x:c r="L266" s="10" t="n">
        <x:f>'站点明细'!$D941</x:f>
        <x:v>55</x:v>
      </x:c>
      <x:c r="M266" s="10" t="n">
        <x:f>'站点明细'!$E1173</x:f>
        <x:v>59</x:v>
      </x:c>
      <x:c r="N266" s="10" t="n">
        <x:f>'站点明细'!$D1173</x:f>
        <x:v>52</x:v>
      </x:c>
      <x:c r="O266" s="10" t="n">
        <x:f>'站点明细'!$E1405</x:f>
        <x:v>4</x:v>
      </x:c>
      <x:c r="P266" s="10" t="n">
        <x:f>'站点明细'!$D1405</x:f>
        <x:v>3</x:v>
      </x:c>
      <x:c r="Q266" s="11" t="n">
        <x:f>'站点明细'!$F13</x:f>
        <x:v>43037.38</x:v>
      </x:c>
      <x:c r="R266" s="11" t="n">
        <x:f>'站点明细'!$F245</x:f>
        <x:v>14356.69</x:v>
      </x:c>
      <x:c r="S266" s="11" t="n">
        <x:f>'站点明细'!$F477</x:f>
        <x:v>1058.36</x:v>
      </x:c>
      <x:c r="T266" s="11" t="n">
        <x:f>'站点明细'!$F709</x:f>
        <x:v>62.59</x:v>
      </x:c>
      <x:c r="U266" s="11" t="n">
        <x:f>'站点明细'!$F941</x:f>
        <x:v>776.22</x:v>
      </x:c>
      <x:c r="V266" s="11" t="n">
        <x:f>'站点明细'!$F1173</x:f>
        <x:v>4953.27</x:v>
      </x:c>
      <x:c r="W266" s="11" t="n">
        <x:f>'站点明细'!$F1405</x:f>
        <x:v>212.93</x:v>
      </x:c>
    </x:row>
    <x:row r="267">
      <x:c r="A267" t="str">
        <x:f>TEXT($B267,"mm-dd")</x:f>
        <x:v>01-13</x:v>
      </x:c>
      <x:c r="B267" s="9" t="n">
        <x:f>'站点明细'!$C14</x:f>
        <x:v>46035</x:v>
      </x:c>
      <x:c r="C267" s="10" t="n">
        <x:f>'站点明细'!$E14</x:f>
        <x:v>5822</x:v>
      </x:c>
      <x:c r="D267" s="10" t="n">
        <x:f>'站点明细'!$D14</x:f>
        <x:v>3285</x:v>
      </x:c>
      <x:c r="E267" s="10" t="n">
        <x:f>'站点明细'!$E246</x:f>
        <x:v>1622</x:v>
      </x:c>
      <x:c r="F267" s="10" t="n">
        <x:f>'站点明细'!$D246</x:f>
        <x:v>718</x:v>
      </x:c>
      <x:c r="G267" s="10" t="n">
        <x:f>'站点明细'!$E478</x:f>
        <x:v>192</x:v>
      </x:c>
      <x:c r="H267" s="10" t="n">
        <x:f>'站点明细'!$D478</x:f>
        <x:v>111</x:v>
      </x:c>
      <x:c r="I267" s="10" t="n">
        <x:f>'站点明细'!$E710</x:f>
        <x:v>57</x:v>
      </x:c>
      <x:c r="J267" s="10" t="n">
        <x:f>'站点明细'!$D710</x:f>
        <x:v>45</x:v>
      </x:c>
      <x:c r="K267" s="10" t="n">
        <x:f>'站点明细'!$E942</x:f>
        <x:v>62</x:v>
      </x:c>
      <x:c r="L267" s="10" t="n">
        <x:f>'站点明细'!$D942</x:f>
        <x:v>46</x:v>
      </x:c>
      <x:c r="M267" s="10" t="n">
        <x:f>'站点明细'!$E1174</x:f>
        <x:v>142</x:v>
      </x:c>
      <x:c r="N267" s="10" t="n">
        <x:f>'站点明细'!$D1174</x:f>
        <x:v>118</x:v>
      </x:c>
      <x:c r="O267" s="10" t="n">
        <x:f>'站点明细'!$E1406</x:f>
        <x:v>7</x:v>
      </x:c>
      <x:c r="P267" s="10" t="n">
        <x:f>'站点明细'!$D1406</x:f>
        <x:v>6</x:v>
      </x:c>
      <x:c r="Q267" s="11" t="n">
        <x:f>'站点明细'!$F14</x:f>
        <x:v>44461.89</x:v>
      </x:c>
      <x:c r="R267" s="11" t="n">
        <x:f>'站点明细'!$F246</x:f>
        <x:v>14501.87</x:v>
      </x:c>
      <x:c r="S267" s="11" t="n">
        <x:f>'站点明细'!$F478</x:f>
        <x:v>1522.72</x:v>
      </x:c>
      <x:c r="T267" s="11" t="n">
        <x:f>'站点明细'!$F710</x:f>
        <x:v>116.72</x:v>
      </x:c>
      <x:c r="U267" s="11" t="n">
        <x:f>'站点明细'!$F942</x:f>
        <x:v>549.43</x:v>
      </x:c>
      <x:c r="V267" s="11" t="n">
        <x:f>'站点明细'!$F1174</x:f>
        <x:v>12290.9</x:v>
      </x:c>
      <x:c r="W267" s="11" t="n">
        <x:f>'站点明细'!$F1406</x:f>
        <x:v>225.76</x:v>
      </x:c>
    </x:row>
    <x:row r="268">
      <x:c r="A268" t="str">
        <x:f>TEXT($B268,"mm-dd")</x:f>
        <x:v>01-14</x:v>
      </x:c>
      <x:c r="B268" s="9" t="n">
        <x:f>'站点明细'!$C15</x:f>
        <x:v>46036</x:v>
      </x:c>
      <x:c r="C268" s="10" t="n">
        <x:f>'站点明细'!$E15</x:f>
        <x:v>4853</x:v>
      </x:c>
      <x:c r="D268" s="10" t="n">
        <x:f>'站点明细'!$D15</x:f>
        <x:v>2828</x:v>
      </x:c>
      <x:c r="E268" s="10" t="n">
        <x:f>'站点明细'!$E247</x:f>
        <x:v>1731</x:v>
      </x:c>
      <x:c r="F268" s="10" t="n">
        <x:f>'站点明细'!$D247</x:f>
        <x:v>775</x:v>
      </x:c>
      <x:c r="G268" s="10" t="n">
        <x:f>'站点明细'!$E479</x:f>
        <x:v>172</x:v>
      </x:c>
      <x:c r="H268" s="10" t="n">
        <x:f>'站点明细'!$D479</x:f>
        <x:v>118</x:v>
      </x:c>
      <x:c r="I268" s="10" t="n">
        <x:f>'站点明细'!$E711</x:f>
        <x:v>12</x:v>
      </x:c>
      <x:c r="J268" s="10" t="n">
        <x:f>'站点明细'!$D711</x:f>
        <x:v>6</x:v>
      </x:c>
      <x:c r="K268" s="10" t="n">
        <x:f>'站点明细'!$E943</x:f>
        <x:v>66</x:v>
      </x:c>
      <x:c r="L268" s="10" t="n">
        <x:f>'站点明细'!$D943</x:f>
        <x:v>54</x:v>
      </x:c>
      <x:c r="M268" s="10" t="n">
        <x:f>'站点明细'!$E1175</x:f>
        <x:v>109</x:v>
      </x:c>
      <x:c r="N268" s="10" t="n">
        <x:f>'站点明细'!$D1175</x:f>
        <x:v>92</x:v>
      </x:c>
      <x:c r="O268" s="10" t="n">
        <x:f>'站点明细'!$E1407</x:f>
        <x:v>3</x:v>
      </x:c>
      <x:c r="P268" s="10" t="n">
        <x:f>'站点明细'!$D1407</x:f>
        <x:v>2</x:v>
      </x:c>
      <x:c r="Q268" s="11" t="n">
        <x:f>'站点明细'!$F15</x:f>
        <x:v>36858.8</x:v>
      </x:c>
      <x:c r="R268" s="11" t="n">
        <x:f>'站点明细'!$F247</x:f>
        <x:v>15593.3</x:v>
      </x:c>
      <x:c r="S268" s="11" t="n">
        <x:f>'站点明细'!$F479</x:f>
        <x:v>1362.92</x:v>
      </x:c>
      <x:c r="T268" s="11" t="n">
        <x:f>'站点明细'!$F711</x:f>
        <x:v>93.58</x:v>
      </x:c>
      <x:c r="U268" s="11" t="n">
        <x:f>'站点明细'!$F943</x:f>
        <x:v>721.45</x:v>
      </x:c>
      <x:c r="V268" s="11" t="n">
        <x:f>'站点明细'!$F1175</x:f>
        <x:v>8895.52</x:v>
      </x:c>
      <x:c r="W268" s="11" t="n">
        <x:f>'站点明细'!$F1407</x:f>
        <x:v>88.02</x:v>
      </x:c>
    </x:row>
    <x:row r="269">
      <x:c r="A269" t="str">
        <x:f>TEXT($B269,"mm-dd")</x:f>
        <x:v>01-15</x:v>
      </x:c>
      <x:c r="B269" s="9" t="n">
        <x:f>'站点明细'!$C16</x:f>
        <x:v>46037</x:v>
      </x:c>
      <x:c r="C269" s="10" t="n">
        <x:f>'站点明细'!$E16</x:f>
        <x:v>5241</x:v>
      </x:c>
      <x:c r="D269" s="10" t="n">
        <x:f>'站点明细'!$D16</x:f>
        <x:v>3011</x:v>
      </x:c>
      <x:c r="E269" s="10" t="n">
        <x:f>'站点明细'!$E248</x:f>
        <x:v>1972</x:v>
      </x:c>
      <x:c r="F269" s="10" t="n">
        <x:f>'站点明细'!$D248</x:f>
        <x:v>819</x:v>
      </x:c>
      <x:c r="G269" s="10" t="n">
        <x:f>'站点明细'!$E480</x:f>
        <x:v>208</x:v>
      </x:c>
      <x:c r="H269" s="10" t="n">
        <x:f>'站点明细'!$D480</x:f>
        <x:v>146</x:v>
      </x:c>
      <x:c r="I269" s="10" t="n">
        <x:f>'站点明细'!$E712</x:f>
        <x:v>47</x:v>
      </x:c>
      <x:c r="J269" s="10" t="n">
        <x:f>'站点明细'!$D712</x:f>
        <x:v>17</x:v>
      </x:c>
      <x:c r="K269" s="10" t="n">
        <x:f>'站点明细'!$E944</x:f>
        <x:v>34</x:v>
      </x:c>
      <x:c r="L269" s="10" t="n">
        <x:f>'站点明细'!$D944</x:f>
        <x:v>32</x:v>
      </x:c>
      <x:c r="M269" s="10" t="n">
        <x:f>'站点明细'!$E1176</x:f>
        <x:v>101</x:v>
      </x:c>
      <x:c r="N269" s="10" t="n">
        <x:f>'站点明细'!$D1176</x:f>
        <x:v>88</x:v>
      </x:c>
      <x:c r="O269" s="10" t="n">
        <x:f>'站点明细'!$E1408</x:f>
        <x:v>1</x:v>
      </x:c>
      <x:c r="P269" s="10" t="n">
        <x:f>'站点明细'!$D1408</x:f>
        <x:v>1</x:v>
      </x:c>
      <x:c r="Q269" s="11" t="n">
        <x:f>'站点明细'!$F16</x:f>
        <x:v>41225.12</x:v>
      </x:c>
      <x:c r="R269" s="11" t="n">
        <x:f>'站点明细'!$F248</x:f>
        <x:v>16302.38</x:v>
      </x:c>
      <x:c r="S269" s="11" t="n">
        <x:f>'站点明细'!$F480</x:f>
        <x:v>1739.24</x:v>
      </x:c>
      <x:c r="T269" s="11" t="n">
        <x:f>'站点明细'!$F712</x:f>
        <x:v>331.05</x:v>
      </x:c>
      <x:c r="U269" s="11" t="n">
        <x:f>'站点明细'!$F944</x:f>
        <x:v>419.89</x:v>
      </x:c>
      <x:c r="V269" s="11" t="n">
        <x:f>'站点明细'!$F1176</x:f>
        <x:v>8613.49</x:v>
      </x:c>
      <x:c r="W269" s="11" t="n">
        <x:f>'站点明细'!$F1408</x:f>
        <x:v>24.99</x:v>
      </x:c>
    </x:row>
    <x:row r="270">
      <x:c r="A270" t="str">
        <x:f>TEXT($B270,"mm-dd")</x:f>
        <x:v>01-16</x:v>
      </x:c>
      <x:c r="B270" s="9" t="n">
        <x:f>'站点明细'!$C17</x:f>
        <x:v>46038</x:v>
      </x:c>
      <x:c r="C270" s="10" t="n">
        <x:f>'站点明细'!$E17</x:f>
        <x:v>4828</x:v>
      </x:c>
      <x:c r="D270" s="10" t="n">
        <x:f>'站点明细'!$D17</x:f>
        <x:v>2820</x:v>
      </x:c>
      <x:c r="E270" s="10" t="n">
        <x:f>'站点明细'!$E249</x:f>
        <x:v>1574</x:v>
      </x:c>
      <x:c r="F270" s="10" t="n">
        <x:f>'站点明细'!$D249</x:f>
        <x:v>684</x:v>
      </x:c>
      <x:c r="G270" s="10" t="n">
        <x:f>'站点明细'!$E481</x:f>
        <x:v>162</x:v>
      </x:c>
      <x:c r="H270" s="10" t="n">
        <x:f>'站点明细'!$D481</x:f>
        <x:v>108</x:v>
      </x:c>
      <x:c r="I270" s="10" t="n">
        <x:f>'站点明细'!$E713</x:f>
        <x:v>95</x:v>
      </x:c>
      <x:c r="J270" s="10" t="n">
        <x:f>'站点明细'!$D713</x:f>
        <x:v>40</x:v>
      </x:c>
      <x:c r="K270" s="10" t="n">
        <x:f>'站点明细'!$E945</x:f>
        <x:v>40</x:v>
      </x:c>
      <x:c r="L270" s="10" t="n">
        <x:f>'站点明细'!$D945</x:f>
        <x:v>33</x:v>
      </x:c>
      <x:c r="M270" s="10" t="n">
        <x:f>'站点明细'!$E1177</x:f>
        <x:v>0</x:v>
      </x:c>
      <x:c r="N270" s="10" t="n">
        <x:f>'站点明细'!$D1177</x:f>
        <x:v>0</x:v>
      </x:c>
      <x:c r="O270" s="10" t="n">
        <x:f>'站点明细'!$E1409</x:f>
        <x:v>2</x:v>
      </x:c>
      <x:c r="P270" s="10" t="n">
        <x:f>'站点明细'!$D1409</x:f>
        <x:v>2</x:v>
      </x:c>
      <x:c r="Q270" s="11" t="n">
        <x:f>'站点明细'!$F17</x:f>
        <x:v>37282.34</x:v>
      </x:c>
      <x:c r="R270" s="11" t="n">
        <x:f>'站点明细'!$F249</x:f>
        <x:v>12557.07</x:v>
      </x:c>
      <x:c r="S270" s="11" t="n">
        <x:f>'站点明细'!$F481</x:f>
        <x:v>1387.93</x:v>
      </x:c>
      <x:c r="T270" s="11" t="n">
        <x:f>'站点明细'!$F713</x:f>
        <x:v>670.75</x:v>
      </x:c>
      <x:c r="U270" s="11" t="n">
        <x:f>'站点明细'!$F945</x:f>
        <x:v>410.68</x:v>
      </x:c>
      <x:c r="V270" s="11" t="n">
        <x:f>'站点明细'!$F1177</x:f>
        <x:v>0</x:v>
      </x:c>
      <x:c r="W270" s="11" t="n">
        <x:f>'站点明细'!$F1409</x:f>
        <x:v>49.98</x:v>
      </x:c>
    </x:row>
    <x:row r="271">
      <x:c r="A271" t="str">
        <x:f>TEXT($B271,"mm-dd")</x:f>
        <x:v>01-17</x:v>
      </x:c>
      <x:c r="B271" s="9" t="n">
        <x:f>'站点明细'!$C18</x:f>
        <x:v>46039</x:v>
      </x:c>
      <x:c r="C271" s="10" t="n">
        <x:f>'站点明细'!$E18</x:f>
        <x:v>4841</x:v>
      </x:c>
      <x:c r="D271" s="10" t="n">
        <x:f>'站点明细'!$D18</x:f>
        <x:v>2784</x:v>
      </x:c>
      <x:c r="E271" s="10" t="n">
        <x:f>'站点明细'!$E250</x:f>
        <x:v>1607</x:v>
      </x:c>
      <x:c r="F271" s="10" t="n">
        <x:f>'站点明细'!$D250</x:f>
        <x:v>671</x:v>
      </x:c>
      <x:c r="G271" s="10" t="n">
        <x:f>'站点明细'!$E482</x:f>
        <x:v>143</x:v>
      </x:c>
      <x:c r="H271" s="10" t="n">
        <x:f>'站点明细'!$D482</x:f>
        <x:v>90</x:v>
      </x:c>
      <x:c r="I271" s="10" t="n">
        <x:f>'站点明细'!$E714</x:f>
        <x:v>53</x:v>
      </x:c>
      <x:c r="J271" s="10" t="n">
        <x:f>'站点明细'!$D714</x:f>
        <x:v>31</x:v>
      </x:c>
      <x:c r="K271" s="10" t="n">
        <x:f>'站点明细'!$E946</x:f>
        <x:v>37</x:v>
      </x:c>
      <x:c r="L271" s="10" t="n">
        <x:f>'站点明细'!$D946</x:f>
        <x:v>32</x:v>
      </x:c>
      <x:c r="M271" s="10" t="n">
        <x:f>'站点明细'!$E1178</x:f>
        <x:v>0</x:v>
      </x:c>
      <x:c r="N271" s="10" t="n">
        <x:f>'站点明细'!$D1178</x:f>
        <x:v>0</x:v>
      </x:c>
      <x:c r="O271" s="10" t="n">
        <x:f>'站点明细'!$E1410</x:f>
        <x:v>2</x:v>
      </x:c>
      <x:c r="P271" s="10" t="n">
        <x:f>'站点明细'!$D1410</x:f>
        <x:v>2</x:v>
      </x:c>
      <x:c r="Q271" s="11" t="n">
        <x:f>'站点明细'!$F18</x:f>
        <x:v>35596.95</x:v>
      </x:c>
      <x:c r="R271" s="11" t="n">
        <x:f>'站点明细'!$F250</x:f>
        <x:v>13353.65</x:v>
      </x:c>
      <x:c r="S271" s="11" t="n">
        <x:f>'站点明细'!$F482</x:f>
        <x:v>1148.28</x:v>
      </x:c>
      <x:c r="T271" s="11" t="n">
        <x:f>'站点明细'!$F714</x:f>
        <x:v>182.59</x:v>
      </x:c>
      <x:c r="U271" s="11" t="n">
        <x:f>'站点明细'!$F946</x:f>
        <x:v>429.77</x:v>
      </x:c>
      <x:c r="V271" s="11" t="n">
        <x:f>'站点明细'!$F1178</x:f>
        <x:v>0</x:v>
      </x:c>
      <x:c r="W271" s="11" t="n">
        <x:f>'站点明细'!$F1410</x:f>
        <x:v>186.09</x:v>
      </x:c>
    </x:row>
    <x:row r="272">
      <x:c r="A272" t="str">
        <x:f>TEXT($B272,"mm-dd")</x:f>
        <x:v>01-18</x:v>
      </x:c>
      <x:c r="B272" s="9" t="n">
        <x:f>'站点明细'!$C19</x:f>
        <x:v>46040</x:v>
      </x:c>
      <x:c r="C272" s="10" t="n">
        <x:f>'站点明细'!$E19</x:f>
        <x:v>4242</x:v>
      </x:c>
      <x:c r="D272" s="10" t="n">
        <x:f>'站点明细'!$D19</x:f>
        <x:v>2433</x:v>
      </x:c>
      <x:c r="E272" s="10" t="n">
        <x:f>'站点明细'!$E251</x:f>
        <x:v>1436</x:v>
      </x:c>
      <x:c r="F272" s="10" t="n">
        <x:f>'站点明细'!$D251</x:f>
        <x:v>643</x:v>
      </x:c>
      <x:c r="G272" s="10" t="n">
        <x:f>'站点明细'!$E483</x:f>
        <x:v>164</x:v>
      </x:c>
      <x:c r="H272" s="10" t="n">
        <x:f>'站点明细'!$D483</x:f>
        <x:v>112</x:v>
      </x:c>
      <x:c r="I272" s="10" t="n">
        <x:f>'站点明细'!$E715</x:f>
        <x:v>57</x:v>
      </x:c>
      <x:c r="J272" s="10" t="n">
        <x:f>'站点明细'!$D715</x:f>
        <x:v>21</x:v>
      </x:c>
      <x:c r="K272" s="10" t="n">
        <x:f>'站点明细'!$E947</x:f>
        <x:v>39</x:v>
      </x:c>
      <x:c r="L272" s="10" t="n">
        <x:f>'站点明细'!$D947</x:f>
        <x:v>32</x:v>
      </x:c>
      <x:c r="M272" s="10" t="n">
        <x:f>'站点明细'!$E1179</x:f>
        <x:v>0</x:v>
      </x:c>
      <x:c r="N272" s="10" t="n">
        <x:f>'站点明细'!$D1179</x:f>
        <x:v>0</x:v>
      </x:c>
      <x:c r="O272" s="10" t="n">
        <x:f>'站点明细'!$E1411</x:f>
        <x:v>0</x:v>
      </x:c>
      <x:c r="P272" s="10" t="n">
        <x:f>'站点明细'!$D1411</x:f>
        <x:v>0</x:v>
      </x:c>
      <x:c r="Q272" s="11" t="n">
        <x:f>'站点明细'!$F19</x:f>
        <x:v>33907.52</x:v>
      </x:c>
      <x:c r="R272" s="11" t="n">
        <x:f>'站点明细'!$F251</x:f>
        <x:v>13372.65</x:v>
      </x:c>
      <x:c r="S272" s="11" t="n">
        <x:f>'站点明细'!$F483</x:f>
        <x:v>1556.84</x:v>
      </x:c>
      <x:c r="T272" s="11" t="n">
        <x:f>'站点明细'!$F715</x:f>
        <x:v>478.22</x:v>
      </x:c>
      <x:c r="U272" s="11" t="n">
        <x:f>'站点明细'!$F947</x:f>
        <x:v>475.08</x:v>
      </x:c>
      <x:c r="V272" s="11" t="n">
        <x:f>'站点明细'!$F1179</x:f>
        <x:v>0</x:v>
      </x:c>
      <x:c r="W272" s="11" t="n">
        <x:f>'站点明细'!$F1411</x:f>
        <x:v>0</x:v>
      </x:c>
    </x:row>
    <x:row r="273">
      <x:c r="A273" t="str">
        <x:f>TEXT($B273,"mm-dd")</x:f>
        <x:v>01-19</x:v>
      </x:c>
      <x:c r="B273" s="9" t="n">
        <x:f>'站点明细'!$C20</x:f>
        <x:v>46041</x:v>
      </x:c>
      <x:c r="C273" s="10" t="n">
        <x:f>'站点明细'!$E20</x:f>
        <x:v>4087</x:v>
      </x:c>
      <x:c r="D273" s="10" t="n">
        <x:f>'站点明细'!$D20</x:f>
        <x:v>2429</x:v>
      </x:c>
      <x:c r="E273" s="10" t="n">
        <x:f>'站点明细'!$E252</x:f>
        <x:v>1588</x:v>
      </x:c>
      <x:c r="F273" s="10" t="n">
        <x:f>'站点明细'!$D252</x:f>
        <x:v>676</x:v>
      </x:c>
      <x:c r="G273" s="10" t="n">
        <x:f>'站点明细'!$E484</x:f>
        <x:v>123</x:v>
      </x:c>
      <x:c r="H273" s="10" t="n">
        <x:f>'站点明细'!$D484</x:f>
        <x:v>74</x:v>
      </x:c>
      <x:c r="I273" s="10" t="n">
        <x:f>'站点明细'!$E716</x:f>
        <x:v>49</x:v>
      </x:c>
      <x:c r="J273" s="10" t="n">
        <x:f>'站点明细'!$D716</x:f>
        <x:v>18</x:v>
      </x:c>
      <x:c r="K273" s="10" t="n">
        <x:f>'站点明细'!$E948</x:f>
        <x:v>34</x:v>
      </x:c>
      <x:c r="L273" s="10" t="n">
        <x:f>'站点明细'!$D948</x:f>
        <x:v>28</x:v>
      </x:c>
      <x:c r="M273" s="10" t="n">
        <x:f>'站点明细'!$E1180</x:f>
        <x:v>438</x:v>
      </x:c>
      <x:c r="N273" s="10" t="n">
        <x:f>'站点明细'!$D1180</x:f>
        <x:v>308</x:v>
      </x:c>
      <x:c r="O273" s="10" t="n">
        <x:f>'站点明细'!$E1412</x:f>
        <x:v>45</x:v>
      </x:c>
      <x:c r="P273" s="10" t="n">
        <x:f>'站点明细'!$D1412</x:f>
        <x:v>30</x:v>
      </x:c>
      <x:c r="Q273" s="11" t="n">
        <x:f>'站点明细'!$F20</x:f>
        <x:v>35716.76</x:v>
      </x:c>
      <x:c r="R273" s="11" t="n">
        <x:f>'站点明细'!$F252</x:f>
        <x:v>13848.12</x:v>
      </x:c>
      <x:c r="S273" s="11" t="n">
        <x:f>'站点明细'!$F484</x:f>
        <x:v>907.13</x:v>
      </x:c>
      <x:c r="T273" s="11" t="n">
        <x:f>'站点明细'!$F716</x:f>
        <x:v>393.87</x:v>
      </x:c>
      <x:c r="U273" s="11" t="n">
        <x:f>'站点明细'!$F948</x:f>
        <x:v>416.92</x:v>
      </x:c>
      <x:c r="V273" s="11" t="n">
        <x:f>'站点明细'!$F1180</x:f>
        <x:v>34792.09</x:v>
      </x:c>
      <x:c r="W273" s="11" t="n">
        <x:f>'站点明细'!$F1412</x:f>
        <x:v>1504.24</x:v>
      </x:c>
    </x:row>
    <x:row r="274">
      <x:c r="A274" t="str">
        <x:f>TEXT($B274,"mm-dd")</x:f>
        <x:v>01-20</x:v>
      </x:c>
      <x:c r="B274" s="9" t="n">
        <x:f>'站点明细'!$C21</x:f>
        <x:v>46042</x:v>
      </x:c>
      <x:c r="C274" s="10" t="n">
        <x:f>'站点明细'!$E21</x:f>
        <x:v>4568</x:v>
      </x:c>
      <x:c r="D274" s="10" t="n">
        <x:f>'站点明细'!$D21</x:f>
        <x:v>2700</x:v>
      </x:c>
      <x:c r="E274" s="10" t="n">
        <x:f>'站点明细'!$E253</x:f>
        <x:v>1482</x:v>
      </x:c>
      <x:c r="F274" s="10" t="n">
        <x:f>'站点明细'!$D253</x:f>
        <x:v>680</x:v>
      </x:c>
      <x:c r="G274" s="10" t="n">
        <x:f>'站点明细'!$E485</x:f>
        <x:v>63</x:v>
      </x:c>
      <x:c r="H274" s="10" t="n">
        <x:f>'站点明细'!$D485</x:f>
        <x:v>46</x:v>
      </x:c>
      <x:c r="I274" s="10" t="n">
        <x:f>'站点明细'!$E717</x:f>
        <x:v>46</x:v>
      </x:c>
      <x:c r="J274" s="10" t="n">
        <x:f>'站点明细'!$D717</x:f>
        <x:v>21</x:v>
      </x:c>
      <x:c r="K274" s="10" t="n">
        <x:f>'站点明细'!$E949</x:f>
        <x:v>72</x:v>
      </x:c>
      <x:c r="L274" s="10" t="n">
        <x:f>'站点明细'!$D949</x:f>
        <x:v>64</x:v>
      </x:c>
      <x:c r="M274" s="10" t="n">
        <x:f>'站点明细'!$E1181</x:f>
        <x:v>131</x:v>
      </x:c>
      <x:c r="N274" s="10" t="n">
        <x:f>'站点明细'!$D1181</x:f>
        <x:v>92</x:v>
      </x:c>
      <x:c r="O274" s="10" t="n">
        <x:f>'站点明细'!$E1413</x:f>
        <x:v>3</x:v>
      </x:c>
      <x:c r="P274" s="10" t="n">
        <x:f>'站点明细'!$D1413</x:f>
        <x:v>3</x:v>
      </x:c>
      <x:c r="Q274" s="11" t="n">
        <x:f>'站点明细'!$F21</x:f>
        <x:v>39786.09</x:v>
      </x:c>
      <x:c r="R274" s="11" t="n">
        <x:f>'站点明细'!$F253</x:f>
        <x:v>13815.93</x:v>
      </x:c>
      <x:c r="S274" s="11" t="n">
        <x:f>'站点明细'!$F485</x:f>
        <x:v>575.67</x:v>
      </x:c>
      <x:c r="T274" s="11" t="n">
        <x:f>'站点明细'!$F717</x:f>
        <x:v>247.14</x:v>
      </x:c>
      <x:c r="U274" s="11" t="n">
        <x:f>'站点明细'!$F949</x:f>
        <x:v>870.67</x:v>
      </x:c>
      <x:c r="V274" s="11" t="n">
        <x:f>'站点明细'!$F1181</x:f>
        <x:v>10034.39</x:v>
      </x:c>
      <x:c r="W274" s="11" t="n">
        <x:f>'站点明细'!$F1413</x:f>
        <x:v>236.76</x:v>
      </x:c>
    </x:row>
    <x:row r="275">
      <x:c r="A275" t="str">
        <x:f>TEXT($B275,"mm-dd")</x:f>
        <x:v>01-21</x:v>
      </x:c>
      <x:c r="B275" s="9" t="n">
        <x:f>'站点明细'!$C22</x:f>
        <x:v>46043</x:v>
      </x:c>
      <x:c r="C275" s="10" t="n">
        <x:f>'站点明细'!$E22</x:f>
        <x:v>5238</x:v>
      </x:c>
      <x:c r="D275" s="10" t="n">
        <x:f>'站点明细'!$D22</x:f>
        <x:v>2995</x:v>
      </x:c>
      <x:c r="E275" s="10" t="n">
        <x:f>'站点明细'!$E254</x:f>
        <x:v>1381</x:v>
      </x:c>
      <x:c r="F275" s="10" t="n">
        <x:f>'站点明细'!$D254</x:f>
        <x:v>630</x:v>
      </x:c>
      <x:c r="G275" s="10" t="n">
        <x:f>'站点明细'!$E486</x:f>
        <x:v>63</x:v>
      </x:c>
      <x:c r="H275" s="10" t="n">
        <x:f>'站点明细'!$D486</x:f>
        <x:v>40</x:v>
      </x:c>
      <x:c r="I275" s="10" t="n">
        <x:f>'站点明细'!$E718</x:f>
        <x:v>77</x:v>
      </x:c>
      <x:c r="J275" s="10" t="n">
        <x:f>'站点明细'!$D718</x:f>
        <x:v>43</x:v>
      </x:c>
      <x:c r="K275" s="10" t="n">
        <x:f>'站点明细'!$E950</x:f>
        <x:v>62</x:v>
      </x:c>
      <x:c r="L275" s="10" t="n">
        <x:f>'站点明细'!$D950</x:f>
        <x:v>53</x:v>
      </x:c>
      <x:c r="M275" s="10" t="n">
        <x:f>'站点明细'!$E1182</x:f>
        <x:v>73</x:v>
      </x:c>
      <x:c r="N275" s="10" t="n">
        <x:f>'站点明细'!$D1182</x:f>
        <x:v>51</x:v>
      </x:c>
      <x:c r="O275" s="10" t="n">
        <x:f>'站点明细'!$E1414</x:f>
        <x:v>2</x:v>
      </x:c>
      <x:c r="P275" s="10" t="n">
        <x:f>'站点明细'!$D1414</x:f>
        <x:v>2</x:v>
      </x:c>
      <x:c r="Q275" s="11" t="n">
        <x:f>'站点明细'!$F22</x:f>
        <x:v>45634.5</x:v>
      </x:c>
      <x:c r="R275" s="11" t="n">
        <x:f>'站点明细'!$F254</x:f>
        <x:v>13102.12</x:v>
      </x:c>
      <x:c r="S275" s="11" t="n">
        <x:f>'站点明细'!$F486</x:f>
        <x:v>678.84</x:v>
      </x:c>
      <x:c r="T275" s="11" t="n">
        <x:f>'站点明细'!$F718</x:f>
        <x:v>351.04</x:v>
      </x:c>
      <x:c r="U275" s="11" t="n">
        <x:f>'站点明细'!$F950</x:f>
        <x:v>738.09</x:v>
      </x:c>
      <x:c r="V275" s="11" t="n">
        <x:f>'站点明细'!$F1182</x:f>
        <x:v>5722.04</x:v>
      </x:c>
      <x:c r="W275" s="11" t="n">
        <x:f>'站点明细'!$F1414</x:f>
        <x:v>112.99</x:v>
      </x:c>
    </x:row>
    <x:row r="276">
      <x:c r="A276" t="str">
        <x:f>TEXT($B276,"mm-dd")</x:f>
        <x:v>01-22</x:v>
      </x:c>
      <x:c r="B276" s="9" t="n">
        <x:f>'站点明细'!$C23</x:f>
        <x:v>46044</x:v>
      </x:c>
      <x:c r="C276" s="10" t="n">
        <x:f>'站点明细'!$E23</x:f>
        <x:v>4523</x:v>
      </x:c>
      <x:c r="D276" s="10" t="n">
        <x:f>'站点明细'!$D23</x:f>
        <x:v>2566</x:v>
      </x:c>
      <x:c r="E276" s="10" t="n">
        <x:f>'站点明细'!$E255</x:f>
        <x:v>1248</x:v>
      </x:c>
      <x:c r="F276" s="10" t="n">
        <x:f>'站点明细'!$D255</x:f>
        <x:v>599</x:v>
      </x:c>
      <x:c r="G276" s="10" t="n">
        <x:f>'站点明细'!$E487</x:f>
        <x:v>63</x:v>
      </x:c>
      <x:c r="H276" s="10" t="n">
        <x:f>'站点明细'!$D487</x:f>
        <x:v>44</x:v>
      </x:c>
      <x:c r="I276" s="10" t="n">
        <x:f>'站点明细'!$E719</x:f>
        <x:v>161</x:v>
      </x:c>
      <x:c r="J276" s="10" t="n">
        <x:f>'站点明细'!$D719</x:f>
        <x:v>64</x:v>
      </x:c>
      <x:c r="K276" s="10" t="n">
        <x:f>'站点明细'!$E951</x:f>
        <x:v>103</x:v>
      </x:c>
      <x:c r="L276" s="10" t="n">
        <x:f>'站点明细'!$D951</x:f>
        <x:v>83</x:v>
      </x:c>
      <x:c r="M276" s="10" t="n">
        <x:f>'站点明细'!$E1183</x:f>
        <x:v>75</x:v>
      </x:c>
      <x:c r="N276" s="10" t="n">
        <x:f>'站点明细'!$D1183</x:f>
        <x:v>45</x:v>
      </x:c>
      <x:c r="O276" s="10" t="n">
        <x:f>'站点明细'!$E1415</x:f>
        <x:v>10</x:v>
      </x:c>
      <x:c r="P276" s="10" t="n">
        <x:f>'站点明细'!$D1415</x:f>
        <x:v>9</x:v>
      </x:c>
      <x:c r="Q276" s="11" t="n">
        <x:f>'站点明细'!$F23</x:f>
        <x:v>38650.03</x:v>
      </x:c>
      <x:c r="R276" s="11" t="n">
        <x:f>'站点明细'!$F255</x:f>
        <x:v>11827.64</x:v>
      </x:c>
      <x:c r="S276" s="11" t="n">
        <x:f>'站点明细'!$F487</x:f>
        <x:v>590.78</x:v>
      </x:c>
      <x:c r="T276" s="11" t="n">
        <x:f>'站点明细'!$F719</x:f>
        <x:v>1113.43</x:v>
      </x:c>
      <x:c r="U276" s="11" t="n">
        <x:f>'站点明细'!$F951</x:f>
        <x:v>1239.96</x:v>
      </x:c>
      <x:c r="V276" s="11" t="n">
        <x:f>'站点明细'!$F1183</x:f>
        <x:v>5758.65</x:v>
      </x:c>
      <x:c r="W276" s="11" t="n">
        <x:f>'站点明细'!$F1415</x:f>
        <x:v>781.13</x:v>
      </x:c>
    </x:row>
    <x:row r="277">
      <x:c r="A277" t="str">
        <x:f>TEXT($B277,"mm-dd")</x:f>
        <x:v>01-23</x:v>
      </x:c>
      <x:c r="B277" s="9" t="n">
        <x:f>'站点明细'!$C24</x:f>
        <x:v>46045</x:v>
      </x:c>
      <x:c r="C277" s="10" t="n">
        <x:f>'站点明细'!$E24</x:f>
        <x:v>4242</x:v>
      </x:c>
      <x:c r="D277" s="10" t="n">
        <x:f>'站点明细'!$D24</x:f>
        <x:v>2370</x:v>
      </x:c>
      <x:c r="E277" s="10" t="n">
        <x:f>'站点明细'!$E256</x:f>
        <x:v>1559</x:v>
      </x:c>
      <x:c r="F277" s="10" t="n">
        <x:f>'站点明细'!$D256</x:f>
        <x:v>735</x:v>
      </x:c>
      <x:c r="G277" s="10" t="n">
        <x:f>'站点明细'!$E488</x:f>
        <x:v>58</x:v>
      </x:c>
      <x:c r="H277" s="10" t="n">
        <x:f>'站点明细'!$D488</x:f>
        <x:v>41</x:v>
      </x:c>
      <x:c r="I277" s="10" t="n">
        <x:f>'站点明细'!$E720</x:f>
        <x:v>121</x:v>
      </x:c>
      <x:c r="J277" s="10" t="n">
        <x:f>'站点明细'!$D720</x:f>
        <x:v>66</x:v>
      </x:c>
      <x:c r="K277" s="10" t="n">
        <x:f>'站点明细'!$E952</x:f>
        <x:v>42</x:v>
      </x:c>
      <x:c r="L277" s="10" t="n">
        <x:f>'站点明细'!$D952</x:f>
        <x:v>37</x:v>
      </x:c>
      <x:c r="M277" s="10" t="n">
        <x:f>'站点明细'!$E1184</x:f>
        <x:v>59</x:v>
      </x:c>
      <x:c r="N277" s="10" t="n">
        <x:f>'站点明细'!$D1184</x:f>
        <x:v>53</x:v>
      </x:c>
      <x:c r="O277" s="10" t="n">
        <x:f>'站点明细'!$E1416</x:f>
        <x:v>9</x:v>
      </x:c>
      <x:c r="P277" s="10" t="n">
        <x:f>'站点明细'!$D1416</x:f>
        <x:v>7</x:v>
      </x:c>
      <x:c r="Q277" s="11" t="n">
        <x:f>'站点明细'!$F24</x:f>
        <x:v>35229.59</x:v>
      </x:c>
      <x:c r="R277" s="11" t="n">
        <x:f>'站点明细'!$F256</x:f>
        <x:v>14839.36</x:v>
      </x:c>
      <x:c r="S277" s="11" t="n">
        <x:f>'站点明细'!$F488</x:f>
        <x:v>545.06</x:v>
      </x:c>
      <x:c r="T277" s="11" t="n">
        <x:f>'站点明细'!$F720</x:f>
        <x:v>673.84</x:v>
      </x:c>
      <x:c r="U277" s="11" t="n">
        <x:f>'站点明细'!$F952</x:f>
        <x:v>512.82</x:v>
      </x:c>
      <x:c r="V277" s="11" t="n">
        <x:f>'站点明细'!$F1184</x:f>
        <x:v>4708.6</x:v>
      </x:c>
      <x:c r="W277" s="11" t="n">
        <x:f>'站点明细'!$F1416</x:f>
        <x:v>383.74</x:v>
      </x:c>
    </x:row>
    <x:row r="278">
      <x:c r="A278" t="str">
        <x:f>TEXT($B278,"mm-dd")</x:f>
        <x:v>01-24</x:v>
      </x:c>
      <x:c r="B278" s="9" t="n">
        <x:f>'站点明细'!$C25</x:f>
        <x:v>46046</x:v>
      </x:c>
      <x:c r="C278" s="10" t="n">
        <x:f>'站点明细'!$E25</x:f>
        <x:v>4211</x:v>
      </x:c>
      <x:c r="D278" s="10" t="n">
        <x:f>'站点明细'!$D25</x:f>
        <x:v>2449</x:v>
      </x:c>
      <x:c r="E278" s="10" t="n">
        <x:f>'站点明细'!$E257</x:f>
        <x:v>1799</x:v>
      </x:c>
      <x:c r="F278" s="10" t="n">
        <x:f>'站点明细'!$D257</x:f>
        <x:v>824</x:v>
      </x:c>
      <x:c r="G278" s="10" t="n">
        <x:f>'站点明细'!$E489</x:f>
        <x:v>65</x:v>
      </x:c>
      <x:c r="H278" s="10" t="n">
        <x:f>'站点明细'!$D489</x:f>
        <x:v>37</x:v>
      </x:c>
      <x:c r="I278" s="10" t="n">
        <x:f>'站点明细'!$E721</x:f>
        <x:v>54</x:v>
      </x:c>
      <x:c r="J278" s="10" t="n">
        <x:f>'站点明细'!$D721</x:f>
        <x:v>30</x:v>
      </x:c>
      <x:c r="K278" s="10" t="n">
        <x:f>'站点明细'!$E953</x:f>
        <x:v>54</x:v>
      </x:c>
      <x:c r="L278" s="10" t="n">
        <x:f>'站点明细'!$D953</x:f>
        <x:v>49</x:v>
      </x:c>
      <x:c r="M278" s="10" t="n">
        <x:f>'站点明细'!$E1185</x:f>
        <x:v>98</x:v>
      </x:c>
      <x:c r="N278" s="10" t="n">
        <x:f>'站点明细'!$D1185</x:f>
        <x:v>67</x:v>
      </x:c>
      <x:c r="O278" s="10" t="n">
        <x:f>'站点明细'!$E1417</x:f>
        <x:v>0</x:v>
      </x:c>
      <x:c r="P278" s="10" t="n">
        <x:f>'站点明细'!$D1417</x:f>
        <x:v>0</x:v>
      </x:c>
      <x:c r="Q278" s="11" t="n">
        <x:f>'站点明细'!$F25</x:f>
        <x:v>36740.87</x:v>
      </x:c>
      <x:c r="R278" s="11" t="n">
        <x:f>'站点明细'!$F257</x:f>
        <x:v>15571.86</x:v>
      </x:c>
      <x:c r="S278" s="11" t="n">
        <x:f>'站点明细'!$F489</x:f>
        <x:v>585.25</x:v>
      </x:c>
      <x:c r="T278" s="11" t="n">
        <x:f>'站点明细'!$F721</x:f>
        <x:v>291.58</x:v>
      </x:c>
      <x:c r="U278" s="11" t="n">
        <x:f>'站点明细'!$F953</x:f>
        <x:v>666.56</x:v>
      </x:c>
      <x:c r="V278" s="11" t="n">
        <x:f>'站点明细'!$F1185</x:f>
        <x:v>6743.39</x:v>
      </x:c>
      <x:c r="W278" s="11" t="n">
        <x:f>'站点明细'!$F1417</x:f>
        <x:v>0</x:v>
      </x:c>
    </x:row>
    <x:row r="279">
      <x:c r="A279" t="str">
        <x:f>TEXT($B279,"mm-dd")</x:f>
        <x:v>01-25</x:v>
      </x:c>
      <x:c r="B279" s="9" t="n">
        <x:f>'站点明细'!$C26</x:f>
        <x:v>46047</x:v>
      </x:c>
      <x:c r="C279" s="10" t="n">
        <x:f>'站点明细'!$E26</x:f>
        <x:v>4457</x:v>
      </x:c>
      <x:c r="D279" s="10" t="n">
        <x:f>'站点明细'!$D26</x:f>
        <x:v>2546</x:v>
      </x:c>
      <x:c r="E279" s="10" t="n">
        <x:f>'站点明细'!$E258</x:f>
        <x:v>1776</x:v>
      </x:c>
      <x:c r="F279" s="10" t="n">
        <x:f>'站点明细'!$D258</x:f>
        <x:v>805</x:v>
      </x:c>
      <x:c r="G279" s="10" t="n">
        <x:f>'站点明细'!$E490</x:f>
        <x:v>44</x:v>
      </x:c>
      <x:c r="H279" s="10" t="n">
        <x:f>'站点明细'!$D490</x:f>
        <x:v>34</x:v>
      </x:c>
      <x:c r="I279" s="10" t="n">
        <x:f>'站点明细'!$E722</x:f>
        <x:v>27</x:v>
      </x:c>
      <x:c r="J279" s="10" t="n">
        <x:f>'站点明细'!$D722</x:f>
        <x:v>14</x:v>
      </x:c>
      <x:c r="K279" s="10" t="n">
        <x:f>'站点明细'!$E954</x:f>
        <x:v>55</x:v>
      </x:c>
      <x:c r="L279" s="10" t="n">
        <x:f>'站点明细'!$D954</x:f>
        <x:v>50</x:v>
      </x:c>
      <x:c r="M279" s="10" t="n">
        <x:f>'站点明细'!$E1186</x:f>
        <x:v>45</x:v>
      </x:c>
      <x:c r="N279" s="10" t="n">
        <x:f>'站点明细'!$D1186</x:f>
        <x:v>38</x:v>
      </x:c>
      <x:c r="O279" s="10" t="n">
        <x:f>'站点明细'!$E1418</x:f>
        <x:v>0</x:v>
      </x:c>
      <x:c r="P279" s="10" t="n">
        <x:f>'站点明细'!$D1418</x:f>
        <x:v>0</x:v>
      </x:c>
      <x:c r="Q279" s="11" t="n">
        <x:f>'站点明细'!$F26</x:f>
        <x:v>34870.59</x:v>
      </x:c>
      <x:c r="R279" s="11" t="n">
        <x:f>'站点明细'!$F258</x:f>
        <x:v>15743.18</x:v>
      </x:c>
      <x:c r="S279" s="11" t="n">
        <x:f>'站点明细'!$F490</x:f>
        <x:v>419.59</x:v>
      </x:c>
      <x:c r="T279" s="11" t="n">
        <x:f>'站点明细'!$F722</x:f>
        <x:v>193.89</x:v>
      </x:c>
      <x:c r="U279" s="11" t="n">
        <x:f>'站点明细'!$F954</x:f>
        <x:v>646.08</x:v>
      </x:c>
      <x:c r="V279" s="11" t="n">
        <x:f>'站点明细'!$F1186</x:f>
        <x:v>3372.29</x:v>
      </x:c>
      <x:c r="W279" s="11" t="n">
        <x:f>'站点明细'!$F1418</x:f>
        <x:v>0</x:v>
      </x:c>
    </x:row>
    <x:row r="280">
      <x:c r="A280" t="str">
        <x:f>TEXT($B280,"mm-dd")</x:f>
        <x:v>01-26</x:v>
      </x:c>
      <x:c r="B280" s="9" t="n">
        <x:f>'站点明细'!$C27</x:f>
        <x:v>46048</x:v>
      </x:c>
      <x:c r="C280" s="10" t="n">
        <x:f>'站点明细'!$E27</x:f>
        <x:v>5200</x:v>
      </x:c>
      <x:c r="D280" s="10" t="n">
        <x:f>'站点明细'!$D27</x:f>
        <x:v>2905</x:v>
      </x:c>
      <x:c r="E280" s="10" t="n">
        <x:f>'站点明细'!$E259</x:f>
        <x:v>1591</x:v>
      </x:c>
      <x:c r="F280" s="10" t="n">
        <x:f>'站点明细'!$D259</x:f>
        <x:v>785</x:v>
      </x:c>
      <x:c r="G280" s="10" t="n">
        <x:f>'站点明细'!$E491</x:f>
        <x:v>74</x:v>
      </x:c>
      <x:c r="H280" s="10" t="n">
        <x:f>'站点明细'!$D491</x:f>
        <x:v>53</x:v>
      </x:c>
      <x:c r="I280" s="10" t="n">
        <x:f>'站点明细'!$E723</x:f>
        <x:v>73</x:v>
      </x:c>
      <x:c r="J280" s="10" t="n">
        <x:f>'站点明细'!$D723</x:f>
        <x:v>25</x:v>
      </x:c>
      <x:c r="K280" s="10" t="n">
        <x:f>'站点明细'!$E955</x:f>
        <x:v>59</x:v>
      </x:c>
      <x:c r="L280" s="10" t="n">
        <x:f>'站点明细'!$D955</x:f>
        <x:v>52</x:v>
      </x:c>
      <x:c r="M280" s="10" t="n">
        <x:f>'站点明细'!$E1187</x:f>
        <x:v>46</x:v>
      </x:c>
      <x:c r="N280" s="10" t="n">
        <x:f>'站点明细'!$D1187</x:f>
        <x:v>39</x:v>
      </x:c>
      <x:c r="O280" s="10" t="n">
        <x:f>'站点明细'!$E1419</x:f>
        <x:v>13</x:v>
      </x:c>
      <x:c r="P280" s="10" t="n">
        <x:f>'站点明细'!$D1419</x:f>
        <x:v>9</x:v>
      </x:c>
      <x:c r="Q280" s="11" t="n">
        <x:f>'站点明细'!$F27</x:f>
        <x:v>41579.23</x:v>
      </x:c>
      <x:c r="R280" s="11" t="n">
        <x:f>'站点明细'!$F259</x:f>
        <x:v>15980.76</x:v>
      </x:c>
      <x:c r="S280" s="11" t="n">
        <x:f>'站点明细'!$F491</x:f>
        <x:v>649.57</x:v>
      </x:c>
      <x:c r="T280" s="11" t="n">
        <x:f>'站点明细'!$F723</x:f>
        <x:v>559.41</x:v>
      </x:c>
      <x:c r="U280" s="11" t="n">
        <x:f>'站点明细'!$F955</x:f>
        <x:v>681.6</x:v>
      </x:c>
      <x:c r="V280" s="11" t="n">
        <x:f>'站点明细'!$F1187</x:f>
        <x:v>2393</x:v>
      </x:c>
      <x:c r="W280" s="11" t="n">
        <x:f>'站点明细'!$F1419</x:f>
        <x:v>527.05</x:v>
      </x:c>
    </x:row>
    <x:row r="281">
      <x:c r="A281" t="str">
        <x:f>TEXT($B281,"mm-dd")</x:f>
        <x:v>01-27</x:v>
      </x:c>
      <x:c r="B281" s="9" t="n">
        <x:f>'站点明细'!$C28</x:f>
        <x:v>46049</x:v>
      </x:c>
      <x:c r="C281" s="10" t="n">
        <x:f>'站点明细'!$E28</x:f>
        <x:v>5156</x:v>
      </x:c>
      <x:c r="D281" s="10" t="n">
        <x:f>'站点明细'!$D28</x:f>
        <x:v>2908</x:v>
      </x:c>
      <x:c r="E281" s="10" t="n">
        <x:f>'站点明细'!$E260</x:f>
        <x:v>1474</x:v>
      </x:c>
      <x:c r="F281" s="10" t="n">
        <x:f>'站点明细'!$D260</x:f>
        <x:v>740</x:v>
      </x:c>
      <x:c r="G281" s="10" t="n">
        <x:f>'站点明细'!$E492</x:f>
        <x:v>83</x:v>
      </x:c>
      <x:c r="H281" s="10" t="n">
        <x:f>'站点明细'!$D492</x:f>
        <x:v>64</x:v>
      </x:c>
      <x:c r="I281" s="10" t="n">
        <x:f>'站点明细'!$E724</x:f>
        <x:v>12</x:v>
      </x:c>
      <x:c r="J281" s="10" t="n">
        <x:f>'站点明细'!$D724</x:f>
        <x:v>7</x:v>
      </x:c>
      <x:c r="K281" s="10" t="n">
        <x:f>'站点明细'!$E956</x:f>
        <x:v>70</x:v>
      </x:c>
      <x:c r="L281" s="10" t="n">
        <x:f>'站点明细'!$D956</x:f>
        <x:v>64</x:v>
      </x:c>
      <x:c r="M281" s="10" t="n">
        <x:f>'站点明细'!$E1188</x:f>
        <x:v>72</x:v>
      </x:c>
      <x:c r="N281" s="10" t="n">
        <x:f>'站点明细'!$D1188</x:f>
        <x:v>50</x:v>
      </x:c>
      <x:c r="O281" s="10" t="n">
        <x:f>'站点明细'!$E1420</x:f>
        <x:v>3</x:v>
      </x:c>
      <x:c r="P281" s="10" t="n">
        <x:f>'站点明细'!$D1420</x:f>
        <x:v>2</x:v>
      </x:c>
      <x:c r="Q281" s="11" t="n">
        <x:f>'站点明细'!$F28</x:f>
        <x:v>42315.3</x:v>
      </x:c>
      <x:c r="R281" s="11" t="n">
        <x:f>'站点明细'!$F260</x:f>
        <x:v>14441.56</x:v>
      </x:c>
      <x:c r="S281" s="11" t="n">
        <x:f>'站点明细'!$F492</x:f>
        <x:v>841.42</x:v>
      </x:c>
      <x:c r="T281" s="11" t="n">
        <x:f>'站点明细'!$F724</x:f>
        <x:v>88.35</x:v>
      </x:c>
      <x:c r="U281" s="11" t="n">
        <x:f>'站点明细'!$F956</x:f>
        <x:v>859.16</x:v>
      </x:c>
      <x:c r="V281" s="11" t="n">
        <x:f>'站点明细'!$F1188</x:f>
        <x:v>3302.49</x:v>
      </x:c>
      <x:c r="W281" s="11" t="n">
        <x:f>'站点明细'!$F1420</x:f>
        <x:v>94.05</x:v>
      </x:c>
    </x:row>
    <x:row r="282">
      <x:c r="A282" t="str">
        <x:f>TEXT($B282,"mm-dd")</x:f>
        <x:v>01-28</x:v>
      </x:c>
      <x:c r="B282" s="9" t="n">
        <x:f>'站点明细'!$C29</x:f>
        <x:v>46050</x:v>
      </x:c>
      <x:c r="C282" s="10" t="n">
        <x:f>'站点明细'!$E29</x:f>
        <x:v>4841</x:v>
      </x:c>
      <x:c r="D282" s="10" t="n">
        <x:f>'站点明细'!$D29</x:f>
        <x:v>2752</x:v>
      </x:c>
      <x:c r="E282" s="10" t="n">
        <x:f>'站点明细'!$E261</x:f>
        <x:v>1577</x:v>
      </x:c>
      <x:c r="F282" s="10" t="n">
        <x:f>'站点明细'!$D261</x:f>
        <x:v>758</x:v>
      </x:c>
      <x:c r="G282" s="10" t="n">
        <x:f>'站点明细'!$E493</x:f>
        <x:v>75</x:v>
      </x:c>
      <x:c r="H282" s="10" t="n">
        <x:f>'站点明细'!$D493</x:f>
        <x:v>50</x:v>
      </x:c>
      <x:c r="I282" s="10" t="n">
        <x:f>'站点明细'!$E725</x:f>
        <x:v>37</x:v>
      </x:c>
      <x:c r="J282" s="10" t="n">
        <x:f>'站点明细'!$D725</x:f>
        <x:v>22</x:v>
      </x:c>
      <x:c r="K282" s="10" t="n">
        <x:f>'站点明细'!$E957</x:f>
        <x:v>44</x:v>
      </x:c>
      <x:c r="L282" s="10" t="n">
        <x:f>'站点明细'!$D957</x:f>
        <x:v>37</x:v>
      </x:c>
      <x:c r="M282" s="10" t="n">
        <x:f>'站点明细'!$E1189</x:f>
        <x:v>57</x:v>
      </x:c>
      <x:c r="N282" s="10" t="n">
        <x:f>'站点明细'!$D1189</x:f>
        <x:v>43</x:v>
      </x:c>
      <x:c r="O282" s="10" t="n">
        <x:f>'站点明细'!$E1421</x:f>
        <x:v>11</x:v>
      </x:c>
      <x:c r="P282" s="10" t="n">
        <x:f>'站点明细'!$D1421</x:f>
        <x:v>10</x:v>
      </x:c>
      <x:c r="Q282" s="11" t="n">
        <x:f>'站点明细'!$F29</x:f>
        <x:v>40151.05</x:v>
      </x:c>
      <x:c r="R282" s="11" t="n">
        <x:f>'站点明细'!$F261</x:f>
        <x:v>15352.43</x:v>
      </x:c>
      <x:c r="S282" s="11" t="n">
        <x:f>'站点明细'!$F493</x:f>
        <x:v>688.52</x:v>
      </x:c>
      <x:c r="T282" s="11" t="n">
        <x:f>'站点明细'!$F725</x:f>
        <x:v>175.71</x:v>
      </x:c>
      <x:c r="U282" s="11" t="n">
        <x:f>'站点明细'!$F957</x:f>
        <x:v>536.38</x:v>
      </x:c>
      <x:c r="V282" s="11" t="n">
        <x:f>'站点明细'!$F1189</x:f>
        <x:v>1808.95</x:v>
      </x:c>
      <x:c r="W282" s="11" t="n">
        <x:f>'站点明细'!$F1421</x:f>
        <x:v>499.3</x:v>
      </x:c>
    </x:row>
    <x:row r="283">
      <x:c r="A283" t="str">
        <x:f>TEXT($B283,"mm-dd")</x:f>
        <x:v>01-29</x:v>
      </x:c>
      <x:c r="B283" s="9" t="n">
        <x:f>'站点明细'!$C30</x:f>
        <x:v>46051</x:v>
      </x:c>
      <x:c r="C283" s="10" t="n">
        <x:f>'站点明细'!$E30</x:f>
        <x:v>5445</x:v>
      </x:c>
      <x:c r="D283" s="10" t="n">
        <x:f>'站点明细'!$D30</x:f>
        <x:v>3002</x:v>
      </x:c>
      <x:c r="E283" s="10" t="n">
        <x:f>'站点明细'!$E262</x:f>
        <x:v>1618</x:v>
      </x:c>
      <x:c r="F283" s="10" t="n">
        <x:f>'站点明细'!$D262</x:f>
        <x:v>827</x:v>
      </x:c>
      <x:c r="G283" s="10" t="n">
        <x:f>'站点明细'!$E494</x:f>
        <x:v>70</x:v>
      </x:c>
      <x:c r="H283" s="10" t="n">
        <x:f>'站点明细'!$D494</x:f>
        <x:v>55</x:v>
      </x:c>
      <x:c r="I283" s="10" t="n">
        <x:f>'站点明细'!$E726</x:f>
        <x:v>42</x:v>
      </x:c>
      <x:c r="J283" s="10" t="n">
        <x:f>'站点明细'!$D726</x:f>
        <x:v>16</x:v>
      </x:c>
      <x:c r="K283" s="10" t="n">
        <x:f>'站点明细'!$E958</x:f>
        <x:v>29</x:v>
      </x:c>
      <x:c r="L283" s="10" t="n">
        <x:f>'站点明细'!$D958</x:f>
        <x:v>28</x:v>
      </x:c>
      <x:c r="M283" s="10" t="n">
        <x:f>'站点明细'!$E1190</x:f>
        <x:v>64</x:v>
      </x:c>
      <x:c r="N283" s="10" t="n">
        <x:f>'站点明细'!$D1190</x:f>
        <x:v>44</x:v>
      </x:c>
      <x:c r="O283" s="10" t="n">
        <x:f>'站点明细'!$E1422</x:f>
        <x:v>7</x:v>
      </x:c>
      <x:c r="P283" s="10" t="n">
        <x:f>'站点明细'!$D1422</x:f>
        <x:v>3</x:v>
      </x:c>
      <x:c r="Q283" s="11" t="n">
        <x:f>'站点明细'!$F30</x:f>
        <x:v>44897.76</x:v>
      </x:c>
      <x:c r="R283" s="11" t="n">
        <x:f>'站点明细'!$F262</x:f>
        <x:v>16386.27</x:v>
      </x:c>
      <x:c r="S283" s="11" t="n">
        <x:f>'站点明细'!$F494</x:f>
        <x:v>630.71</x:v>
      </x:c>
      <x:c r="T283" s="11" t="n">
        <x:f>'站点明细'!$F726</x:f>
        <x:v>315.36</x:v>
      </x:c>
      <x:c r="U283" s="11" t="n">
        <x:f>'站点明细'!$F958</x:f>
        <x:v>358.07</x:v>
      </x:c>
      <x:c r="V283" s="11" t="n">
        <x:f>'站点明细'!$F1190</x:f>
        <x:v>1952.56</x:v>
      </x:c>
      <x:c r="W283" s="11" t="n">
        <x:f>'站点明细'!$F1422</x:f>
        <x:v>325.61</x:v>
      </x:c>
    </x:row>
    <x:row r="284">
      <x:c r="A284" t="str">
        <x:f>TEXT($B284,"mm-dd")</x:f>
        <x:v>01-30</x:v>
      </x:c>
      <x:c r="B284" s="9" t="n">
        <x:f>'站点明细'!$C31</x:f>
        <x:v>46052</x:v>
      </x:c>
      <x:c r="C284" s="10" t="n">
        <x:f>'站点明细'!$E31</x:f>
        <x:v>5430</x:v>
      </x:c>
      <x:c r="D284" s="10" t="n">
        <x:f>'站点明细'!$D31</x:f>
        <x:v>2971</x:v>
      </x:c>
      <x:c r="E284" s="10" t="n">
        <x:f>'站点明细'!$E263</x:f>
        <x:v>1713</x:v>
      </x:c>
      <x:c r="F284" s="10" t="n">
        <x:f>'站点明细'!$D263</x:f>
        <x:v>898</x:v>
      </x:c>
      <x:c r="G284" s="10" t="n">
        <x:f>'站点明细'!$E495</x:f>
        <x:v>67</x:v>
      </x:c>
      <x:c r="H284" s="10" t="n">
        <x:f>'站点明细'!$D495</x:f>
        <x:v>43</x:v>
      </x:c>
      <x:c r="I284" s="10" t="n">
        <x:f>'站点明细'!$E727</x:f>
        <x:v>62</x:v>
      </x:c>
      <x:c r="J284" s="10" t="n">
        <x:f>'站点明细'!$D727</x:f>
        <x:v>24</x:v>
      </x:c>
      <x:c r="K284" s="10" t="n">
        <x:f>'站点明细'!$E959</x:f>
        <x:v>45</x:v>
      </x:c>
      <x:c r="L284" s="10" t="n">
        <x:f>'站点明细'!$D959</x:f>
        <x:v>35</x:v>
      </x:c>
      <x:c r="M284" s="10" t="n">
        <x:f>'站点明细'!$E1191</x:f>
        <x:v>68</x:v>
      </x:c>
      <x:c r="N284" s="10" t="n">
        <x:f>'站点明细'!$D1191</x:f>
        <x:v>54</x:v>
      </x:c>
      <x:c r="O284" s="10" t="n">
        <x:f>'站点明细'!$E1423</x:f>
        <x:v>23</x:v>
      </x:c>
      <x:c r="P284" s="10" t="n">
        <x:f>'站点明细'!$D1423</x:f>
        <x:v>19</x:v>
      </x:c>
      <x:c r="Q284" s="11" t="n">
        <x:f>'站点明细'!$F31</x:f>
        <x:v>43895.67</x:v>
      </x:c>
      <x:c r="R284" s="11" t="n">
        <x:f>'站点明细'!$F263</x:f>
        <x:v>17491.33</x:v>
      </x:c>
      <x:c r="S284" s="11" t="n">
        <x:f>'站点明细'!$F495</x:f>
        <x:v>513.11</x:v>
      </x:c>
      <x:c r="T284" s="11" t="n">
        <x:f>'站点明细'!$F727</x:f>
        <x:v>463.32</x:v>
      </x:c>
      <x:c r="U284" s="11" t="n">
        <x:f>'站点明细'!$F959</x:f>
        <x:v>549.21</x:v>
      </x:c>
      <x:c r="V284" s="11" t="n">
        <x:f>'站点明细'!$F1191</x:f>
        <x:v>2138.92</x:v>
      </x:c>
      <x:c r="W284" s="11" t="n">
        <x:f>'站点明细'!$F1423</x:f>
        <x:v>926.3</x:v>
      </x:c>
    </x:row>
    <x:row r="285">
      <x:c r="A285" t="str">
        <x:f>TEXT($B285,"mm-dd")</x:f>
        <x:v>01-31</x:v>
      </x:c>
      <x:c r="B285" s="9" t="n">
        <x:f>'站点明细'!$C32</x:f>
        <x:v>46053</x:v>
      </x:c>
      <x:c r="C285" s="10" t="n">
        <x:f>'站点明细'!$E32</x:f>
        <x:v>5513</x:v>
      </x:c>
      <x:c r="D285" s="10" t="n">
        <x:f>'站点明细'!$D32</x:f>
        <x:v>3172</x:v>
      </x:c>
      <x:c r="E285" s="10" t="n">
        <x:f>'站点明细'!$E264</x:f>
        <x:v>1876</x:v>
      </x:c>
      <x:c r="F285" s="10" t="n">
        <x:f>'站点明细'!$D264</x:f>
        <x:v>951</x:v>
      </x:c>
      <x:c r="G285" s="10" t="n">
        <x:f>'站点明细'!$E496</x:f>
        <x:v>254</x:v>
      </x:c>
      <x:c r="H285" s="10" t="n">
        <x:f>'站点明细'!$D496</x:f>
        <x:v>107</x:v>
      </x:c>
      <x:c r="I285" s="10" t="n">
        <x:f>'站点明细'!$E728</x:f>
        <x:v>24</x:v>
      </x:c>
      <x:c r="J285" s="10" t="n">
        <x:f>'站点明细'!$D728</x:f>
        <x:v>10</x:v>
      </x:c>
      <x:c r="K285" s="10" t="n">
        <x:f>'站点明细'!$E960</x:f>
        <x:v>36</x:v>
      </x:c>
      <x:c r="L285" s="10" t="n">
        <x:f>'站点明细'!$D960</x:f>
        <x:v>34</x:v>
      </x:c>
      <x:c r="M285" s="10" t="n">
        <x:f>'站点明细'!$E1192</x:f>
        <x:v>66</x:v>
      </x:c>
      <x:c r="N285" s="10" t="n">
        <x:f>'站点明细'!$D1192</x:f>
        <x:v>49</x:v>
      </x:c>
      <x:c r="O285" s="10" t="n">
        <x:f>'站点明细'!$E1424</x:f>
        <x:v>0</x:v>
      </x:c>
      <x:c r="P285" s="10" t="n">
        <x:f>'站点明细'!$D1424</x:f>
        <x:v>0</x:v>
      </x:c>
      <x:c r="Q285" s="11" t="n">
        <x:f>'站点明细'!$F32</x:f>
        <x:v>40852.94</x:v>
      </x:c>
      <x:c r="R285" s="11" t="n">
        <x:f>'站点明细'!$F264</x:f>
        <x:v>20137.17</x:v>
      </x:c>
      <x:c r="S285" s="11" t="n">
        <x:f>'站点明细'!$F496</x:f>
        <x:v>1029.38</x:v>
      </x:c>
      <x:c r="T285" s="11" t="n">
        <x:f>'站点明细'!$F728</x:f>
        <x:v>205.51</x:v>
      </x:c>
      <x:c r="U285" s="11" t="n">
        <x:f>'站点明细'!$F960</x:f>
        <x:v>466.75</x:v>
      </x:c>
      <x:c r="V285" s="11" t="n">
        <x:f>'站点明细'!$F1192</x:f>
        <x:v>13747.88</x:v>
      </x:c>
      <x:c r="W285" s="11" t="n">
        <x:f>'站点明细'!$F1424</x:f>
        <x:v>-0.21</x:v>
      </x:c>
    </x:row>
    <x:row r="286">
      <x:c r="A286" t="str">
        <x:f>TEXT($B286,"mm-dd")</x:f>
        <x:v>02-01</x:v>
      </x:c>
      <x:c r="B286" s="9" t="n">
        <x:f>'站点明细'!$C33</x:f>
        <x:v>46054</x:v>
      </x:c>
      <x:c r="C286" s="10" t="n">
        <x:f>'站点明细'!$E33</x:f>
        <x:v>5337</x:v>
      </x:c>
      <x:c r="D286" s="10" t="n">
        <x:f>'站点明细'!$D33</x:f>
        <x:v>2959</x:v>
      </x:c>
      <x:c r="E286" s="10" t="n">
        <x:f>'站点明细'!$E265</x:f>
        <x:v>1690</x:v>
      </x:c>
      <x:c r="F286" s="10" t="n">
        <x:f>'站点明细'!$D265</x:f>
        <x:v>875</x:v>
      </x:c>
      <x:c r="G286" s="10" t="n">
        <x:f>'站点明细'!$E497</x:f>
        <x:v>309</x:v>
      </x:c>
      <x:c r="H286" s="10" t="n">
        <x:f>'站点明细'!$D497</x:f>
        <x:v>128</x:v>
      </x:c>
      <x:c r="I286" s="10" t="n">
        <x:f>'站点明细'!$E729</x:f>
        <x:v>62</x:v>
      </x:c>
      <x:c r="J286" s="10" t="n">
        <x:f>'站点明细'!$D729</x:f>
        <x:v>24</x:v>
      </x:c>
      <x:c r="K286" s="10" t="n">
        <x:f>'站点明细'!$E961</x:f>
        <x:v>55</x:v>
      </x:c>
      <x:c r="L286" s="10" t="n">
        <x:f>'站点明细'!$D961</x:f>
        <x:v>48</x:v>
      </x:c>
      <x:c r="M286" s="10" t="n">
        <x:f>'站点明细'!$E1193</x:f>
        <x:v>36</x:v>
      </x:c>
      <x:c r="N286" s="10" t="n">
        <x:f>'站点明细'!$D1193</x:f>
        <x:v>25</x:v>
      </x:c>
      <x:c r="O286" s="10" t="n">
        <x:f>'站点明细'!$E1425</x:f>
        <x:v>0</x:v>
      </x:c>
      <x:c r="P286" s="10" t="n">
        <x:f>'站点明细'!$D1425</x:f>
        <x:v>0</x:v>
      </x:c>
      <x:c r="Q286" s="11" t="n">
        <x:f>'站点明细'!$F33</x:f>
        <x:v>41217.44</x:v>
      </x:c>
      <x:c r="R286" s="11" t="n">
        <x:f>'站点明细'!$F265</x:f>
        <x:v>17865.31</x:v>
      </x:c>
      <x:c r="S286" s="11" t="n">
        <x:f>'站点明细'!$F497</x:f>
        <x:v>1671.25</x:v>
      </x:c>
      <x:c r="T286" s="11" t="n">
        <x:f>'站点明细'!$F729</x:f>
        <x:v>500.3</x:v>
      </x:c>
      <x:c r="U286" s="11" t="n">
        <x:f>'站点明细'!$F961</x:f>
        <x:v>694.18</x:v>
      </x:c>
      <x:c r="V286" s="11" t="n">
        <x:f>'站点明细'!$F1193</x:f>
        <x:v>911.82</x:v>
      </x:c>
      <x:c r="W286" s="11" t="n">
        <x:f>'站点明细'!$F1425</x:f>
        <x:v>0</x:v>
      </x:c>
    </x:row>
    <x:row r="287">
      <x:c r="A287" t="str">
        <x:f>TEXT($B287,"mm-dd")</x:f>
        <x:v>02-02</x:v>
      </x:c>
      <x:c r="B287" s="9" t="n">
        <x:f>'站点明细'!$C34</x:f>
        <x:v>46055</x:v>
      </x:c>
      <x:c r="C287" s="10" t="n">
        <x:f>'站点明细'!$E34</x:f>
        <x:v>5863</x:v>
      </x:c>
      <x:c r="D287" s="10" t="n">
        <x:f>'站点明细'!$D34</x:f>
        <x:v>3210</x:v>
      </x:c>
      <x:c r="E287" s="10" t="n">
        <x:f>'站点明细'!$E266</x:f>
        <x:v>2034</x:v>
      </x:c>
      <x:c r="F287" s="10" t="n">
        <x:f>'站点明细'!$D266</x:f>
        <x:v>1079</x:v>
      </x:c>
      <x:c r="G287" s="10" t="n">
        <x:f>'站点明细'!$E498</x:f>
        <x:v>299</x:v>
      </x:c>
      <x:c r="H287" s="10" t="n">
        <x:f>'站点明细'!$D498</x:f>
        <x:v>136</x:v>
      </x:c>
      <x:c r="I287" s="10" t="n">
        <x:f>'站点明细'!$E730</x:f>
        <x:v>33</x:v>
      </x:c>
      <x:c r="J287" s="10" t="n">
        <x:f>'站点明细'!$D730</x:f>
        <x:v>12</x:v>
      </x:c>
      <x:c r="K287" s="10" t="n">
        <x:f>'站点明细'!$E962</x:f>
        <x:v>42</x:v>
      </x:c>
      <x:c r="L287" s="10" t="n">
        <x:f>'站点明细'!$D962</x:f>
        <x:v>37</x:v>
      </x:c>
      <x:c r="M287" s="10" t="n">
        <x:f>'站点明细'!$E1194</x:f>
        <x:v>18</x:v>
      </x:c>
      <x:c r="N287" s="10" t="n">
        <x:f>'站点明细'!$D1194</x:f>
        <x:v>16</x:v>
      </x:c>
      <x:c r="O287" s="10" t="n">
        <x:f>'站点明细'!$E1426</x:f>
        <x:v>24</x:v>
      </x:c>
      <x:c r="P287" s="10" t="n">
        <x:f>'站点明细'!$D1426</x:f>
        <x:v>22</x:v>
      </x:c>
      <x:c r="Q287" s="11" t="n">
        <x:f>'站点明细'!$F34</x:f>
        <x:v>45642.23</x:v>
      </x:c>
      <x:c r="R287" s="11" t="n">
        <x:f>'站点明细'!$F266</x:f>
        <x:v>22527.73</x:v>
      </x:c>
      <x:c r="S287" s="11" t="n">
        <x:f>'站点明细'!$F498</x:f>
        <x:v>1760.21</x:v>
      </x:c>
      <x:c r="T287" s="11" t="n">
        <x:f>'站点明细'!$F730</x:f>
        <x:v>262.14</x:v>
      </x:c>
      <x:c r="U287" s="11" t="n">
        <x:f>'站点明细'!$F962</x:f>
        <x:v>498.56</x:v>
      </x:c>
      <x:c r="V287" s="11" t="n">
        <x:f>'站点明细'!$F1194</x:f>
        <x:v>418.06</x:v>
      </x:c>
      <x:c r="W287" s="11" t="n">
        <x:f>'站点明细'!$F1426</x:f>
        <x:v>1170.42</x:v>
      </x:c>
    </x:row>
    <x:row r="288">
      <x:c r="A288" t="str">
        <x:f>TEXT($B288,"mm-dd")</x:f>
        <x:v>02-03</x:v>
      </x:c>
      <x:c r="B288" s="9" t="n">
        <x:f>'站点明细'!$C35</x:f>
        <x:v>46056</x:v>
      </x:c>
      <x:c r="C288" s="10" t="n">
        <x:f>'站点明细'!$E35</x:f>
        <x:v>5813</x:v>
      </x:c>
      <x:c r="D288" s="10" t="n">
        <x:f>'站点明细'!$D35</x:f>
        <x:v>3405</x:v>
      </x:c>
      <x:c r="E288" s="10" t="n">
        <x:f>'站点明细'!$E267</x:f>
        <x:v>2173</x:v>
      </x:c>
      <x:c r="F288" s="10" t="n">
        <x:f>'站点明细'!$D267</x:f>
        <x:v>989</x:v>
      </x:c>
      <x:c r="G288" s="10" t="n">
        <x:f>'站点明细'!$E499</x:f>
        <x:v>362</x:v>
      </x:c>
      <x:c r="H288" s="10" t="n">
        <x:f>'站点明细'!$D499</x:f>
        <x:v>160</x:v>
      </x:c>
      <x:c r="I288" s="10" t="n">
        <x:f>'站点明细'!$E731</x:f>
        <x:v>49</x:v>
      </x:c>
      <x:c r="J288" s="10" t="n">
        <x:f>'站点明细'!$D731</x:f>
        <x:v>24</x:v>
      </x:c>
      <x:c r="K288" s="10" t="n">
        <x:f>'站点明细'!$E963</x:f>
        <x:v>54</x:v>
      </x:c>
      <x:c r="L288" s="10" t="n">
        <x:f>'站点明细'!$D963</x:f>
        <x:v>44</x:v>
      </x:c>
      <x:c r="M288" s="10" t="n">
        <x:f>'站点明细'!$E1195</x:f>
        <x:v>11</x:v>
      </x:c>
      <x:c r="N288" s="10" t="n">
        <x:f>'站点明细'!$D1195</x:f>
        <x:v>8</x:v>
      </x:c>
      <x:c r="O288" s="10" t="n">
        <x:f>'站点明细'!$E1427</x:f>
        <x:v>8</x:v>
      </x:c>
      <x:c r="P288" s="10" t="n">
        <x:f>'站点明细'!$D1427</x:f>
        <x:v>7</x:v>
      </x:c>
      <x:c r="Q288" s="11" t="n">
        <x:f>'站点明细'!$F35</x:f>
        <x:v>49950.44</x:v>
      </x:c>
      <x:c r="R288" s="11" t="n">
        <x:f>'站点明细'!$F267</x:f>
        <x:v>19899.69</x:v>
      </x:c>
      <x:c r="S288" s="11" t="n">
        <x:f>'站点明细'!$F499</x:f>
        <x:v>2093.89</x:v>
      </x:c>
      <x:c r="T288" s="11" t="n">
        <x:f>'站点明细'!$F731</x:f>
        <x:v>291.61</x:v>
      </x:c>
      <x:c r="U288" s="11" t="n">
        <x:f>'站点明细'!$F963</x:f>
        <x:v>650.39</x:v>
      </x:c>
      <x:c r="V288" s="11" t="n">
        <x:f>'站点明细'!$F1195</x:f>
        <x:v>278.27</x:v>
      </x:c>
      <x:c r="W288" s="11" t="n">
        <x:f>'站点明细'!$F1427</x:f>
        <x:v>471.78</x:v>
      </x:c>
    </x:row>
    <x:row r="289">
      <x:c r="A289" t="str">
        <x:f>TEXT($B289,"mm-dd")</x:f>
        <x:v>02-04</x:v>
      </x:c>
      <x:c r="B289" s="9" t="n">
        <x:f>'站点明细'!$C36</x:f>
        <x:v>46057</x:v>
      </x:c>
      <x:c r="C289" s="10" t="n">
        <x:f>'站点明细'!$E36</x:f>
        <x:v>4823</x:v>
      </x:c>
      <x:c r="D289" s="10" t="n">
        <x:f>'站点明细'!$D36</x:f>
        <x:v>2833</x:v>
      </x:c>
      <x:c r="E289" s="10" t="n">
        <x:f>'站点明细'!$E268</x:f>
        <x:v>1901</x:v>
      </x:c>
      <x:c r="F289" s="10" t="n">
        <x:f>'站点明细'!$D268</x:f>
        <x:v>859</x:v>
      </x:c>
      <x:c r="G289" s="10" t="n">
        <x:f>'站点明细'!$E500</x:f>
        <x:v>328</x:v>
      </x:c>
      <x:c r="H289" s="10" t="n">
        <x:f>'站点明细'!$D500</x:f>
        <x:v>155</x:v>
      </x:c>
      <x:c r="I289" s="10" t="n">
        <x:f>'站点明细'!$E732</x:f>
        <x:v>34</x:v>
      </x:c>
      <x:c r="J289" s="10" t="n">
        <x:f>'站点明细'!$D732</x:f>
        <x:v>18</x:v>
      </x:c>
      <x:c r="K289" s="10" t="n">
        <x:f>'站点明细'!$E964</x:f>
        <x:v>47</x:v>
      </x:c>
      <x:c r="L289" s="10" t="n">
        <x:f>'站点明细'!$D964</x:f>
        <x:v>42</x:v>
      </x:c>
      <x:c r="M289" s="10" t="n">
        <x:f>'站点明细'!$E1196</x:f>
        <x:v>76</x:v>
      </x:c>
      <x:c r="N289" s="10" t="n">
        <x:f>'站点明细'!$D1196</x:f>
        <x:v>57</x:v>
      </x:c>
      <x:c r="O289" s="10" t="n">
        <x:f>'站点明细'!$E1428</x:f>
        <x:v>2</x:v>
      </x:c>
      <x:c r="P289" s="10" t="n">
        <x:f>'站点明细'!$D1428</x:f>
        <x:v>2</x:v>
      </x:c>
      <x:c r="Q289" s="11" t="n">
        <x:f>'站点明细'!$F36</x:f>
        <x:v>38877.05</x:v>
      </x:c>
      <x:c r="R289" s="11" t="n">
        <x:f>'站点明细'!$F268</x:f>
        <x:v>17324</x:v>
      </x:c>
      <x:c r="S289" s="11" t="n">
        <x:f>'站点明细'!$F500</x:f>
        <x:v>1862.44</x:v>
      </x:c>
      <x:c r="T289" s="11" t="n">
        <x:f>'站点明细'!$F732</x:f>
        <x:v>215.68</x:v>
      </x:c>
      <x:c r="U289" s="11" t="n">
        <x:f>'站点明细'!$F964</x:f>
        <x:v>566.34</x:v>
      </x:c>
      <x:c r="V289" s="11" t="n">
        <x:f>'站点明细'!$F1196</x:f>
        <x:v>1944.73</x:v>
      </x:c>
      <x:c r="W289" s="11" t="n">
        <x:f>'站点明细'!$F1428</x:f>
        <x:v>128.73</x:v>
      </x:c>
    </x:row>
    <x:row r="290">
      <x:c r="A290" t="str">
        <x:f>TEXT($B290,"mm-dd")</x:f>
        <x:v>02-05</x:v>
      </x:c>
      <x:c r="B290" s="9" t="n">
        <x:f>'站点明细'!$C37</x:f>
        <x:v>46058</x:v>
      </x:c>
      <x:c r="C290" s="10" t="n">
        <x:f>'站点明细'!$E37</x:f>
        <x:v>4937</x:v>
      </x:c>
      <x:c r="D290" s="10" t="n">
        <x:f>'站点明细'!$D37</x:f>
        <x:v>2875</x:v>
      </x:c>
      <x:c r="E290" s="10" t="n">
        <x:f>'站点明细'!$E269</x:f>
        <x:v>1991</x:v>
      </x:c>
      <x:c r="F290" s="10" t="n">
        <x:f>'站点明细'!$D269</x:f>
        <x:v>913</x:v>
      </x:c>
      <x:c r="G290" s="10" t="n">
        <x:f>'站点明细'!$E501</x:f>
        <x:v>370</x:v>
      </x:c>
      <x:c r="H290" s="10" t="n">
        <x:f>'站点明细'!$D501</x:f>
        <x:v>158</x:v>
      </x:c>
      <x:c r="I290" s="10" t="n">
        <x:f>'站点明细'!$E733</x:f>
        <x:v>29</x:v>
      </x:c>
      <x:c r="J290" s="10" t="n">
        <x:f>'站点明细'!$D733</x:f>
        <x:v>15</x:v>
      </x:c>
      <x:c r="K290" s="10" t="n">
        <x:f>'站点明细'!$E965</x:f>
        <x:v>45</x:v>
      </x:c>
      <x:c r="L290" s="10" t="n">
        <x:f>'站点明细'!$D965</x:f>
        <x:v>40</x:v>
      </x:c>
      <x:c r="M290" s="10" t="n">
        <x:f>'站点明细'!$E1197</x:f>
        <x:v>39</x:v>
      </x:c>
      <x:c r="N290" s="10" t="n">
        <x:f>'站点明细'!$D1197</x:f>
        <x:v>30</x:v>
      </x:c>
      <x:c r="O290" s="10" t="n">
        <x:f>'站点明细'!$E1429</x:f>
        <x:v>11</x:v>
      </x:c>
      <x:c r="P290" s="10" t="n">
        <x:f>'站点明细'!$D1429</x:f>
        <x:v>11</x:v>
      </x:c>
      <x:c r="Q290" s="11" t="n">
        <x:f>'站点明细'!$F37</x:f>
        <x:v>39345.76</x:v>
      </x:c>
      <x:c r="R290" s="11" t="n">
        <x:f>'站点明细'!$F269</x:f>
        <x:v>18195.65</x:v>
      </x:c>
      <x:c r="S290" s="11" t="n">
        <x:f>'站点明细'!$F501</x:f>
        <x:v>2051.76</x:v>
      </x:c>
      <x:c r="T290" s="11" t="n">
        <x:f>'站点明细'!$F733</x:f>
        <x:v>247.97</x:v>
      </x:c>
      <x:c r="U290" s="11" t="n">
        <x:f>'站点明细'!$F965</x:f>
        <x:v>553.72</x:v>
      </x:c>
      <x:c r="V290" s="11" t="n">
        <x:f>'站点明细'!$F1197</x:f>
        <x:v>1031.22</x:v>
      </x:c>
      <x:c r="W290" s="11" t="n">
        <x:f>'站点明细'!$F1429</x:f>
        <x:v>671.46</x:v>
      </x:c>
    </x:row>
    <x:row r="291">
      <x:c r="A291" t="str">
        <x:f>TEXT($B291,"mm-dd")</x:f>
        <x:v>02-06</x:v>
      </x:c>
      <x:c r="B291" s="9" t="n">
        <x:f>'站点明细'!$C38</x:f>
        <x:v>46059</x:v>
      </x:c>
      <x:c r="C291" s="10" t="n">
        <x:f>'站点明细'!$E38</x:f>
        <x:v>4724</x:v>
      </x:c>
      <x:c r="D291" s="10" t="n">
        <x:f>'站点明细'!$D38</x:f>
        <x:v>2799</x:v>
      </x:c>
      <x:c r="E291" s="10" t="n">
        <x:f>'站点明细'!$E270</x:f>
        <x:v>2217</x:v>
      </x:c>
      <x:c r="F291" s="10" t="n">
        <x:f>'站点明细'!$D270</x:f>
        <x:v>969</x:v>
      </x:c>
      <x:c r="G291" s="10" t="n">
        <x:f>'站点明细'!$E502</x:f>
        <x:v>452</x:v>
      </x:c>
      <x:c r="H291" s="10" t="n">
        <x:f>'站点明细'!$D502</x:f>
        <x:v>186</x:v>
      </x:c>
      <x:c r="I291" s="10" t="n">
        <x:f>'站点明细'!$E734</x:f>
        <x:v>100</x:v>
      </x:c>
      <x:c r="J291" s="10" t="n">
        <x:f>'站点明细'!$D734</x:f>
        <x:v>44</x:v>
      </x:c>
      <x:c r="K291" s="10" t="n">
        <x:f>'站点明细'!$E966</x:f>
        <x:v>51</x:v>
      </x:c>
      <x:c r="L291" s="10" t="n">
        <x:f>'站点明细'!$D966</x:f>
        <x:v>47</x:v>
      </x:c>
      <x:c r="M291" s="10" t="n">
        <x:f>'站点明细'!$E1198</x:f>
        <x:v>32</x:v>
      </x:c>
      <x:c r="N291" s="10" t="n">
        <x:f>'站点明细'!$D1198</x:f>
        <x:v>26</x:v>
      </x:c>
      <x:c r="O291" s="10" t="n">
        <x:f>'站点明细'!$E1430</x:f>
        <x:v>4</x:v>
      </x:c>
      <x:c r="P291" s="10" t="n">
        <x:f>'站点明细'!$D1430</x:f>
        <x:v>3</x:v>
      </x:c>
      <x:c r="Q291" s="11" t="n">
        <x:f>'站点明细'!$F38</x:f>
        <x:v>37124.96</x:v>
      </x:c>
      <x:c r="R291" s="11" t="n">
        <x:f>'站点明细'!$F270</x:f>
        <x:v>18577.19</x:v>
      </x:c>
      <x:c r="S291" s="11" t="n">
        <x:f>'站点明细'!$F502</x:f>
        <x:v>2778.65</x:v>
      </x:c>
      <x:c r="T291" s="11" t="n">
        <x:f>'站点明细'!$F734</x:f>
        <x:v>679.27</x:v>
      </x:c>
      <x:c r="U291" s="11" t="n">
        <x:f>'站点明细'!$F966</x:f>
        <x:v>616.64</x:v>
      </x:c>
      <x:c r="V291" s="11" t="n">
        <x:f>'站点明细'!$F1198</x:f>
        <x:v>872.01</x:v>
      </x:c>
      <x:c r="W291" s="11" t="n">
        <x:f>'站点明细'!$F1430</x:f>
        <x:v>210.53</x:v>
      </x:c>
    </x:row>
    <x:row r="292">
      <x:c r="A292" t="str">
        <x:f>TEXT($B292,"mm-dd")</x:f>
        <x:v>02-07</x:v>
      </x:c>
      <x:c r="B292" s="9" t="n">
        <x:f>'站点明细'!$C39</x:f>
        <x:v>46060</x:v>
      </x:c>
      <x:c r="C292" s="10" t="n">
        <x:f>'站点明细'!$E39</x:f>
        <x:v>4775</x:v>
      </x:c>
      <x:c r="D292" s="10" t="n">
        <x:f>'站点明细'!$D39</x:f>
        <x:v>2857</x:v>
      </x:c>
      <x:c r="E292" s="10" t="n">
        <x:f>'站点明细'!$E271</x:f>
        <x:v>2169</x:v>
      </x:c>
      <x:c r="F292" s="10" t="n">
        <x:f>'站点明细'!$D271</x:f>
        <x:v>938</x:v>
      </x:c>
      <x:c r="G292" s="10" t="n">
        <x:f>'站点明细'!$E503</x:f>
        <x:v>503</x:v>
      </x:c>
      <x:c r="H292" s="10" t="n">
        <x:f>'站点明细'!$D503</x:f>
        <x:v>194</x:v>
      </x:c>
      <x:c r="I292" s="10" t="n">
        <x:f>'站点明细'!$E735</x:f>
        <x:v>30</x:v>
      </x:c>
      <x:c r="J292" s="10" t="n">
        <x:f>'站点明细'!$D735</x:f>
        <x:v>16</x:v>
      </x:c>
      <x:c r="K292" s="10" t="n">
        <x:f>'站点明细'!$E967</x:f>
        <x:v>0</x:v>
      </x:c>
      <x:c r="L292" s="10" t="n">
        <x:f>'站点明细'!$D967</x:f>
        <x:v>0</x:v>
      </x:c>
      <x:c r="M292" s="10" t="n">
        <x:f>'站点明细'!$E1199</x:f>
        <x:v>48</x:v>
      </x:c>
      <x:c r="N292" s="10" t="n">
        <x:f>'站点明细'!$D1199</x:f>
        <x:v>37</x:v>
      </x:c>
      <x:c r="O292" s="10" t="n">
        <x:f>'站点明细'!$E1431</x:f>
        <x:v>1</x:v>
      </x:c>
      <x:c r="P292" s="10" t="n">
        <x:f>'站点明细'!$D1431</x:f>
        <x:v>1</x:v>
      </x:c>
      <x:c r="Q292" s="11" t="n">
        <x:f>'站点明细'!$F39</x:f>
        <x:v>39424.59</x:v>
      </x:c>
      <x:c r="R292" s="11" t="n">
        <x:f>'站点明细'!$F271</x:f>
        <x:v>18298.79</x:v>
      </x:c>
      <x:c r="S292" s="11" t="n">
        <x:f>'站点明细'!$F503</x:f>
        <x:v>2279.58</x:v>
      </x:c>
      <x:c r="T292" s="11" t="n">
        <x:f>'站点明细'!$F735</x:f>
        <x:v>191.18</x:v>
      </x:c>
      <x:c r="U292" s="11" t="n">
        <x:f>'站点明细'!$F967</x:f>
        <x:v>0</x:v>
      </x:c>
      <x:c r="V292" s="11" t="n">
        <x:f>'站点明细'!$F1199</x:f>
        <x:v>1239.81</x:v>
      </x:c>
      <x:c r="W292" s="11" t="n">
        <x:f>'站点明细'!$F1431</x:f>
        <x:v>43.74</x:v>
      </x:c>
    </x:row>
    <x:row r="293">
      <x:c r="A293" t="str">
        <x:f>TEXT($B293,"mm-dd")</x:f>
        <x:v>02-08</x:v>
      </x:c>
      <x:c r="B293" s="9" t="n">
        <x:f>'站点明细'!$C40</x:f>
        <x:v>46061</x:v>
      </x:c>
      <x:c r="C293" s="10" t="n">
        <x:f>'站点明细'!$E40</x:f>
        <x:v>4849</x:v>
      </x:c>
      <x:c r="D293" s="10" t="n">
        <x:f>'站点明细'!$D40</x:f>
        <x:v>2881</x:v>
      </x:c>
      <x:c r="E293" s="10" t="n">
        <x:f>'站点明细'!$E272</x:f>
        <x:v>1846</x:v>
      </x:c>
      <x:c r="F293" s="10" t="n">
        <x:f>'站点明细'!$D272</x:f>
        <x:v>902</x:v>
      </x:c>
      <x:c r="G293" s="10" t="n">
        <x:f>'站点明细'!$E504</x:f>
        <x:v>581</x:v>
      </x:c>
      <x:c r="H293" s="10" t="n">
        <x:f>'站点明细'!$D504</x:f>
        <x:v>241</x:v>
      </x:c>
      <x:c r="I293" s="10" t="n">
        <x:f>'站点明细'!$E736</x:f>
        <x:v>64</x:v>
      </x:c>
      <x:c r="J293" s="10" t="n">
        <x:f>'站点明细'!$D736</x:f>
        <x:v>24</x:v>
      </x:c>
      <x:c r="K293" s="10" t="n">
        <x:f>'站点明细'!$E968</x:f>
        <x:v>2</x:v>
      </x:c>
      <x:c r="L293" s="10" t="n">
        <x:f>'站点明细'!$D968</x:f>
        <x:v>2</x:v>
      </x:c>
      <x:c r="M293" s="10" t="n">
        <x:f>'站点明细'!$E1200</x:f>
        <x:v>34</x:v>
      </x:c>
      <x:c r="N293" s="10" t="n">
        <x:f>'站点明细'!$D1200</x:f>
        <x:v>22</x:v>
      </x:c>
      <x:c r="O293" s="10" t="n">
        <x:f>'站点明细'!$E1432</x:f>
        <x:v>0</x:v>
      </x:c>
      <x:c r="P293" s="10" t="n">
        <x:f>'站点明细'!$D1432</x:f>
        <x:v>0</x:v>
      </x:c>
      <x:c r="Q293" s="11" t="n">
        <x:f>'站点明细'!$F40</x:f>
        <x:v>39816.53</x:v>
      </x:c>
      <x:c r="R293" s="11" t="n">
        <x:f>'站点明细'!$F272</x:f>
        <x:v>18317.02</x:v>
      </x:c>
      <x:c r="S293" s="11" t="n">
        <x:f>'站点明细'!$F504</x:f>
        <x:v>2846.74</x:v>
      </x:c>
      <x:c r="T293" s="11" t="n">
        <x:f>'站点明细'!$F736</x:f>
        <x:v>521.84</x:v>
      </x:c>
      <x:c r="U293" s="11" t="n">
        <x:f>'站点明细'!$F968</x:f>
        <x:v>24.62</x:v>
      </x:c>
      <x:c r="V293" s="11" t="n">
        <x:f>'站点明细'!$F1200</x:f>
        <x:v>971.09</x:v>
      </x:c>
      <x:c r="W293" s="11" t="n">
        <x:f>'站点明细'!$F1432</x:f>
        <x:v>0</x:v>
      </x:c>
    </x:row>
    <x:row r="294">
      <x:c r="A294" t="str">
        <x:f>TEXT($B294,"mm-dd")</x:f>
        <x:v>02-09</x:v>
      </x:c>
      <x:c r="B294" s="9" t="n">
        <x:f>'站点明细'!$C41</x:f>
        <x:v>46062</x:v>
      </x:c>
      <x:c r="C294" s="10" t="n">
        <x:f>'站点明细'!$E41</x:f>
        <x:v>4681</x:v>
      </x:c>
      <x:c r="D294" s="10" t="n">
        <x:f>'站点明细'!$D41</x:f>
        <x:v>2710</x:v>
      </x:c>
      <x:c r="E294" s="10" t="n">
        <x:f>'站点明细'!$E273</x:f>
        <x:v>1735</x:v>
      </x:c>
      <x:c r="F294" s="10" t="n">
        <x:f>'站点明细'!$D273</x:f>
        <x:v>825</x:v>
      </x:c>
      <x:c r="G294" s="10" t="n">
        <x:f>'站点明细'!$E505</x:f>
        <x:v>389</x:v>
      </x:c>
      <x:c r="H294" s="10" t="n">
        <x:f>'站点明细'!$D505</x:f>
        <x:v>167</x:v>
      </x:c>
      <x:c r="I294" s="10" t="n">
        <x:f>'站点明细'!$E737</x:f>
        <x:v>54</x:v>
      </x:c>
      <x:c r="J294" s="10" t="n">
        <x:f>'站点明细'!$D737</x:f>
        <x:v>15</x:v>
      </x:c>
      <x:c r="K294" s="10" t="n">
        <x:f>'站点明细'!$E969</x:f>
        <x:v>0</x:v>
      </x:c>
      <x:c r="L294" s="10" t="n">
        <x:f>'站点明细'!$D969</x:f>
        <x:v>0</x:v>
      </x:c>
      <x:c r="M294" s="10" t="n">
        <x:f>'站点明细'!$E1201</x:f>
        <x:v>13</x:v>
      </x:c>
      <x:c r="N294" s="10" t="n">
        <x:f>'站点明细'!$D1201</x:f>
        <x:v>10</x:v>
      </x:c>
      <x:c r="O294" s="10" t="n">
        <x:f>'站点明细'!$E1433</x:f>
        <x:v>7</x:v>
      </x:c>
      <x:c r="P294" s="10" t="n">
        <x:f>'站点明细'!$D1433</x:f>
        <x:v>7</x:v>
      </x:c>
      <x:c r="Q294" s="11" t="n">
        <x:f>'站点明细'!$F41</x:f>
        <x:v>37511.45</x:v>
      </x:c>
      <x:c r="R294" s="11" t="n">
        <x:f>'站点明细'!$F273</x:f>
        <x:v>16697.09</x:v>
      </x:c>
      <x:c r="S294" s="11" t="n">
        <x:f>'站点明细'!$F505</x:f>
        <x:v>1985.46</x:v>
      </x:c>
      <x:c r="T294" s="11" t="n">
        <x:f>'站点明细'!$F737</x:f>
        <x:v>613.97</x:v>
      </x:c>
      <x:c r="U294" s="11" t="n">
        <x:f>'站点明细'!$F969</x:f>
        <x:v>0</x:v>
      </x:c>
      <x:c r="V294" s="11" t="n">
        <x:f>'站点明细'!$F1201</x:f>
        <x:v>358.09</x:v>
      </x:c>
      <x:c r="W294" s="11" t="n">
        <x:f>'站点明细'!$F1433</x:f>
        <x:v>305.29</x:v>
      </x:c>
    </x:row>
    <x:row r="295">
      <x:c r="A295" t="str">
        <x:f>TEXT($B295,"mm-dd")</x:f>
        <x:v>02-10</x:v>
      </x:c>
      <x:c r="B295" s="9" t="n">
        <x:f>'站点明细'!$C42</x:f>
        <x:v>46063</x:v>
      </x:c>
      <x:c r="C295" s="10" t="n">
        <x:f>'站点明细'!$E42</x:f>
        <x:v>4116</x:v>
      </x:c>
      <x:c r="D295" s="10" t="n">
        <x:f>'站点明细'!$D42</x:f>
        <x:v>2468</x:v>
      </x:c>
      <x:c r="E295" s="10" t="n">
        <x:f>'站点明细'!$E274</x:f>
        <x:v>3511</x:v>
      </x:c>
      <x:c r="F295" s="10" t="n">
        <x:f>'站点明细'!$D274</x:f>
        <x:v>2021</x:v>
      </x:c>
      <x:c r="G295" s="10" t="n">
        <x:f>'站点明细'!$E506</x:f>
        <x:v>315</x:v>
      </x:c>
      <x:c r="H295" s="10" t="n">
        <x:f>'站点明细'!$D506</x:f>
        <x:v>173</x:v>
      </x:c>
      <x:c r="I295" s="10" t="n">
        <x:f>'站点明细'!$E738</x:f>
        <x:v>64</x:v>
      </x:c>
      <x:c r="J295" s="10" t="n">
        <x:f>'站点明细'!$D738</x:f>
        <x:v>39</x:v>
      </x:c>
      <x:c r="K295" s="10" t="n">
        <x:f>'站点明细'!$E970</x:f>
        <x:v>181</x:v>
      </x:c>
      <x:c r="L295" s="10" t="n">
        <x:f>'站点明细'!$D970</x:f>
        <x:v>150</x:v>
      </x:c>
      <x:c r="M295" s="10" t="n">
        <x:f>'站点明细'!$E1202</x:f>
        <x:v>46</x:v>
      </x:c>
      <x:c r="N295" s="10" t="n">
        <x:f>'站点明细'!$D1202</x:f>
        <x:v>33</x:v>
      </x:c>
      <x:c r="O295" s="10" t="n">
        <x:f>'站点明细'!$E1434</x:f>
        <x:v>11</x:v>
      </x:c>
      <x:c r="P295" s="10" t="n">
        <x:f>'站点明细'!$D1434</x:f>
        <x:v>10</x:v>
      </x:c>
      <x:c r="Q295" s="11" t="n">
        <x:f>'站点明细'!$F42</x:f>
        <x:v>32859.69</x:v>
      </x:c>
      <x:c r="R295" s="11" t="n">
        <x:f>'站点明细'!$F274</x:f>
        <x:v>33648.71</x:v>
      </x:c>
      <x:c r="S295" s="11" t="n">
        <x:f>'站点明细'!$F506</x:f>
        <x:v>1820.9</x:v>
      </x:c>
      <x:c r="T295" s="11" t="n">
        <x:f>'站点明细'!$F738</x:f>
        <x:v>371.34</x:v>
      </x:c>
      <x:c r="U295" s="11" t="n">
        <x:f>'站点明细'!$F970</x:f>
        <x:v>2130.96</x:v>
      </x:c>
      <x:c r="V295" s="11" t="n">
        <x:f>'站点明细'!$F1202</x:f>
        <x:v>1057.05</x:v>
      </x:c>
      <x:c r="W295" s="11" t="n">
        <x:f>'站点明细'!$F1434</x:f>
        <x:v>723.62</x:v>
      </x:c>
    </x:row>
    <x:row r="296">
      <x:c r="A296" t="str">
        <x:f>TEXT($B296,"mm-dd")</x:f>
        <x:v>02-11</x:v>
      </x:c>
      <x:c r="B296" s="9" t="n">
        <x:f>'站点明细'!$C43</x:f>
        <x:v>46064</x:v>
      </x:c>
      <x:c r="C296" s="10" t="n">
        <x:f>'站点明细'!$E43</x:f>
        <x:v>3983</x:v>
      </x:c>
      <x:c r="D296" s="10" t="n">
        <x:f>'站点明细'!$D43</x:f>
        <x:v>2350</x:v>
      </x:c>
      <x:c r="E296" s="10" t="n">
        <x:f>'站点明细'!$E275</x:f>
        <x:v>2869</x:v>
      </x:c>
      <x:c r="F296" s="10" t="n">
        <x:f>'站点明细'!$D275</x:f>
        <x:v>1666</x:v>
      </x:c>
      <x:c r="G296" s="10" t="n">
        <x:f>'站点明细'!$E507</x:f>
        <x:v>390</x:v>
      </x:c>
      <x:c r="H296" s="10" t="n">
        <x:f>'站点明细'!$D507</x:f>
        <x:v>191</x:v>
      </x:c>
      <x:c r="I296" s="10" t="n">
        <x:f>'站点明细'!$E739</x:f>
        <x:v>7</x:v>
      </x:c>
      <x:c r="J296" s="10" t="n">
        <x:f>'站点明细'!$D739</x:f>
        <x:v>5</x:v>
      </x:c>
      <x:c r="K296" s="10" t="n">
        <x:f>'站点明细'!$E971</x:f>
        <x:v>38</x:v>
      </x:c>
      <x:c r="L296" s="10" t="n">
        <x:f>'站点明细'!$D971</x:f>
        <x:v>32</x:v>
      </x:c>
      <x:c r="M296" s="10" t="n">
        <x:f>'站点明细'!$E1203</x:f>
        <x:v>45</x:v>
      </x:c>
      <x:c r="N296" s="10" t="n">
        <x:f>'站点明细'!$D1203</x:f>
        <x:v>32</x:v>
      </x:c>
      <x:c r="O296" s="10" t="n">
        <x:f>'站点明细'!$E1435</x:f>
        <x:v>2</x:v>
      </x:c>
      <x:c r="P296" s="10" t="n">
        <x:f>'站点明细'!$D1435</x:f>
        <x:v>2</x:v>
      </x:c>
      <x:c r="Q296" s="11" t="n">
        <x:f>'站点明细'!$F43</x:f>
        <x:v>30684.87</x:v>
      </x:c>
      <x:c r="R296" s="11" t="n">
        <x:f>'站点明细'!$F275</x:f>
        <x:v>28774.64</x:v>
      </x:c>
      <x:c r="S296" s="11" t="n">
        <x:f>'站点明细'!$F507</x:f>
        <x:v>2188.33</x:v>
      </x:c>
      <x:c r="T296" s="11" t="n">
        <x:f>'站点明细'!$F739</x:f>
        <x:v>67.04</x:v>
      </x:c>
      <x:c r="U296" s="11" t="n">
        <x:f>'站点明细'!$F971</x:f>
        <x:v>466.98</x:v>
      </x:c>
      <x:c r="V296" s="11" t="n">
        <x:f>'站点明细'!$F1203</x:f>
        <x:v>1124.69</x:v>
      </x:c>
      <x:c r="W296" s="11" t="n">
        <x:f>'站点明细'!$F1435</x:f>
        <x:v>118.73</x:v>
      </x:c>
    </x:row>
    <x:row r="297">
      <x:c r="A297" t="str">
        <x:f>TEXT($B297,"mm-dd")</x:f>
        <x:v>02-12</x:v>
      </x:c>
      <x:c r="B297" s="9" t="n">
        <x:f>'站点明细'!$C44</x:f>
        <x:v>46065</x:v>
      </x:c>
      <x:c r="C297" s="10" t="n">
        <x:f>'站点明细'!$E44</x:f>
        <x:v>4195</x:v>
      </x:c>
      <x:c r="D297" s="10" t="n">
        <x:f>'站点明细'!$D44</x:f>
        <x:v>2573</x:v>
      </x:c>
      <x:c r="E297" s="10" t="n">
        <x:f>'站点明细'!$E276</x:f>
        <x:v>2464</x:v>
      </x:c>
      <x:c r="F297" s="10" t="n">
        <x:f>'站点明细'!$D276</x:f>
        <x:v>1423</x:v>
      </x:c>
      <x:c r="G297" s="10" t="n">
        <x:f>'站点明细'!$E508</x:f>
        <x:v>373</x:v>
      </x:c>
      <x:c r="H297" s="10" t="n">
        <x:f>'站点明细'!$D508</x:f>
        <x:v>171</x:v>
      </x:c>
      <x:c r="I297" s="10" t="n">
        <x:f>'站点明细'!$E740</x:f>
        <x:v>14</x:v>
      </x:c>
      <x:c r="J297" s="10" t="n">
        <x:f>'站点明细'!$D740</x:f>
        <x:v>4</x:v>
      </x:c>
      <x:c r="K297" s="10" t="n">
        <x:f>'站点明细'!$E972</x:f>
        <x:v>40</x:v>
      </x:c>
      <x:c r="L297" s="10" t="n">
        <x:f>'站点明细'!$D972</x:f>
        <x:v>38</x:v>
      </x:c>
      <x:c r="M297" s="10" t="n">
        <x:f>'站点明细'!$E1204</x:f>
        <x:v>22</x:v>
      </x:c>
      <x:c r="N297" s="10" t="n">
        <x:f>'站点明细'!$D1204</x:f>
        <x:v>20</x:v>
      </x:c>
      <x:c r="O297" s="10" t="n">
        <x:f>'站点明细'!$E1436</x:f>
        <x:v>0</x:v>
      </x:c>
      <x:c r="P297" s="10" t="n">
        <x:f>'站点明细'!$D1436</x:f>
        <x:v>0</x:v>
      </x:c>
      <x:c r="Q297" s="11" t="n">
        <x:f>'站点明细'!$F44</x:f>
        <x:v>33267.9</x:v>
      </x:c>
      <x:c r="R297" s="11" t="n">
        <x:f>'站点明细'!$F276</x:f>
        <x:v>25928.56</x:v>
      </x:c>
      <x:c r="S297" s="11" t="n">
        <x:f>'站点明细'!$F508</x:f>
        <x:v>1287.05</x:v>
      </x:c>
      <x:c r="T297" s="11" t="n">
        <x:f>'站点明细'!$F740</x:f>
        <x:v>109.5</x:v>
      </x:c>
      <x:c r="U297" s="11" t="n">
        <x:f>'站点明细'!$F972</x:f>
        <x:v>494.89</x:v>
      </x:c>
      <x:c r="V297" s="11" t="n">
        <x:f>'站点明细'!$F1204</x:f>
        <x:v>621.7</x:v>
      </x:c>
      <x:c r="W297" s="11" t="n">
        <x:f>'站点明细'!$F1436</x:f>
        <x:v>0</x:v>
      </x:c>
    </x:row>
    <x:row r="298">
      <x:c r="A298" t="str">
        <x:f>TEXT($B298,"mm-dd")</x:f>
        <x:v>02-13</x:v>
      </x:c>
      <x:c r="B298" s="9" t="n">
        <x:f>'站点明细'!$C45</x:f>
        <x:v>46066</x:v>
      </x:c>
      <x:c r="C298" s="10" t="n">
        <x:f>'站点明细'!$E45</x:f>
        <x:v>3904</x:v>
      </x:c>
      <x:c r="D298" s="10" t="n">
        <x:f>'站点明细'!$D45</x:f>
        <x:v>2483</x:v>
      </x:c>
      <x:c r="E298" s="10" t="n">
        <x:f>'站点明细'!$E277</x:f>
        <x:v>2535</x:v>
      </x:c>
      <x:c r="F298" s="10" t="n">
        <x:f>'站点明细'!$D277</x:f>
        <x:v>1492</x:v>
      </x:c>
      <x:c r="G298" s="10" t="n">
        <x:f>'站点明细'!$E509</x:f>
        <x:v>366</x:v>
      </x:c>
      <x:c r="H298" s="10" t="n">
        <x:f>'站点明细'!$D509</x:f>
        <x:v>156</x:v>
      </x:c>
      <x:c r="I298" s="10" t="n">
        <x:f>'站点明细'!$E741</x:f>
        <x:v>36</x:v>
      </x:c>
      <x:c r="J298" s="10" t="n">
        <x:f>'站点明细'!$D741</x:f>
        <x:v>17</x:v>
      </x:c>
      <x:c r="K298" s="10" t="n">
        <x:f>'站点明细'!$E973</x:f>
        <x:v>41</x:v>
      </x:c>
      <x:c r="L298" s="10" t="n">
        <x:f>'站点明细'!$D973</x:f>
        <x:v>38</x:v>
      </x:c>
      <x:c r="M298" s="10" t="n">
        <x:f>'站点明细'!$E1205</x:f>
        <x:v>43</x:v>
      </x:c>
      <x:c r="N298" s="10" t="n">
        <x:f>'站点明细'!$D1205</x:f>
        <x:v>35</x:v>
      </x:c>
      <x:c r="O298" s="10" t="n">
        <x:f>'站点明细'!$E1437</x:f>
        <x:v>4</x:v>
      </x:c>
      <x:c r="P298" s="10" t="n">
        <x:f>'站点明细'!$D1437</x:f>
        <x:v>4</x:v>
      </x:c>
      <x:c r="Q298" s="11" t="n">
        <x:f>'站点明细'!$F45</x:f>
        <x:v>30645.35</x:v>
      </x:c>
      <x:c r="R298" s="11" t="n">
        <x:f>'站点明细'!$F277</x:f>
        <x:v>25816.28</x:v>
      </x:c>
      <x:c r="S298" s="11" t="n">
        <x:f>'站点明细'!$F509</x:f>
        <x:v>1608.91</x:v>
      </x:c>
      <x:c r="T298" s="11" t="n">
        <x:f>'站点明细'!$F741</x:f>
        <x:v>110.93</x:v>
      </x:c>
      <x:c r="U298" s="11" t="n">
        <x:f>'站点明细'!$F973</x:f>
        <x:v>504.72</x:v>
      </x:c>
      <x:c r="V298" s="11" t="n">
        <x:f>'站点明细'!$F1205</x:f>
        <x:v>1094.47</x:v>
      </x:c>
      <x:c r="W298" s="11" t="n">
        <x:f>'站点明细'!$F1437</x:f>
        <x:v>236.37</x:v>
      </x:c>
    </x:row>
    <x:row r="299">
      <x:c r="A299" t="str">
        <x:f>TEXT($B299,"mm-dd")</x:f>
        <x:v>02-14</x:v>
      </x:c>
      <x:c r="B299" s="9" t="n">
        <x:f>'站点明细'!$C46</x:f>
        <x:v>46067</x:v>
      </x:c>
      <x:c r="C299" s="10" t="n">
        <x:f>'站点明细'!$E46</x:f>
        <x:v>4187</x:v>
      </x:c>
      <x:c r="D299" s="10" t="n">
        <x:f>'站点明细'!$D46</x:f>
        <x:v>2732</x:v>
      </x:c>
      <x:c r="E299" s="10" t="n">
        <x:f>'站点明细'!$E278</x:f>
        <x:v>2516</x:v>
      </x:c>
      <x:c r="F299" s="10" t="n">
        <x:f>'站点明细'!$D278</x:f>
        <x:v>1450</x:v>
      </x:c>
      <x:c r="G299" s="10" t="n">
        <x:f>'站点明细'!$E510</x:f>
        <x:v>281</x:v>
      </x:c>
      <x:c r="H299" s="10" t="n">
        <x:f>'站点明细'!$D510</x:f>
        <x:v>155</x:v>
      </x:c>
      <x:c r="I299" s="10" t="n">
        <x:f>'站点明细'!$E742</x:f>
        <x:v>24</x:v>
      </x:c>
      <x:c r="J299" s="10" t="n">
        <x:f>'站点明细'!$D742</x:f>
        <x:v>10</x:v>
      </x:c>
      <x:c r="K299" s="10" t="n">
        <x:f>'站点明细'!$E974</x:f>
        <x:v>28</x:v>
      </x:c>
      <x:c r="L299" s="10" t="n">
        <x:f>'站点明细'!$D974</x:f>
        <x:v>25</x:v>
      </x:c>
      <x:c r="M299" s="10" t="n">
        <x:f>'站点明细'!$E1206</x:f>
        <x:v>33</x:v>
      </x:c>
      <x:c r="N299" s="10" t="n">
        <x:f>'站点明细'!$D1206</x:f>
        <x:v>26</x:v>
      </x:c>
      <x:c r="O299" s="10" t="n">
        <x:f>'站点明细'!$E1438</x:f>
        <x:v>0</x:v>
      </x:c>
      <x:c r="P299" s="10" t="n">
        <x:f>'站点明细'!$D1438</x:f>
        <x:v>0</x:v>
      </x:c>
      <x:c r="Q299" s="11" t="n">
        <x:f>'站点明细'!$F46</x:f>
        <x:v>32389.41</x:v>
      </x:c>
      <x:c r="R299" s="11" t="n">
        <x:f>'站点明细'!$F278</x:f>
        <x:v>25968.18</x:v>
      </x:c>
      <x:c r="S299" s="11" t="n">
        <x:f>'站点明细'!$F510</x:f>
        <x:v>1803.68</x:v>
      </x:c>
      <x:c r="T299" s="11" t="n">
        <x:f>'站点明细'!$F742</x:f>
        <x:v>219.38</x:v>
      </x:c>
      <x:c r="U299" s="11" t="n">
        <x:f>'站点明细'!$F974</x:f>
        <x:v>336.72</x:v>
      </x:c>
      <x:c r="V299" s="11" t="n">
        <x:f>'站点明细'!$F1206</x:f>
        <x:v>749.34</x:v>
      </x:c>
      <x:c r="W299" s="11" t="n">
        <x:f>'站点明细'!$F1438</x:f>
        <x:v>0</x:v>
      </x:c>
    </x:row>
    <x:row r="300">
      <x:c r="A300" t="str">
        <x:f>TEXT($B300,"mm-dd")</x:f>
        <x:v>02-15</x:v>
      </x:c>
      <x:c r="B300" s="9" t="n">
        <x:f>'站点明细'!$C47</x:f>
        <x:v>46068</x:v>
      </x:c>
      <x:c r="C300" s="10" t="n">
        <x:f>'站点明细'!$E47</x:f>
        <x:v>4094</x:v>
      </x:c>
      <x:c r="D300" s="10" t="n">
        <x:f>'站点明细'!$D47</x:f>
        <x:v>2599</x:v>
      </x:c>
      <x:c r="E300" s="10" t="n">
        <x:f>'站点明细'!$E279</x:f>
        <x:v>2089</x:v>
      </x:c>
      <x:c r="F300" s="10" t="n">
        <x:f>'站点明细'!$D279</x:f>
        <x:v>1237</x:v>
      </x:c>
      <x:c r="G300" s="10" t="n">
        <x:f>'站点明细'!$E511</x:f>
        <x:v>0</x:v>
      </x:c>
      <x:c r="H300" s="10" t="n">
        <x:f>'站点明细'!$D511</x:f>
        <x:v>0</x:v>
      </x:c>
      <x:c r="I300" s="10" t="n">
        <x:f>'站点明细'!$E743</x:f>
        <x:v>16</x:v>
      </x:c>
      <x:c r="J300" s="10" t="n">
        <x:f>'站点明细'!$D743</x:f>
        <x:v>8</x:v>
      </x:c>
      <x:c r="K300" s="10" t="n">
        <x:f>'站点明细'!$E975</x:f>
        <x:v>36</x:v>
      </x:c>
      <x:c r="L300" s="10" t="n">
        <x:f>'站点明细'!$D975</x:f>
        <x:v>31</x:v>
      </x:c>
      <x:c r="M300" s="10" t="n">
        <x:f>'站点明细'!$E1207</x:f>
        <x:v>41</x:v>
      </x:c>
      <x:c r="N300" s="10" t="n">
        <x:f>'站点明细'!$D1207</x:f>
        <x:v>32</x:v>
      </x:c>
      <x:c r="O300" s="10" t="n">
        <x:f>'站点明细'!$E1439</x:f>
        <x:v>0</x:v>
      </x:c>
      <x:c r="P300" s="10" t="n">
        <x:f>'站点明细'!$D1439</x:f>
        <x:v>0</x:v>
      </x:c>
      <x:c r="Q300" s="11" t="n">
        <x:f>'站点明细'!$F47</x:f>
        <x:v>31565.26</x:v>
      </x:c>
      <x:c r="R300" s="11" t="n">
        <x:f>'站点明细'!$F279</x:f>
        <x:v>21538.14</x:v>
      </x:c>
      <x:c r="S300" s="11" t="n">
        <x:f>'站点明细'!$F511</x:f>
        <x:v>0</x:v>
      </x:c>
      <x:c r="T300" s="11" t="n">
        <x:f>'站点明细'!$F743</x:f>
        <x:v>120.13</x:v>
      </x:c>
      <x:c r="U300" s="11" t="n">
        <x:f>'站点明细'!$F975</x:f>
        <x:v>433.86</x:v>
      </x:c>
      <x:c r="V300" s="11" t="n">
        <x:f>'站点明细'!$F1207</x:f>
        <x:v>1022.01</x:v>
      </x:c>
      <x:c r="W300" s="11" t="n">
        <x:f>'站点明细'!$F1439</x:f>
        <x:v>0</x:v>
      </x:c>
    </x:row>
    <x:row r="301">
      <x:c r="A301" t="str">
        <x:f>TEXT($B301,"mm-dd")</x:f>
        <x:v>02-16</x:v>
      </x:c>
      <x:c r="B301" s="9" t="n">
        <x:f>'站点明细'!$C48</x:f>
        <x:v>46069</x:v>
      </x:c>
      <x:c r="C301" s="10" t="n">
        <x:f>'站点明细'!$E48</x:f>
        <x:v>4352</x:v>
      </x:c>
      <x:c r="D301" s="10" t="n">
        <x:f>'站点明细'!$D48</x:f>
        <x:v>2767</x:v>
      </x:c>
      <x:c r="E301" s="10" t="n">
        <x:f>'站点明细'!$E280</x:f>
        <x:v>2333</x:v>
      </x:c>
      <x:c r="F301" s="10" t="n">
        <x:f>'站点明细'!$D280</x:f>
        <x:v>1351</x:v>
      </x:c>
      <x:c r="G301" s="10" t="n">
        <x:f>'站点明细'!$E512</x:f>
        <x:v>0</x:v>
      </x:c>
      <x:c r="H301" s="10" t="n">
        <x:f>'站点明细'!$D512</x:f>
        <x:v>0</x:v>
      </x:c>
      <x:c r="I301" s="10" t="n">
        <x:f>'站点明细'!$E744</x:f>
        <x:v>23</x:v>
      </x:c>
      <x:c r="J301" s="10" t="n">
        <x:f>'站点明细'!$D744</x:f>
        <x:v>7</x:v>
      </x:c>
      <x:c r="K301" s="10" t="n">
        <x:f>'站点明细'!$E976</x:f>
        <x:v>47</x:v>
      </x:c>
      <x:c r="L301" s="10" t="n">
        <x:f>'站点明细'!$D976</x:f>
        <x:v>41</x:v>
      </x:c>
      <x:c r="M301" s="10" t="n">
        <x:f>'站点明细'!$E1208</x:f>
        <x:v>27</x:v>
      </x:c>
      <x:c r="N301" s="10" t="n">
        <x:f>'站点明细'!$D1208</x:f>
        <x:v>22</x:v>
      </x:c>
      <x:c r="O301" s="10" t="n">
        <x:f>'站点明细'!$E1440</x:f>
        <x:v>0</x:v>
      </x:c>
      <x:c r="P301" s="10" t="n">
        <x:f>'站点明细'!$D1440</x:f>
        <x:v>0</x:v>
      </x:c>
      <x:c r="Q301" s="11" t="n">
        <x:f>'站点明细'!$F48</x:f>
        <x:v>35859.46</x:v>
      </x:c>
      <x:c r="R301" s="11" t="n">
        <x:f>'站点明细'!$F280</x:f>
        <x:v>23473.43</x:v>
      </x:c>
      <x:c r="S301" s="11" t="n">
        <x:f>'站点明细'!$F512</x:f>
        <x:v>0</x:v>
      </x:c>
      <x:c r="T301" s="11" t="n">
        <x:f>'站点明细'!$F744</x:f>
        <x:v>199.95</x:v>
      </x:c>
      <x:c r="U301" s="11" t="n">
        <x:f>'站点明细'!$F976</x:f>
        <x:v>587.82</x:v>
      </x:c>
      <x:c r="V301" s="11" t="n">
        <x:f>'站点明细'!$F1208</x:f>
        <x:v>694.22</x:v>
      </x:c>
      <x:c r="W301" s="11" t="n">
        <x:f>'站点明细'!$F1440</x:f>
        <x:v>0</x:v>
      </x:c>
    </x:row>
    <x:row r="302">
      <x:c r="A302" t="str">
        <x:f>TEXT($B302,"mm-dd")</x:f>
        <x:v>02-17</x:v>
      </x:c>
      <x:c r="B302" s="9" t="n">
        <x:f>'站点明细'!$C49</x:f>
        <x:v>46070</x:v>
      </x:c>
      <x:c r="C302" s="10" t="n">
        <x:f>'站点明细'!$E49</x:f>
        <x:v>4437</x:v>
      </x:c>
      <x:c r="D302" s="10" t="n">
        <x:f>'站点明细'!$D49</x:f>
        <x:v>2819</x:v>
      </x:c>
      <x:c r="E302" s="10" t="n">
        <x:f>'站点明细'!$E281</x:f>
        <x:v>1283</x:v>
      </x:c>
      <x:c r="F302" s="10" t="n">
        <x:f>'站点明细'!$D281</x:f>
        <x:v>751</x:v>
      </x:c>
      <x:c r="G302" s="10" t="n">
        <x:f>'站点明细'!$E513</x:f>
        <x:v>0</x:v>
      </x:c>
      <x:c r="H302" s="10" t="n">
        <x:f>'站点明细'!$D513</x:f>
        <x:v>0</x:v>
      </x:c>
      <x:c r="I302" s="10" t="n">
        <x:f>'站点明细'!$E745</x:f>
        <x:v>0</x:v>
      </x:c>
      <x:c r="J302" s="10" t="n">
        <x:f>'站点明细'!$D745</x:f>
        <x:v>0</x:v>
      </x:c>
      <x:c r="K302" s="10" t="n">
        <x:f>'站点明细'!$E977</x:f>
        <x:v>40</x:v>
      </x:c>
      <x:c r="L302" s="10" t="n">
        <x:f>'站点明细'!$D977</x:f>
        <x:v>32</x:v>
      </x:c>
      <x:c r="M302" s="10" t="n">
        <x:f>'站点明细'!$E1209</x:f>
        <x:v>61</x:v>
      </x:c>
      <x:c r="N302" s="10" t="n">
        <x:f>'站点明细'!$D1209</x:f>
        <x:v>47</x:v>
      </x:c>
      <x:c r="O302" s="10" t="n">
        <x:f>'站点明细'!$E1441</x:f>
        <x:v>0</x:v>
      </x:c>
      <x:c r="P302" s="10" t="n">
        <x:f>'站点明细'!$D1441</x:f>
        <x:v>0</x:v>
      </x:c>
      <x:c r="Q302" s="11" t="n">
        <x:f>'站点明细'!$F49</x:f>
        <x:v>34838.65</x:v>
      </x:c>
      <x:c r="R302" s="11" t="n">
        <x:f>'站点明细'!$F281</x:f>
        <x:v>13257.2</x:v>
      </x:c>
      <x:c r="S302" s="11" t="n">
        <x:f>'站点明细'!$F513</x:f>
        <x:v>0</x:v>
      </x:c>
      <x:c r="T302" s="11" t="n">
        <x:f>'站点明细'!$F745</x:f>
        <x:v>0</x:v>
      </x:c>
      <x:c r="U302" s="11" t="n">
        <x:f>'站点明细'!$F977</x:f>
        <x:v>494</x:v>
      </x:c>
      <x:c r="V302" s="11" t="n">
        <x:f>'站点明细'!$F1209</x:f>
        <x:v>1733.05</x:v>
      </x:c>
      <x:c r="W302" s="11" t="n">
        <x:f>'站点明细'!$F1441</x:f>
        <x:v>0</x:v>
      </x:c>
    </x:row>
    <x:row r="303">
      <x:c r="A303" t="str">
        <x:f>TEXT($B303,"mm-dd")</x:f>
        <x:v>02-18</x:v>
      </x:c>
      <x:c r="B303" s="9" t="n">
        <x:f>'站点明细'!$C50</x:f>
        <x:v>46071</x:v>
      </x:c>
      <x:c r="C303" s="10" t="n">
        <x:f>'站点明细'!$E50</x:f>
        <x:v>4225</x:v>
      </x:c>
      <x:c r="D303" s="10" t="n">
        <x:f>'站点明细'!$D50</x:f>
        <x:v>2698</x:v>
      </x:c>
      <x:c r="E303" s="10" t="n">
        <x:f>'站点明细'!$E282</x:f>
        <x:v>2723</x:v>
      </x:c>
      <x:c r="F303" s="10" t="n">
        <x:f>'站点明细'!$D282</x:f>
        <x:v>1538</x:v>
      </x:c>
      <x:c r="G303" s="10" t="n">
        <x:f>'站点明细'!$E514</x:f>
        <x:v>0</x:v>
      </x:c>
      <x:c r="H303" s="10" t="n">
        <x:f>'站点明细'!$D514</x:f>
        <x:v>0</x:v>
      </x:c>
      <x:c r="I303" s="10" t="n">
        <x:f>'站点明细'!$E746</x:f>
        <x:v>43</x:v>
      </x:c>
      <x:c r="J303" s="10" t="n">
        <x:f>'站点明细'!$D746</x:f>
        <x:v>20</x:v>
      </x:c>
      <x:c r="K303" s="10" t="n">
        <x:f>'站点明细'!$E978</x:f>
        <x:v>46</x:v>
      </x:c>
      <x:c r="L303" s="10" t="n">
        <x:f>'站点明细'!$D978</x:f>
        <x:v>39</x:v>
      </x:c>
      <x:c r="M303" s="10" t="n">
        <x:f>'站点明细'!$E1210</x:f>
        <x:v>26</x:v>
      </x:c>
      <x:c r="N303" s="10" t="n">
        <x:f>'站点明细'!$D1210</x:f>
        <x:v>22</x:v>
      </x:c>
      <x:c r="O303" s="10" t="n">
        <x:f>'站点明细'!$E1442</x:f>
        <x:v>2</x:v>
      </x:c>
      <x:c r="P303" s="10" t="n">
        <x:f>'站点明细'!$D1442</x:f>
        <x:v>2</x:v>
      </x:c>
      <x:c r="Q303" s="11" t="n">
        <x:f>'站点明细'!$F50</x:f>
        <x:v>32216.64</x:v>
      </x:c>
      <x:c r="R303" s="11" t="n">
        <x:f>'站点明细'!$F282</x:f>
        <x:v>28703.14</x:v>
      </x:c>
      <x:c r="S303" s="11" t="n">
        <x:f>'站点明细'!$F514</x:f>
        <x:v>0</x:v>
      </x:c>
      <x:c r="T303" s="11" t="n">
        <x:f>'站点明细'!$F746</x:f>
        <x:v>305.47</x:v>
      </x:c>
      <x:c r="U303" s="11" t="n">
        <x:f>'站点明细'!$F978</x:f>
        <x:v>558.9</x:v>
      </x:c>
      <x:c r="V303" s="11" t="n">
        <x:f>'站点明细'!$F1210</x:f>
        <x:v>700.13</x:v>
      </x:c>
      <x:c r="W303" s="11" t="n">
        <x:f>'站点明细'!$F1442</x:f>
        <x:v>113.73</x:v>
      </x:c>
    </x:row>
    <x:row r="304">
      <x:c r="A304" t="str">
        <x:f>TEXT($B304,"mm-dd")</x:f>
        <x:v>02-19</x:v>
      </x:c>
      <x:c r="B304" s="9" t="n">
        <x:f>'站点明细'!$C51</x:f>
        <x:v>46072</x:v>
      </x:c>
      <x:c r="C304" s="10" t="n">
        <x:f>'站点明细'!$E51</x:f>
        <x:v>4283</x:v>
      </x:c>
      <x:c r="D304" s="10" t="n">
        <x:f>'站点明细'!$D51</x:f>
        <x:v>2823</x:v>
      </x:c>
      <x:c r="E304" s="10" t="n">
        <x:f>'站点明细'!$E283</x:f>
        <x:v>1574</x:v>
      </x:c>
      <x:c r="F304" s="10" t="n">
        <x:f>'站点明细'!$D283</x:f>
        <x:v>880</x:v>
      </x:c>
      <x:c r="G304" s="10" t="n">
        <x:f>'站点明细'!$E515</x:f>
        <x:v>0</x:v>
      </x:c>
      <x:c r="H304" s="10" t="n">
        <x:f>'站点明细'!$D515</x:f>
        <x:v>0</x:v>
      </x:c>
      <x:c r="I304" s="10" t="n">
        <x:f>'站点明细'!$E747</x:f>
        <x:v>5</x:v>
      </x:c>
      <x:c r="J304" s="10" t="n">
        <x:f>'站点明细'!$D747</x:f>
        <x:v>2</x:v>
      </x:c>
      <x:c r="K304" s="10" t="n">
        <x:f>'站点明细'!$E979</x:f>
        <x:v>41</x:v>
      </x:c>
      <x:c r="L304" s="10" t="n">
        <x:f>'站点明细'!$D979</x:f>
        <x:v>37</x:v>
      </x:c>
      <x:c r="M304" s="10" t="n">
        <x:f>'站点明细'!$E1211</x:f>
        <x:v>38</x:v>
      </x:c>
      <x:c r="N304" s="10" t="n">
        <x:f>'站点明细'!$D1211</x:f>
        <x:v>26</x:v>
      </x:c>
      <x:c r="O304" s="10" t="n">
        <x:f>'站点明细'!$E1443</x:f>
        <x:v>5</x:v>
      </x:c>
      <x:c r="P304" s="10" t="n">
        <x:f>'站点明细'!$D1443</x:f>
        <x:v>5</x:v>
      </x:c>
      <x:c r="Q304" s="11" t="n">
        <x:f>'站点明细'!$F51</x:f>
        <x:v>32766.65</x:v>
      </x:c>
      <x:c r="R304" s="11" t="n">
        <x:f>'站点明细'!$F283</x:f>
        <x:v>17642.66</x:v>
      </x:c>
      <x:c r="S304" s="11" t="n">
        <x:f>'站点明细'!$F515</x:f>
        <x:v>0</x:v>
      </x:c>
      <x:c r="T304" s="11" t="n">
        <x:f>'站点明细'!$F747</x:f>
        <x:v>43.47</x:v>
      </x:c>
      <x:c r="U304" s="11" t="n">
        <x:f>'站点明细'!$F979</x:f>
        <x:v>506.8</x:v>
      </x:c>
      <x:c r="V304" s="11" t="n">
        <x:f>'站点明细'!$F1211</x:f>
        <x:v>1011.93</x:v>
      </x:c>
      <x:c r="W304" s="11" t="n">
        <x:f>'站点明细'!$F1443</x:f>
        <x:v>284.94</x:v>
      </x:c>
    </x:row>
    <x:row r="305">
      <x:c r="A305" t="str">
        <x:f>TEXT($B305,"mm-dd")</x:f>
        <x:v>02-20</x:v>
      </x:c>
      <x:c r="B305" s="9" t="n">
        <x:f>'站点明细'!$C52</x:f>
        <x:v>46073</x:v>
      </x:c>
      <x:c r="C305" s="10" t="n">
        <x:f>'站点明细'!$E52</x:f>
        <x:v>3659</x:v>
      </x:c>
      <x:c r="D305" s="10" t="n">
        <x:f>'站点明细'!$D52</x:f>
        <x:v>2257</x:v>
      </x:c>
      <x:c r="E305" s="10" t="n">
        <x:f>'站点明细'!$E284</x:f>
        <x:v>1559</x:v>
      </x:c>
      <x:c r="F305" s="10" t="n">
        <x:f>'站点明细'!$D284</x:f>
        <x:v>888</x:v>
      </x:c>
      <x:c r="G305" s="10" t="n">
        <x:f>'站点明细'!$E516</x:f>
        <x:v>0</x:v>
      </x:c>
      <x:c r="H305" s="10" t="n">
        <x:f>'站点明细'!$D516</x:f>
        <x:v>0</x:v>
      </x:c>
      <x:c r="I305" s="10" t="n">
        <x:f>'站点明细'!$E748</x:f>
        <x:v>4</x:v>
      </x:c>
      <x:c r="J305" s="10" t="n">
        <x:f>'站点明细'!$D748</x:f>
        <x:v>2</x:v>
      </x:c>
      <x:c r="K305" s="10" t="n">
        <x:f>'站点明细'!$E980</x:f>
        <x:v>32</x:v>
      </x:c>
      <x:c r="L305" s="10" t="n">
        <x:f>'站点明细'!$D980</x:f>
        <x:v>30</x:v>
      </x:c>
      <x:c r="M305" s="10" t="n">
        <x:f>'站点明细'!$E1212</x:f>
        <x:v>27</x:v>
      </x:c>
      <x:c r="N305" s="10" t="n">
        <x:f>'站点明细'!$D1212</x:f>
        <x:v>20</x:v>
      </x:c>
      <x:c r="O305" s="10" t="n">
        <x:f>'站点明细'!$E1444</x:f>
        <x:v>2</x:v>
      </x:c>
      <x:c r="P305" s="10" t="n">
        <x:f>'站点明细'!$D1444</x:f>
        <x:v>2</x:v>
      </x:c>
      <x:c r="Q305" s="11" t="n">
        <x:f>'站点明细'!$F52</x:f>
        <x:v>27563.98</x:v>
      </x:c>
      <x:c r="R305" s="11" t="n">
        <x:f>'站点明细'!$F284</x:f>
        <x:v>16850.3</x:v>
      </x:c>
      <x:c r="S305" s="11" t="n">
        <x:f>'站点明细'!$F516</x:f>
        <x:v>0</x:v>
      </x:c>
      <x:c r="T305" s="11" t="n">
        <x:f>'站点明细'!$F748</x:f>
        <x:v>35.46</x:v>
      </x:c>
      <x:c r="U305" s="11" t="n">
        <x:f>'站点明细'!$F980</x:f>
        <x:v>387.49</x:v>
      </x:c>
      <x:c r="V305" s="11" t="n">
        <x:f>'站点明细'!$F1212</x:f>
        <x:v>682.2</x:v>
      </x:c>
      <x:c r="W305" s="11" t="n">
        <x:f>'站点明细'!$F1444</x:f>
        <x:v>109.98</x:v>
      </x:c>
    </x:row>
    <x:row r="306">
      <x:c r="A306" t="str">
        <x:f>TEXT($B306,"mm-dd")</x:f>
        <x:v>02-21</x:v>
      </x:c>
      <x:c r="B306" s="9" t="n">
        <x:f>'站点明细'!$C53</x:f>
        <x:v>46074</x:v>
      </x:c>
      <x:c r="C306" s="10" t="n">
        <x:f>'站点明细'!$E53</x:f>
        <x:v>4146</x:v>
      </x:c>
      <x:c r="D306" s="10" t="n">
        <x:f>'站点明细'!$D53</x:f>
        <x:v>2394</x:v>
      </x:c>
      <x:c r="E306" s="10" t="n">
        <x:f>'站点明细'!$E285</x:f>
        <x:v>1473</x:v>
      </x:c>
      <x:c r="F306" s="10" t="n">
        <x:f>'站点明细'!$D285</x:f>
        <x:v>814</x:v>
      </x:c>
      <x:c r="G306" s="10" t="n">
        <x:f>'站点明细'!$E517</x:f>
        <x:v>1156</x:v>
      </x:c>
      <x:c r="H306" s="10" t="n">
        <x:f>'站点明细'!$D517</x:f>
        <x:v>807</x:v>
      </x:c>
      <x:c r="I306" s="10" t="n">
        <x:f>'站点明细'!$E749</x:f>
        <x:v>0</x:v>
      </x:c>
      <x:c r="J306" s="10" t="n">
        <x:f>'站点明细'!$D749</x:f>
        <x:v>0</x:v>
      </x:c>
      <x:c r="K306" s="10" t="n">
        <x:f>'站点明细'!$E981</x:f>
        <x:v>27</x:v>
      </x:c>
      <x:c r="L306" s="10" t="n">
        <x:f>'站点明细'!$D981</x:f>
        <x:v>23</x:v>
      </x:c>
      <x:c r="M306" s="10" t="n">
        <x:f>'站点明细'!$E1213</x:f>
        <x:v>31</x:v>
      </x:c>
      <x:c r="N306" s="10" t="n">
        <x:f>'站点明细'!$D1213</x:f>
        <x:v>26</x:v>
      </x:c>
      <x:c r="O306" s="10" t="n">
        <x:f>'站点明细'!$E1445</x:f>
        <x:v>0</x:v>
      </x:c>
      <x:c r="P306" s="10" t="n">
        <x:f>'站点明细'!$D1445</x:f>
        <x:v>0</x:v>
      </x:c>
      <x:c r="Q306" s="11" t="n">
        <x:f>'站点明细'!$F53</x:f>
        <x:v>32910.47</x:v>
      </x:c>
      <x:c r="R306" s="11" t="n">
        <x:f>'站点明细'!$F285</x:f>
        <x:v>15385.07</x:v>
      </x:c>
      <x:c r="S306" s="11" t="n">
        <x:f>'站点明细'!$F517</x:f>
        <x:v>8954.11</x:v>
      </x:c>
      <x:c r="T306" s="11" t="n">
        <x:f>'站点明细'!$F749</x:f>
        <x:v>0</x:v>
      </x:c>
      <x:c r="U306" s="11" t="n">
        <x:f>'站点明细'!$F981</x:f>
        <x:v>327.95</x:v>
      </x:c>
      <x:c r="V306" s="11" t="n">
        <x:f>'站点明细'!$F1213</x:f>
        <x:v>761.14</x:v>
      </x:c>
      <x:c r="W306" s="11" t="n">
        <x:f>'站点明细'!$F1445</x:f>
        <x:v>0</x:v>
      </x:c>
    </x:row>
    <x:row r="307">
      <x:c r="A307" t="str">
        <x:f>TEXT($B307,"mm-dd")</x:f>
        <x:v>02-22</x:v>
      </x:c>
      <x:c r="B307" s="9" t="n">
        <x:f>'站点明细'!$C54</x:f>
        <x:v>46075</x:v>
      </x:c>
      <x:c r="C307" s="10" t="n">
        <x:f>'站点明细'!$E54</x:f>
        <x:v>3985</x:v>
      </x:c>
      <x:c r="D307" s="10" t="n">
        <x:f>'站点明细'!$D54</x:f>
        <x:v>2345</x:v>
      </x:c>
      <x:c r="E307" s="10" t="n">
        <x:f>'站点明细'!$E286</x:f>
        <x:v>1589</x:v>
      </x:c>
      <x:c r="F307" s="10" t="n">
        <x:f>'站点明细'!$D286</x:f>
        <x:v>876</x:v>
      </x:c>
      <x:c r="G307" s="10" t="n">
        <x:f>'站点明细'!$E518</x:f>
        <x:v>855</x:v>
      </x:c>
      <x:c r="H307" s="10" t="n">
        <x:f>'站点明细'!$D518</x:f>
        <x:v>444</x:v>
      </x:c>
      <x:c r="I307" s="10" t="n">
        <x:f>'站点明细'!$E750</x:f>
        <x:v>17</x:v>
      </x:c>
      <x:c r="J307" s="10" t="n">
        <x:f>'站点明细'!$D750</x:f>
        <x:v>4</x:v>
      </x:c>
      <x:c r="K307" s="10" t="n">
        <x:f>'站点明细'!$E982</x:f>
        <x:v>14</x:v>
      </x:c>
      <x:c r="L307" s="10" t="n">
        <x:f>'站点明细'!$D982</x:f>
        <x:v>12</x:v>
      </x:c>
      <x:c r="M307" s="10" t="n">
        <x:f>'站点明细'!$E1214</x:f>
        <x:v>28</x:v>
      </x:c>
      <x:c r="N307" s="10" t="n">
        <x:f>'站点明细'!$D1214</x:f>
        <x:v>23</x:v>
      </x:c>
      <x:c r="O307" s="10" t="n">
        <x:f>'站点明细'!$E1446</x:f>
        <x:v>0</x:v>
      </x:c>
      <x:c r="P307" s="10" t="n">
        <x:f>'站点明细'!$D1446</x:f>
        <x:v>0</x:v>
      </x:c>
      <x:c r="Q307" s="11" t="n">
        <x:f>'站点明细'!$F54</x:f>
        <x:v>33828.37</x:v>
      </x:c>
      <x:c r="R307" s="11" t="n">
        <x:f>'站点明细'!$F286</x:f>
        <x:v>16522.46</x:v>
      </x:c>
      <x:c r="S307" s="11" t="n">
        <x:f>'站点明细'!$F518</x:f>
        <x:v>7298.23</x:v>
      </x:c>
      <x:c r="T307" s="11" t="n">
        <x:f>'站点明细'!$F750</x:f>
        <x:v>182.24</x:v>
      </x:c>
      <x:c r="U307" s="11" t="n">
        <x:f>'站点明细'!$F982</x:f>
        <x:v>167.07</x:v>
      </x:c>
      <x:c r="V307" s="11" t="n">
        <x:f>'站点明细'!$F1214</x:f>
        <x:v>716.88</x:v>
      </x:c>
      <x:c r="W307" s="11" t="n">
        <x:f>'站点明细'!$F1446</x:f>
        <x:v>0</x:v>
      </x:c>
    </x:row>
    <x:row r="308">
      <x:c r="A308" t="str">
        <x:f>TEXT($B308,"mm-dd")</x:f>
        <x:v>02-23</x:v>
      </x:c>
      <x:c r="B308" s="9" t="n">
        <x:f>'站点明细'!$C55</x:f>
        <x:v>46076</x:v>
      </x:c>
      <x:c r="C308" s="10" t="n">
        <x:f>'站点明细'!$E55</x:f>
        <x:v>4265</x:v>
      </x:c>
      <x:c r="D308" s="10" t="n">
        <x:f>'站点明细'!$D55</x:f>
        <x:v>2650</x:v>
      </x:c>
      <x:c r="E308" s="10" t="n">
        <x:f>'站点明细'!$E287</x:f>
        <x:v>1861</x:v>
      </x:c>
      <x:c r="F308" s="10" t="n">
        <x:f>'站点明细'!$D287</x:f>
        <x:v>1014</x:v>
      </x:c>
      <x:c r="G308" s="10" t="n">
        <x:f>'站点明细'!$E519</x:f>
        <x:v>440</x:v>
      </x:c>
      <x:c r="H308" s="10" t="n">
        <x:f>'站点明细'!$D519</x:f>
        <x:v>253</x:v>
      </x:c>
      <x:c r="I308" s="10" t="n">
        <x:f>'站点明细'!$E751</x:f>
        <x:v>42</x:v>
      </x:c>
      <x:c r="J308" s="10" t="n">
        <x:f>'站点明细'!$D751</x:f>
        <x:v>33</x:v>
      </x:c>
      <x:c r="K308" s="10" t="n">
        <x:f>'站点明细'!$E983</x:f>
        <x:v>5</x:v>
      </x:c>
      <x:c r="L308" s="10" t="n">
        <x:f>'站点明细'!$D983</x:f>
        <x:v>3</x:v>
      </x:c>
      <x:c r="M308" s="10" t="n">
        <x:f>'站点明细'!$E1215</x:f>
        <x:v>23</x:v>
      </x:c>
      <x:c r="N308" s="10" t="n">
        <x:f>'站点明细'!$D1215</x:f>
        <x:v>20</x:v>
      </x:c>
      <x:c r="O308" s="10" t="n">
        <x:f>'站点明细'!$E1447</x:f>
        <x:v>6</x:v>
      </x:c>
      <x:c r="P308" s="10" t="n">
        <x:f>'站点明细'!$D1447</x:f>
        <x:v>6</x:v>
      </x:c>
      <x:c r="Q308" s="11" t="n">
        <x:f>'站点明细'!$F55</x:f>
        <x:v>36539.8</x:v>
      </x:c>
      <x:c r="R308" s="11" t="n">
        <x:f>'站点明细'!$F287</x:f>
        <x:v>18234.91</x:v>
      </x:c>
      <x:c r="S308" s="11" t="n">
        <x:f>'站点明细'!$F519</x:f>
        <x:v>3605.68</x:v>
      </x:c>
      <x:c r="T308" s="11" t="n">
        <x:f>'站点明细'!$F751</x:f>
        <x:v>112.69</x:v>
      </x:c>
      <x:c r="U308" s="11" t="n">
        <x:f>'站点明细'!$F983</x:f>
        <x:v>106.59</x:v>
      </x:c>
      <x:c r="V308" s="11" t="n">
        <x:f>'站点明细'!$F1215</x:f>
        <x:v>670.57</x:v>
      </x:c>
      <x:c r="W308" s="11" t="n">
        <x:f>'站点明细'!$F1447</x:f>
        <x:v>328.85</x:v>
      </x:c>
    </x:row>
    <x:row r="309">
      <x:c r="A309" t="str">
        <x:f>TEXT($B309,"mm-dd")</x:f>
        <x:v>02-24</x:v>
      </x:c>
      <x:c r="B309" s="9" t="n">
        <x:f>'站点明细'!$C56</x:f>
        <x:v>46077</x:v>
      </x:c>
      <x:c r="C309" s="10" t="n">
        <x:f>'站点明细'!$E56</x:f>
        <x:v>4435</x:v>
      </x:c>
      <x:c r="D309" s="10" t="n">
        <x:f>'站点明细'!$D56</x:f>
        <x:v>2661</x:v>
      </x:c>
      <x:c r="E309" s="10" t="n">
        <x:f>'站点明细'!$E288</x:f>
        <x:v>1451</x:v>
      </x:c>
      <x:c r="F309" s="10" t="n">
        <x:f>'站点明细'!$D288</x:f>
        <x:v>823</x:v>
      </x:c>
      <x:c r="G309" s="10" t="n">
        <x:f>'站点明细'!$E520</x:f>
        <x:v>327</x:v>
      </x:c>
      <x:c r="H309" s="10" t="n">
        <x:f>'站点明细'!$D520</x:f>
        <x:v>217</x:v>
      </x:c>
      <x:c r="I309" s="10" t="n">
        <x:f>'站点明细'!$E752</x:f>
        <x:v>19</x:v>
      </x:c>
      <x:c r="J309" s="10" t="n">
        <x:f>'站点明细'!$D752</x:f>
        <x:v>12</x:v>
      </x:c>
      <x:c r="K309" s="10" t="n">
        <x:f>'站点明细'!$E984</x:f>
        <x:v>13</x:v>
      </x:c>
      <x:c r="L309" s="10" t="n">
        <x:f>'站点明细'!$D984</x:f>
        <x:v>10</x:v>
      </x:c>
      <x:c r="M309" s="10" t="n">
        <x:f>'站点明细'!$E1216</x:f>
        <x:v>55</x:v>
      </x:c>
      <x:c r="N309" s="10" t="n">
        <x:f>'站点明细'!$D1216</x:f>
        <x:v>37</x:v>
      </x:c>
      <x:c r="O309" s="10" t="n">
        <x:f>'站点明细'!$E1448</x:f>
        <x:v>1</x:v>
      </x:c>
      <x:c r="P309" s="10" t="n">
        <x:f>'站点明细'!$D1448</x:f>
        <x:v>1</x:v>
      </x:c>
      <x:c r="Q309" s="11" t="n">
        <x:f>'站点明细'!$F56</x:f>
        <x:v>40016.08</x:v>
      </x:c>
      <x:c r="R309" s="11" t="n">
        <x:f>'站点明细'!$F288</x:f>
        <x:v>14642.46</x:v>
      </x:c>
      <x:c r="S309" s="11" t="n">
        <x:f>'站点明细'!$F520</x:f>
        <x:v>3089.5</x:v>
      </x:c>
      <x:c r="T309" s="11" t="n">
        <x:f>'站点明细'!$F752</x:f>
        <x:v>104.67</x:v>
      </x:c>
      <x:c r="U309" s="11" t="n">
        <x:f>'站点明细'!$F984</x:f>
        <x:v>159.28</x:v>
      </x:c>
      <x:c r="V309" s="11" t="n">
        <x:f>'站点明细'!$F1216</x:f>
        <x:v>1518.23</x:v>
      </x:c>
      <x:c r="W309" s="11" t="n">
        <x:f>'站点明细'!$F1448</x:f>
        <x:v>48.74</x:v>
      </x:c>
    </x:row>
    <x:row r="310">
      <x:c r="A310" t="str">
        <x:f>TEXT($B310,"mm-dd")</x:f>
        <x:v>02-25</x:v>
      </x:c>
      <x:c r="B310" s="9" t="n">
        <x:f>'站点明细'!$C57</x:f>
        <x:v>46078</x:v>
      </x:c>
      <x:c r="C310" s="10" t="n">
        <x:f>'站点明细'!$E57</x:f>
        <x:v>5102</x:v>
      </x:c>
      <x:c r="D310" s="10" t="n">
        <x:f>'站点明细'!$D57</x:f>
        <x:v>3051</x:v>
      </x:c>
      <x:c r="E310" s="10" t="n">
        <x:f>'站点明细'!$E289</x:f>
        <x:v>1326</x:v>
      </x:c>
      <x:c r="F310" s="10" t="n">
        <x:f>'站点明细'!$D289</x:f>
        <x:v>784</x:v>
      </x:c>
      <x:c r="G310" s="10" t="n">
        <x:f>'站点明细'!$E521</x:f>
        <x:v>299</x:v>
      </x:c>
      <x:c r="H310" s="10" t="n">
        <x:f>'站点明细'!$D521</x:f>
        <x:v>192</x:v>
      </x:c>
      <x:c r="I310" s="10" t="n">
        <x:f>'站点明细'!$E753</x:f>
        <x:v>57</x:v>
      </x:c>
      <x:c r="J310" s="10" t="n">
        <x:f>'站点明细'!$D753</x:f>
        <x:v>50</x:v>
      </x:c>
      <x:c r="K310" s="10" t="n">
        <x:f>'站点明细'!$E985</x:f>
        <x:v>12</x:v>
      </x:c>
      <x:c r="L310" s="10" t="n">
        <x:f>'站点明细'!$D985</x:f>
        <x:v>12</x:v>
      </x:c>
      <x:c r="M310" s="10" t="n">
        <x:f>'站点明细'!$E1217</x:f>
        <x:v>29</x:v>
      </x:c>
      <x:c r="N310" s="10" t="n">
        <x:f>'站点明细'!$D1217</x:f>
        <x:v>24</x:v>
      </x:c>
      <x:c r="O310" s="10" t="n">
        <x:f>'站点明细'!$E1449</x:f>
        <x:v>13</x:v>
      </x:c>
      <x:c r="P310" s="10" t="n">
        <x:f>'站点明细'!$D1449</x:f>
        <x:v>10</x:v>
      </x:c>
      <x:c r="Q310" s="11" t="n">
        <x:f>'站点明细'!$F57</x:f>
        <x:v>48881.38</x:v>
      </x:c>
      <x:c r="R310" s="11" t="n">
        <x:f>'站点明细'!$F289</x:f>
        <x:v>14839.94</x:v>
      </x:c>
      <x:c r="S310" s="11" t="n">
        <x:f>'站点明细'!$F521</x:f>
        <x:v>2745.18</x:v>
      </x:c>
      <x:c r="T310" s="11" t="n">
        <x:f>'站点明细'!$F753</x:f>
        <x:v>61.2</x:v>
      </x:c>
      <x:c r="U310" s="11" t="n">
        <x:f>'站点明细'!$F985</x:f>
        <x:v>166.32</x:v>
      </x:c>
      <x:c r="V310" s="11" t="n">
        <x:f>'站点明细'!$F1217</x:f>
        <x:v>947.75</x:v>
      </x:c>
      <x:c r="W310" s="11" t="n">
        <x:f>'站点明细'!$F1449</x:f>
        <x:v>776.1</x:v>
      </x:c>
    </x:row>
    <x:row r="311">
      <x:c r="A311" t="str">
        <x:f>TEXT($B311,"mm-dd")</x:f>
        <x:v>02-26</x:v>
      </x:c>
      <x:c r="B311" s="9" t="n">
        <x:f>'站点明细'!$C58</x:f>
        <x:v>46079</x:v>
      </x:c>
      <x:c r="C311" s="10" t="n">
        <x:f>'站点明细'!$E58</x:f>
        <x:v>4390</x:v>
      </x:c>
      <x:c r="D311" s="10" t="n">
        <x:f>'站点明细'!$D58</x:f>
        <x:v>2542</x:v>
      </x:c>
      <x:c r="E311" s="10" t="n">
        <x:f>'站点明细'!$E290</x:f>
        <x:v>1051</x:v>
      </x:c>
      <x:c r="F311" s="10" t="n">
        <x:f>'站点明细'!$D290</x:f>
        <x:v>652</x:v>
      </x:c>
      <x:c r="G311" s="10" t="n">
        <x:f>'站点明细'!$E522</x:f>
        <x:v>261</x:v>
      </x:c>
      <x:c r="H311" s="10" t="n">
        <x:f>'站点明细'!$D522</x:f>
        <x:v>180</x:v>
      </x:c>
      <x:c r="I311" s="10" t="n">
        <x:f>'站点明细'!$E754</x:f>
        <x:v>67</x:v>
      </x:c>
      <x:c r="J311" s="10" t="n">
        <x:f>'站点明细'!$D754</x:f>
        <x:v>50</x:v>
      </x:c>
      <x:c r="K311" s="10" t="n">
        <x:f>'站点明细'!$E986</x:f>
        <x:v>12</x:v>
      </x:c>
      <x:c r="L311" s="10" t="n">
        <x:f>'站点明细'!$D986</x:f>
        <x:v>5</x:v>
      </x:c>
      <x:c r="M311" s="10" t="n">
        <x:f>'站点明细'!$E1218</x:f>
        <x:v>33</x:v>
      </x:c>
      <x:c r="N311" s="10" t="n">
        <x:f>'站点明细'!$D1218</x:f>
        <x:v>31</x:v>
      </x:c>
      <x:c r="O311" s="10" t="n">
        <x:f>'站点明细'!$E1450</x:f>
        <x:v>6</x:v>
      </x:c>
      <x:c r="P311" s="10" t="n">
        <x:f>'站点明细'!$D1450</x:f>
        <x:v>5</x:v>
      </x:c>
      <x:c r="Q311" s="11" t="n">
        <x:f>'站点明细'!$F58</x:f>
        <x:v>37614.79</x:v>
      </x:c>
      <x:c r="R311" s="11" t="n">
        <x:f>'站点明细'!$F290</x:f>
        <x:v>16253.34</x:v>
      </x:c>
      <x:c r="S311" s="11" t="n">
        <x:f>'站点明细'!$F522</x:f>
        <x:v>2361.38</x:v>
      </x:c>
      <x:c r="T311" s="11" t="n">
        <x:f>'站点明细'!$F754</x:f>
        <x:v>174.92</x:v>
      </x:c>
      <x:c r="U311" s="11" t="n">
        <x:f>'站点明细'!$F986</x:f>
        <x:v>76.45</x:v>
      </x:c>
      <x:c r="V311" s="11" t="n">
        <x:f>'站点明细'!$F1218</x:f>
        <x:v>806.91</x:v>
      </x:c>
      <x:c r="W311" s="11" t="n">
        <x:f>'站点明细'!$F1450</x:f>
        <x:v>386.18</x:v>
      </x:c>
    </x:row>
    <x:row r="312">
      <x:c r="A312" t="str">
        <x:f>TEXT($B312,"mm-dd")</x:f>
        <x:v>02-27</x:v>
      </x:c>
      <x:c r="B312" s="9" t="n">
        <x:f>'站点明细'!$C59</x:f>
        <x:v>46080</x:v>
      </x:c>
      <x:c r="C312" s="10" t="n">
        <x:f>'站点明细'!$E59</x:f>
        <x:v>5363</x:v>
      </x:c>
      <x:c r="D312" s="10" t="n">
        <x:f>'站点明细'!$D59</x:f>
        <x:v>3190</x:v>
      </x:c>
      <x:c r="E312" s="10" t="n">
        <x:f>'站点明细'!$E291</x:f>
        <x:v>1033</x:v>
      </x:c>
      <x:c r="F312" s="10" t="n">
        <x:f>'站点明细'!$D291</x:f>
        <x:v>707</x:v>
      </x:c>
      <x:c r="G312" s="10" t="n">
        <x:f>'站点明细'!$E523</x:f>
        <x:v>318</x:v>
      </x:c>
      <x:c r="H312" s="10" t="n">
        <x:f>'站点明细'!$D523</x:f>
        <x:v>203</x:v>
      </x:c>
      <x:c r="I312" s="10" t="n">
        <x:f>'站点明细'!$E755</x:f>
        <x:v>17</x:v>
      </x:c>
      <x:c r="J312" s="10" t="n">
        <x:f>'站点明细'!$D755</x:f>
        <x:v>7</x:v>
      </x:c>
      <x:c r="K312" s="10" t="n">
        <x:f>'站点明细'!$E987</x:f>
        <x:v>23</x:v>
      </x:c>
      <x:c r="L312" s="10" t="n">
        <x:f>'站点明细'!$D987</x:f>
        <x:v>14</x:v>
      </x:c>
      <x:c r="M312" s="10" t="n">
        <x:f>'站点明细'!$E1219</x:f>
        <x:v>16</x:v>
      </x:c>
      <x:c r="N312" s="10" t="n">
        <x:f>'站点明细'!$D1219</x:f>
        <x:v>13</x:v>
      </x:c>
      <x:c r="O312" s="10" t="n">
        <x:f>'站点明细'!$E1451</x:f>
        <x:v>4</x:v>
      </x:c>
      <x:c r="P312" s="10" t="n">
        <x:f>'站点明细'!$D1451</x:f>
        <x:v>4</x:v>
      </x:c>
      <x:c r="Q312" s="11" t="n">
        <x:f>'站点明细'!$F59</x:f>
        <x:v>44466.49</x:v>
      </x:c>
      <x:c r="R312" s="11" t="n">
        <x:f>'站点明细'!$F291</x:f>
        <x:v>13184.25</x:v>
      </x:c>
      <x:c r="S312" s="11" t="n">
        <x:f>'站点明细'!$F523</x:f>
        <x:v>3015.77</x:v>
      </x:c>
      <x:c r="T312" s="11" t="n">
        <x:f>'站点明细'!$F755</x:f>
        <x:v>133.06</x:v>
      </x:c>
      <x:c r="U312" s="11" t="n">
        <x:f>'站点明细'!$F987</x:f>
        <x:v>225.52</x:v>
      </x:c>
      <x:c r="V312" s="11" t="n">
        <x:f>'站点明细'!$F1219</x:f>
        <x:v>414.14</x:v>
      </x:c>
      <x:c r="W312" s="11" t="n">
        <x:f>'站点明细'!$F1451</x:f>
        <x:v>237.45</x:v>
      </x:c>
    </x:row>
    <x:row r="313">
      <x:c r="A313" t="str">
        <x:f>TEXT($B313,"mm-dd")</x:f>
        <x:v>02-28</x:v>
      </x:c>
      <x:c r="B313" s="9" t="n">
        <x:f>'站点明细'!$C60</x:f>
        <x:v>46081</x:v>
      </x:c>
      <x:c r="C313" s="10" t="n">
        <x:f>'站点明细'!$E60</x:f>
        <x:v>4731</x:v>
      </x:c>
      <x:c r="D313" s="10" t="n">
        <x:f>'站点明细'!$D60</x:f>
        <x:v>2868</x:v>
      </x:c>
      <x:c r="E313" s="10" t="n">
        <x:f>'站点明细'!$E292</x:f>
        <x:v>1018</x:v>
      </x:c>
      <x:c r="F313" s="10" t="n">
        <x:f>'站点明细'!$D292</x:f>
        <x:v>774</x:v>
      </x:c>
      <x:c r="G313" s="10" t="n">
        <x:f>'站点明细'!$E524</x:f>
        <x:v>365</x:v>
      </x:c>
      <x:c r="H313" s="10" t="n">
        <x:f>'站点明细'!$D524</x:f>
        <x:v>244</x:v>
      </x:c>
      <x:c r="I313" s="10" t="n">
        <x:f>'站点明细'!$E756</x:f>
        <x:v>7</x:v>
      </x:c>
      <x:c r="J313" s="10" t="n">
        <x:f>'站点明细'!$D756</x:f>
        <x:v>4</x:v>
      </x:c>
      <x:c r="K313" s="10" t="n">
        <x:f>'站点明细'!$E988</x:f>
        <x:v>37</x:v>
      </x:c>
      <x:c r="L313" s="10" t="n">
        <x:f>'站点明细'!$D988</x:f>
        <x:v>29</x:v>
      </x:c>
      <x:c r="M313" s="10" t="n">
        <x:f>'站点明细'!$E1220</x:f>
        <x:v>30</x:v>
      </x:c>
      <x:c r="N313" s="10" t="n">
        <x:f>'站点明细'!$D1220</x:f>
        <x:v>24</x:v>
      </x:c>
      <x:c r="O313" s="10" t="n">
        <x:f>'站点明细'!$E1452</x:f>
        <x:v>1</x:v>
      </x:c>
      <x:c r="P313" s="10" t="n">
        <x:f>'站点明细'!$D1452</x:f>
        <x:v>1</x:v>
      </x:c>
      <x:c r="Q313" s="11" t="n">
        <x:f>'站点明细'!$F60</x:f>
        <x:v>34014.68</x:v>
      </x:c>
      <x:c r="R313" s="11" t="n">
        <x:f>'站点明细'!$F292</x:f>
        <x:v>14173.79</x:v>
      </x:c>
      <x:c r="S313" s="11" t="n">
        <x:f>'站点明细'!$F524</x:f>
        <x:v>3031.67</x:v>
      </x:c>
      <x:c r="T313" s="11" t="n">
        <x:f>'站点明细'!$F756</x:f>
        <x:v>63.42</x:v>
      </x:c>
      <x:c r="U313" s="11" t="n">
        <x:f>'站点明细'!$F988</x:f>
        <x:v>369.58</x:v>
      </x:c>
      <x:c r="V313" s="11" t="n">
        <x:f>'站点明细'!$F1220</x:f>
        <x:v>-72707.56</x:v>
      </x:c>
      <x:c r="W313" s="11" t="n">
        <x:f>'站点明细'!$F1452</x:f>
        <x:v>69.63</x:v>
      </x:c>
    </x:row>
    <x:row r="314">
      <x:c r="A314" t="str">
        <x:f>TEXT($B314,"mm-dd")</x:f>
        <x:v>03-01</x:v>
      </x:c>
      <x:c r="B314" s="9" t="n">
        <x:f>'站点明细'!$C61</x:f>
        <x:v>46082</x:v>
      </x:c>
      <x:c r="C314" s="10" t="n">
        <x:f>'站点明细'!$E61</x:f>
        <x:v>4798</x:v>
      </x:c>
      <x:c r="D314" s="10" t="n">
        <x:f>'站点明细'!$D61</x:f>
        <x:v>2996</x:v>
      </x:c>
      <x:c r="E314" s="10" t="n">
        <x:f>'站点明细'!$E293</x:f>
        <x:v>979</x:v>
      </x:c>
      <x:c r="F314" s="10" t="n">
        <x:f>'站点明细'!$D293</x:f>
        <x:v>681</x:v>
      </x:c>
      <x:c r="G314" s="10" t="n">
        <x:f>'站点明细'!$E525</x:f>
        <x:v>444</x:v>
      </x:c>
      <x:c r="H314" s="10" t="n">
        <x:f>'站点明细'!$D525</x:f>
        <x:v>292</x:v>
      </x:c>
      <x:c r="I314" s="10" t="n">
        <x:f>'站点明细'!$E757</x:f>
        <x:v>13</x:v>
      </x:c>
      <x:c r="J314" s="10" t="n">
        <x:f>'站点明细'!$D757</x:f>
        <x:v>10</x:v>
      </x:c>
      <x:c r="K314" s="10" t="n">
        <x:f>'站点明细'!$E989</x:f>
        <x:v>10</x:v>
      </x:c>
      <x:c r="L314" s="10" t="n">
        <x:f>'站点明细'!$D989</x:f>
        <x:v>10</x:v>
      </x:c>
      <x:c r="M314" s="10" t="n">
        <x:f>'站点明细'!$E1221</x:f>
        <x:v>21</x:v>
      </x:c>
      <x:c r="N314" s="10" t="n">
        <x:f>'站点明细'!$D1221</x:f>
        <x:v>19</x:v>
      </x:c>
      <x:c r="O314" s="10" t="n">
        <x:f>'站点明细'!$E1453</x:f>
        <x:v>0</x:v>
      </x:c>
      <x:c r="P314" s="10" t="n">
        <x:f>'站点明细'!$D1453</x:f>
        <x:v>0</x:v>
      </x:c>
      <x:c r="Q314" s="11" t="n">
        <x:f>'站点明细'!$F61</x:f>
        <x:v>39455.76</x:v>
      </x:c>
      <x:c r="R314" s="11" t="n">
        <x:f>'站点明细'!$F293</x:f>
        <x:v>13643.32</x:v>
      </x:c>
      <x:c r="S314" s="11" t="n">
        <x:f>'站点明细'!$F525</x:f>
        <x:v>3731.6</x:v>
      </x:c>
      <x:c r="T314" s="11" t="n">
        <x:f>'站点明细'!$F757</x:f>
        <x:v>39.84</x:v>
      </x:c>
      <x:c r="U314" s="11" t="n">
        <x:f>'站点明细'!$F989</x:f>
        <x:v>59.41</x:v>
      </x:c>
      <x:c r="V314" s="11" t="n">
        <x:f>'站点明细'!$F1221</x:f>
        <x:v>692.43</x:v>
      </x:c>
      <x:c r="W314" s="11" t="n">
        <x:f>'站点明细'!$F1453</x:f>
        <x:v>0</x:v>
      </x:c>
    </x:row>
    <x:row r="315">
      <x:c r="A315" t="str">
        <x:f>TEXT($B315,"mm-dd")</x:f>
        <x:v>03-02</x:v>
      </x:c>
      <x:c r="B315" s="9" t="n">
        <x:f>'站点明细'!$C62</x:f>
        <x:v>46083</x:v>
      </x:c>
      <x:c r="C315" s="10" t="n">
        <x:f>'站点明细'!$E62</x:f>
        <x:v>4244</x:v>
      </x:c>
      <x:c r="D315" s="10" t="n">
        <x:f>'站点明细'!$D62</x:f>
        <x:v>2646</x:v>
      </x:c>
      <x:c r="E315" s="10" t="n">
        <x:f>'站点明细'!$E294</x:f>
        <x:v>1048</x:v>
      </x:c>
      <x:c r="F315" s="10" t="n">
        <x:f>'站点明细'!$D294</x:f>
        <x:v>727</x:v>
      </x:c>
      <x:c r="G315" s="10" t="n">
        <x:f>'站点明细'!$E526</x:f>
        <x:v>328</x:v>
      </x:c>
      <x:c r="H315" s="10" t="n">
        <x:f>'站点明细'!$D526</x:f>
        <x:v>235</x:v>
      </x:c>
      <x:c r="I315" s="10" t="n">
        <x:f>'站点明细'!$E758</x:f>
        <x:v>74</x:v>
      </x:c>
      <x:c r="J315" s="10" t="n">
        <x:f>'站点明细'!$D758</x:f>
        <x:v>34</x:v>
      </x:c>
      <x:c r="K315" s="10" t="n">
        <x:f>'站点明细'!$E990</x:f>
        <x:v>13</x:v>
      </x:c>
      <x:c r="L315" s="10" t="n">
        <x:f>'站点明细'!$D990</x:f>
        <x:v>13</x:v>
      </x:c>
      <x:c r="M315" s="10" t="n">
        <x:f>'站点明细'!$E1222</x:f>
        <x:v>38</x:v>
      </x:c>
      <x:c r="N315" s="10" t="n">
        <x:f>'站点明细'!$D1222</x:f>
        <x:v>26</x:v>
      </x:c>
      <x:c r="O315" s="10" t="n">
        <x:f>'站点明细'!$E1454</x:f>
        <x:v>9</x:v>
      </x:c>
      <x:c r="P315" s="10" t="n">
        <x:f>'站点明细'!$D1454</x:f>
        <x:v>8</x:v>
      </x:c>
      <x:c r="Q315" s="11" t="n">
        <x:f>'站点明细'!$F62</x:f>
        <x:v>35326.36</x:v>
      </x:c>
      <x:c r="R315" s="11" t="n">
        <x:f>'站点明细'!$F294</x:f>
        <x:v>14111.61</x:v>
      </x:c>
      <x:c r="S315" s="11" t="n">
        <x:f>'站点明细'!$F526</x:f>
        <x:v>2962.13</x:v>
      </x:c>
      <x:c r="T315" s="11" t="n">
        <x:f>'站点明细'!$F758</x:f>
        <x:v>594.48</x:v>
      </x:c>
      <x:c r="U315" s="11" t="n">
        <x:f>'站点明细'!$F990</x:f>
        <x:v>105.52</x:v>
      </x:c>
      <x:c r="V315" s="11" t="n">
        <x:f>'站点明细'!$F1222</x:f>
        <x:v>1136.11</x:v>
      </x:c>
      <x:c r="W315" s="11" t="n">
        <x:f>'站点明细'!$F1454</x:f>
        <x:v>558.64</x:v>
      </x:c>
    </x:row>
    <x:row r="316">
      <x:c r="A316" t="str">
        <x:f>TEXT($B316,"mm-dd")</x:f>
        <x:v>03-03</x:v>
      </x:c>
      <x:c r="B316" s="9" t="n">
        <x:f>'站点明细'!$C63</x:f>
        <x:v>46084</x:v>
      </x:c>
      <x:c r="C316" s="10" t="n">
        <x:f>'站点明细'!$E63</x:f>
        <x:v>4369</x:v>
      </x:c>
      <x:c r="D316" s="10" t="n">
        <x:f>'站点明细'!$D63</x:f>
        <x:v>2715</x:v>
      </x:c>
      <x:c r="E316" s="10" t="n">
        <x:f>'站点明细'!$E295</x:f>
        <x:v>1061</x:v>
      </x:c>
      <x:c r="F316" s="10" t="n">
        <x:f>'站点明细'!$D295</x:f>
        <x:v>745</x:v>
      </x:c>
      <x:c r="G316" s="10" t="n">
        <x:f>'站点明细'!$E527</x:f>
        <x:v>438</x:v>
      </x:c>
      <x:c r="H316" s="10" t="n">
        <x:f>'站点明细'!$D527</x:f>
        <x:v>286</x:v>
      </x:c>
      <x:c r="I316" s="10" t="n">
        <x:f>'站点明细'!$E759</x:f>
        <x:v>40</x:v>
      </x:c>
      <x:c r="J316" s="10" t="n">
        <x:f>'站点明细'!$D759</x:f>
        <x:v>21</x:v>
      </x:c>
      <x:c r="K316" s="10" t="n">
        <x:f>'站点明细'!$E991</x:f>
        <x:v>280</x:v>
      </x:c>
      <x:c r="L316" s="10" t="n">
        <x:f>'站点明细'!$D991</x:f>
        <x:v>230</x:v>
      </x:c>
      <x:c r="M316" s="10" t="n">
        <x:f>'站点明细'!$E1223</x:f>
        <x:v>53</x:v>
      </x:c>
      <x:c r="N316" s="10" t="n">
        <x:f>'站点明细'!$D1223</x:f>
        <x:v>35</x:v>
      </x:c>
      <x:c r="O316" s="10" t="n">
        <x:f>'站点明细'!$E1455</x:f>
        <x:v>12</x:v>
      </x:c>
      <x:c r="P316" s="10" t="n">
        <x:f>'站点明细'!$D1455</x:f>
        <x:v>9</x:v>
      </x:c>
      <x:c r="Q316" s="11" t="n">
        <x:f>'站点明细'!$F63</x:f>
        <x:v>36006.2</x:v>
      </x:c>
      <x:c r="R316" s="11" t="n">
        <x:f>'站点明细'!$F295</x:f>
        <x:v>15187.45</x:v>
      </x:c>
      <x:c r="S316" s="11" t="n">
        <x:f>'站点明细'!$F527</x:f>
        <x:v>3957.66</x:v>
      </x:c>
      <x:c r="T316" s="11" t="n">
        <x:f>'站点明细'!$F759</x:f>
        <x:v>179.55</x:v>
      </x:c>
      <x:c r="U316" s="11" t="n">
        <x:f>'站点明细'!$F991</x:f>
        <x:v>3013.98</x:v>
      </x:c>
      <x:c r="V316" s="11" t="n">
        <x:f>'站点明细'!$F1223</x:f>
        <x:v>1613.94</x:v>
      </x:c>
      <x:c r="W316" s="11" t="n">
        <x:f>'站点明细'!$F1455</x:f>
        <x:v>723.61</x:v>
      </x:c>
    </x:row>
    <x:row r="317">
      <x:c r="A317" t="str">
        <x:f>TEXT($B317,"mm-dd")</x:f>
        <x:v>03-04</x:v>
      </x:c>
      <x:c r="B317" s="9" t="n">
        <x:f>'站点明细'!$C64</x:f>
        <x:v>46085</x:v>
      </x:c>
      <x:c r="C317" s="10" t="n">
        <x:f>'站点明细'!$E64</x:f>
        <x:v>4292</x:v>
      </x:c>
      <x:c r="D317" s="10" t="n">
        <x:f>'站点明细'!$D64</x:f>
        <x:v>2598</x:v>
      </x:c>
      <x:c r="E317" s="10" t="n">
        <x:f>'站点明细'!$E296</x:f>
        <x:v>1183</x:v>
      </x:c>
      <x:c r="F317" s="10" t="n">
        <x:f>'站点明细'!$D296</x:f>
        <x:v>782</x:v>
      </x:c>
      <x:c r="G317" s="10" t="n">
        <x:f>'站点明细'!$E528</x:f>
        <x:v>382</x:v>
      </x:c>
      <x:c r="H317" s="10" t="n">
        <x:f>'站点明细'!$D528</x:f>
        <x:v>252</x:v>
      </x:c>
      <x:c r="I317" s="10" t="n">
        <x:f>'站点明细'!$E760</x:f>
        <x:v>21</x:v>
      </x:c>
      <x:c r="J317" s="10" t="n">
        <x:f>'站点明细'!$D760</x:f>
        <x:v>15</x:v>
      </x:c>
      <x:c r="K317" s="10" t="n">
        <x:f>'站点明细'!$E992</x:f>
        <x:v>135</x:v>
      </x:c>
      <x:c r="L317" s="10" t="n">
        <x:f>'站点明细'!$D992</x:f>
        <x:v>90</x:v>
      </x:c>
      <x:c r="M317" s="10" t="n">
        <x:f>'站点明细'!$E1224</x:f>
        <x:v>55</x:v>
      </x:c>
      <x:c r="N317" s="10" t="n">
        <x:f>'站点明细'!$D1224</x:f>
        <x:v>36</x:v>
      </x:c>
      <x:c r="O317" s="10" t="n">
        <x:f>'站点明细'!$E1456</x:f>
        <x:v>5</x:v>
      </x:c>
      <x:c r="P317" s="10" t="n">
        <x:f>'站点明细'!$D1456</x:f>
        <x:v>5</x:v>
      </x:c>
      <x:c r="Q317" s="11" t="n">
        <x:f>'站点明细'!$F64</x:f>
        <x:v>36597.23</x:v>
      </x:c>
      <x:c r="R317" s="11" t="n">
        <x:f>'站点明细'!$F296</x:f>
        <x:v>16043.73</x:v>
      </x:c>
      <x:c r="S317" s="11" t="n">
        <x:f>'站点明细'!$F528</x:f>
        <x:v>3444.56</x:v>
      </x:c>
      <x:c r="T317" s="11" t="n">
        <x:f>'站点明细'!$F760</x:f>
        <x:v>100.22</x:v>
      </x:c>
      <x:c r="U317" s="11" t="n">
        <x:f>'站点明细'!$F992</x:f>
        <x:v>1188.82</x:v>
      </x:c>
      <x:c r="V317" s="11" t="n">
        <x:f>'站点明细'!$F1224</x:f>
        <x:v>1450.47</x:v>
      </x:c>
      <x:c r="W317" s="11" t="n">
        <x:f>'站点明细'!$F1456</x:f>
        <x:v>348.69</x:v>
      </x:c>
    </x:row>
    <x:row r="318">
      <x:c r="A318" t="str">
        <x:f>TEXT($B318,"mm-dd")</x:f>
        <x:v>03-05</x:v>
      </x:c>
      <x:c r="B318" s="9" t="n">
        <x:f>'站点明细'!$C65</x:f>
        <x:v>46086</x:v>
      </x:c>
      <x:c r="C318" s="10" t="n">
        <x:f>'站点明细'!$E65</x:f>
        <x:v>3814</x:v>
      </x:c>
      <x:c r="D318" s="10" t="n">
        <x:f>'站点明细'!$D65</x:f>
        <x:v>2374</x:v>
      </x:c>
      <x:c r="E318" s="10" t="n">
        <x:f>'站点明细'!$E297</x:f>
        <x:v>1267</x:v>
      </x:c>
      <x:c r="F318" s="10" t="n">
        <x:f>'站点明细'!$D297</x:f>
        <x:v>807</x:v>
      </x:c>
      <x:c r="G318" s="10" t="n">
        <x:f>'站点明细'!$E529</x:f>
        <x:v>304</x:v>
      </x:c>
      <x:c r="H318" s="10" t="n">
        <x:f>'站点明细'!$D529</x:f>
        <x:v>191</x:v>
      </x:c>
      <x:c r="I318" s="10" t="n">
        <x:f>'站点明细'!$E761</x:f>
        <x:v>44</x:v>
      </x:c>
      <x:c r="J318" s="10" t="n">
        <x:f>'站点明细'!$D761</x:f>
        <x:v>25</x:v>
      </x:c>
      <x:c r="K318" s="10" t="n">
        <x:f>'站点明细'!$E993</x:f>
        <x:v>125</x:v>
      </x:c>
      <x:c r="L318" s="10" t="n">
        <x:f>'站点明细'!$D993</x:f>
        <x:v>78</x:v>
      </x:c>
      <x:c r="M318" s="10" t="n">
        <x:f>'站点明细'!$E1225</x:f>
        <x:v>58</x:v>
      </x:c>
      <x:c r="N318" s="10" t="n">
        <x:f>'站点明细'!$D1225</x:f>
        <x:v>42</x:v>
      </x:c>
      <x:c r="O318" s="10" t="n">
        <x:f>'站点明细'!$E1457</x:f>
        <x:v>3</x:v>
      </x:c>
      <x:c r="P318" s="10" t="n">
        <x:f>'站点明细'!$D1457</x:f>
        <x:v>3</x:v>
      </x:c>
      <x:c r="Q318" s="11" t="n">
        <x:f>'站点明细'!$F65</x:f>
        <x:v>32509.05</x:v>
      </x:c>
      <x:c r="R318" s="11" t="n">
        <x:f>'站点明细'!$F297</x:f>
        <x:v>16373</x:v>
      </x:c>
      <x:c r="S318" s="11" t="n">
        <x:f>'站点明细'!$F529</x:f>
        <x:v>2724.73</x:v>
      </x:c>
      <x:c r="T318" s="11" t="n">
        <x:f>'站点明细'!$F761</x:f>
        <x:v>405.23</x:v>
      </x:c>
      <x:c r="U318" s="11" t="n">
        <x:f>'站点明细'!$F993</x:f>
        <x:v>1022.14</x:v>
      </x:c>
      <x:c r="V318" s="11" t="n">
        <x:f>'站点明细'!$F1225</x:f>
        <x:v>1644.29</x:v>
      </x:c>
      <x:c r="W318" s="11" t="n">
        <x:f>'站点明细'!$F1457</x:f>
        <x:v>208.72</x:v>
      </x:c>
    </x:row>
    <x:row r="319">
      <x:c r="A319" t="str">
        <x:f>TEXT($B319,"mm-dd")</x:f>
        <x:v>03-06</x:v>
      </x:c>
      <x:c r="B319" s="9" t="n">
        <x:f>'站点明细'!$C66</x:f>
        <x:v>46087</x:v>
      </x:c>
      <x:c r="C319" s="10" t="n">
        <x:f>'站点明细'!$E66</x:f>
        <x:v>3894</x:v>
      </x:c>
      <x:c r="D319" s="10" t="n">
        <x:f>'站点明细'!$D66</x:f>
        <x:v>2517</x:v>
      </x:c>
      <x:c r="E319" s="10" t="n">
        <x:f>'站点明细'!$E298</x:f>
        <x:v>1134</x:v>
      </x:c>
      <x:c r="F319" s="10" t="n">
        <x:f>'站点明细'!$D298</x:f>
        <x:v>691</x:v>
      </x:c>
      <x:c r="G319" s="10" t="n">
        <x:f>'站点明细'!$E530</x:f>
        <x:v>287</x:v>
      </x:c>
      <x:c r="H319" s="10" t="n">
        <x:f>'站点明细'!$D530</x:f>
        <x:v>184</x:v>
      </x:c>
      <x:c r="I319" s="10" t="n">
        <x:f>'站点明细'!$E762</x:f>
        <x:v>23</x:v>
      </x:c>
      <x:c r="J319" s="10" t="n">
        <x:f>'站点明细'!$D762</x:f>
        <x:v>17</x:v>
      </x:c>
      <x:c r="K319" s="10" t="n">
        <x:f>'站点明细'!$E994</x:f>
        <x:v>188</x:v>
      </x:c>
      <x:c r="L319" s="10" t="n">
        <x:f>'站点明细'!$D994</x:f>
        <x:v>134</x:v>
      </x:c>
      <x:c r="M319" s="10" t="n">
        <x:f>'站点明细'!$E1226</x:f>
        <x:v>33</x:v>
      </x:c>
      <x:c r="N319" s="10" t="n">
        <x:f>'站点明细'!$D1226</x:f>
        <x:v>23</x:v>
      </x:c>
      <x:c r="O319" s="10" t="n">
        <x:f>'站点明细'!$E1458</x:f>
        <x:v>4</x:v>
      </x:c>
      <x:c r="P319" s="10" t="n">
        <x:f>'站点明细'!$D1458</x:f>
        <x:v>3</x:v>
      </x:c>
      <x:c r="Q319" s="11" t="n">
        <x:f>'站点明细'!$F66</x:f>
        <x:v>33259.13</x:v>
      </x:c>
      <x:c r="R319" s="11" t="n">
        <x:f>'站点明细'!$F298</x:f>
        <x:v>14339.72</x:v>
      </x:c>
      <x:c r="S319" s="11" t="n">
        <x:f>'站点明细'!$F530</x:f>
        <x:v>2763.23</x:v>
      </x:c>
      <x:c r="T319" s="11" t="n">
        <x:f>'站点明细'!$F762</x:f>
        <x:v>360.64</x:v>
      </x:c>
      <x:c r="U319" s="11" t="n">
        <x:f>'站点明细'!$F994</x:f>
        <x:v>1936.82</x:v>
      </x:c>
      <x:c r="V319" s="11" t="n">
        <x:f>'站点明细'!$F1226</x:f>
        <x:v>1037.09</x:v>
      </x:c>
      <x:c r="W319" s="11" t="n">
        <x:f>'站点明细'!$F1458</x:f>
        <x:v>257.45</x:v>
      </x:c>
    </x:row>
    <x:row r="320">
      <x:c r="A320" t="str">
        <x:f>TEXT($B320,"mm-dd")</x:f>
        <x:v>03-07</x:v>
      </x:c>
      <x:c r="B320" s="9" t="n">
        <x:f>'站点明细'!$C67</x:f>
        <x:v>46088</x:v>
      </x:c>
      <x:c r="C320" s="10" t="n">
        <x:f>'站点明细'!$E67</x:f>
        <x:v>3851</x:v>
      </x:c>
      <x:c r="D320" s="10" t="n">
        <x:f>'站点明细'!$D67</x:f>
        <x:v>2543</x:v>
      </x:c>
      <x:c r="E320" s="10" t="n">
        <x:f>'站点明细'!$E299</x:f>
        <x:v>863</x:v>
      </x:c>
      <x:c r="F320" s="10" t="n">
        <x:f>'站点明细'!$D299</x:f>
        <x:v>544</x:v>
      </x:c>
      <x:c r="G320" s="10" t="n">
        <x:f>'站点明细'!$E531</x:f>
        <x:v>288</x:v>
      </x:c>
      <x:c r="H320" s="10" t="n">
        <x:f>'站点明细'!$D531</x:f>
        <x:v>181</x:v>
      </x:c>
      <x:c r="I320" s="10" t="n">
        <x:f>'站点明细'!$E763</x:f>
        <x:v>30</x:v>
      </x:c>
      <x:c r="J320" s="10" t="n">
        <x:f>'站点明细'!$D763</x:f>
        <x:v>23</x:v>
      </x:c>
      <x:c r="K320" s="10" t="n">
        <x:f>'站点明细'!$E995</x:f>
        <x:v>158</x:v>
      </x:c>
      <x:c r="L320" s="10" t="n">
        <x:f>'站点明细'!$D995</x:f>
        <x:v>108</x:v>
      </x:c>
      <x:c r="M320" s="10" t="n">
        <x:f>'站点明细'!$E1227</x:f>
        <x:v>20</x:v>
      </x:c>
      <x:c r="N320" s="10" t="n">
        <x:f>'站点明细'!$D1227</x:f>
        <x:v>18</x:v>
      </x:c>
      <x:c r="O320" s="10" t="n">
        <x:f>'站点明细'!$E1459</x:f>
        <x:v>0</x:v>
      </x:c>
      <x:c r="P320" s="10" t="n">
        <x:f>'站点明细'!$D1459</x:f>
        <x:v>0</x:v>
      </x:c>
      <x:c r="Q320" s="11" t="n">
        <x:f>'站点明细'!$F67</x:f>
        <x:v>33820.26</x:v>
      </x:c>
      <x:c r="R320" s="11" t="n">
        <x:f>'站点明细'!$F299</x:f>
        <x:v>11861.24</x:v>
      </x:c>
      <x:c r="S320" s="11" t="n">
        <x:f>'站点明细'!$F531</x:f>
        <x:v>2565.89</x:v>
      </x:c>
      <x:c r="T320" s="11" t="n">
        <x:f>'站点明细'!$F763</x:f>
        <x:v>240.9</x:v>
      </x:c>
      <x:c r="U320" s="11" t="n">
        <x:f>'站点明细'!$F995</x:f>
        <x:v>1473.93</x:v>
      </x:c>
      <x:c r="V320" s="11" t="n">
        <x:f>'站点明细'!$F1227</x:f>
        <x:v>600.97</x:v>
      </x:c>
      <x:c r="W320" s="11" t="n">
        <x:f>'站点明细'!$F1459</x:f>
        <x:v>0</x:v>
      </x:c>
    </x:row>
    <x:row r="321">
      <x:c r="A321" t="str">
        <x:f>TEXT($B321,"mm-dd")</x:f>
        <x:v>03-08</x:v>
      </x:c>
      <x:c r="B321" s="9" t="n">
        <x:f>'站点明细'!$C68</x:f>
        <x:v>46089</x:v>
      </x:c>
      <x:c r="C321" s="10" t="n">
        <x:f>'站点明细'!$E68</x:f>
        <x:v>4329</x:v>
      </x:c>
      <x:c r="D321" s="10" t="n">
        <x:f>'站点明细'!$D68</x:f>
        <x:v>2598</x:v>
      </x:c>
      <x:c r="E321" s="10" t="n">
        <x:f>'站点明细'!$E300</x:f>
        <x:v>734</x:v>
      </x:c>
      <x:c r="F321" s="10" t="n">
        <x:f>'站点明细'!$D300</x:f>
        <x:v>476</x:v>
      </x:c>
      <x:c r="G321" s="10" t="n">
        <x:f>'站点明细'!$E532</x:f>
        <x:v>323</x:v>
      </x:c>
      <x:c r="H321" s="10" t="n">
        <x:f>'站点明细'!$D532</x:f>
        <x:v>185</x:v>
      </x:c>
      <x:c r="I321" s="10" t="n">
        <x:f>'站点明细'!$E764</x:f>
        <x:v>8</x:v>
      </x:c>
      <x:c r="J321" s="10" t="n">
        <x:f>'站点明细'!$D764</x:f>
        <x:v>6</x:v>
      </x:c>
      <x:c r="K321" s="10" t="n">
        <x:f>'站点明细'!$E996</x:f>
        <x:v>131</x:v>
      </x:c>
      <x:c r="L321" s="10" t="n">
        <x:f>'站点明细'!$D996</x:f>
        <x:v>93</x:v>
      </x:c>
      <x:c r="M321" s="10" t="n">
        <x:f>'站点明细'!$E1228</x:f>
        <x:v>25</x:v>
      </x:c>
      <x:c r="N321" s="10" t="n">
        <x:f>'站点明细'!$D1228</x:f>
        <x:v>21</x:v>
      </x:c>
      <x:c r="O321" s="10" t="n">
        <x:f>'站点明细'!$E1460</x:f>
        <x:v>0</x:v>
      </x:c>
      <x:c r="P321" s="10" t="n">
        <x:f>'站点明细'!$D1460</x:f>
        <x:v>0</x:v>
      </x:c>
      <x:c r="Q321" s="11" t="n">
        <x:f>'站点明细'!$F68</x:f>
        <x:v>36118.62</x:v>
      </x:c>
      <x:c r="R321" s="11" t="n">
        <x:f>'站点明细'!$F300</x:f>
        <x:v>9741.65</x:v>
      </x:c>
      <x:c r="S321" s="11" t="n">
        <x:f>'站点明细'!$F532</x:f>
        <x:v>2868.14</x:v>
      </x:c>
      <x:c r="T321" s="11" t="n">
        <x:f>'站点明细'!$F764</x:f>
        <x:v>120.37</x:v>
      </x:c>
      <x:c r="U321" s="11" t="n">
        <x:f>'站点明细'!$F996</x:f>
        <x:v>1266.02</x:v>
      </x:c>
      <x:c r="V321" s="11" t="n">
        <x:f>'站点明细'!$F1228</x:f>
        <x:v>772.54</x:v>
      </x:c>
      <x:c r="W321" s="11" t="n">
        <x:f>'站点明细'!$F1460</x:f>
        <x:v>0</x:v>
      </x:c>
    </x:row>
    <x:row r="322">
      <x:c r="A322" t="str">
        <x:f>TEXT($B322,"mm-dd")</x:f>
        <x:v>03-09</x:v>
      </x:c>
      <x:c r="B322" s="9" t="n">
        <x:f>'站点明细'!$C69</x:f>
        <x:v>46090</x:v>
      </x:c>
      <x:c r="C322" s="10" t="n">
        <x:f>'站点明细'!$E69</x:f>
        <x:v>3761</x:v>
      </x:c>
      <x:c r="D322" s="10" t="n">
        <x:f>'站点明细'!$D69</x:f>
        <x:v>2064</x:v>
      </x:c>
      <x:c r="E322" s="10" t="n">
        <x:f>'站点明细'!$E301</x:f>
        <x:v>978</x:v>
      </x:c>
      <x:c r="F322" s="10" t="n">
        <x:f>'站点明细'!$D301</x:f>
        <x:v>643</x:v>
      </x:c>
      <x:c r="G322" s="10" t="n">
        <x:f>'站点明细'!$E533</x:f>
        <x:v>249</x:v>
      </x:c>
      <x:c r="H322" s="10" t="n">
        <x:f>'站点明细'!$D533</x:f>
        <x:v>155</x:v>
      </x:c>
      <x:c r="I322" s="10" t="n">
        <x:f>'站点明细'!$E765</x:f>
        <x:v>28</x:v>
      </x:c>
      <x:c r="J322" s="10" t="n">
        <x:f>'站点明细'!$D765</x:f>
        <x:v>22</x:v>
      </x:c>
      <x:c r="K322" s="10" t="n">
        <x:f>'站点明细'!$E997</x:f>
        <x:v>133</x:v>
      </x:c>
      <x:c r="L322" s="10" t="n">
        <x:f>'站点明细'!$D997</x:f>
        <x:v>91</x:v>
      </x:c>
      <x:c r="M322" s="10" t="n">
        <x:f>'站点明细'!$E1229</x:f>
        <x:v>25</x:v>
      </x:c>
      <x:c r="N322" s="10" t="n">
        <x:f>'站点明细'!$D1229</x:f>
        <x:v>24</x:v>
      </x:c>
      <x:c r="O322" s="10" t="n">
        <x:f>'站点明细'!$E1461</x:f>
        <x:v>7</x:v>
      </x:c>
      <x:c r="P322" s="10" t="n">
        <x:f>'站点明细'!$D1461</x:f>
        <x:v>7</x:v>
      </x:c>
      <x:c r="Q322" s="11" t="n">
        <x:f>'站点明细'!$F69</x:f>
        <x:v>30802.26</x:v>
      </x:c>
      <x:c r="R322" s="11" t="n">
        <x:f>'站点明细'!$F301</x:f>
        <x:v>14598.39</x:v>
      </x:c>
      <x:c r="S322" s="11" t="n">
        <x:f>'站点明细'!$F533</x:f>
        <x:v>2339.95</x:v>
      </x:c>
      <x:c r="T322" s="11" t="n">
        <x:f>'站点明细'!$F765</x:f>
        <x:v>331.14</x:v>
      </x:c>
      <x:c r="U322" s="11" t="n">
        <x:f>'站点明细'!$F997</x:f>
        <x:v>1559.7</x:v>
      </x:c>
      <x:c r="V322" s="11" t="n">
        <x:f>'站点明细'!$F1229</x:f>
        <x:v>748.02</x:v>
      </x:c>
      <x:c r="W322" s="11" t="n">
        <x:f>'站点明细'!$F1461</x:f>
        <x:v>483.59</x:v>
      </x:c>
    </x:row>
    <x:row r="323">
      <x:c r="A323" t="str">
        <x:f>TEXT($B323,"mm-dd")</x:f>
        <x:v>03-10</x:v>
      </x:c>
      <x:c r="B323" s="9" t="n">
        <x:f>'站点明细'!$C70</x:f>
        <x:v>46091</x:v>
      </x:c>
      <x:c r="C323" s="10" t="n">
        <x:f>'站点明细'!$E70</x:f>
        <x:v>3740</x:v>
      </x:c>
      <x:c r="D323" s="10" t="n">
        <x:f>'站点明细'!$D70</x:f>
        <x:v>2271</x:v>
      </x:c>
      <x:c r="E323" s="10" t="n">
        <x:f>'站点明细'!$E302</x:f>
        <x:v>1291</x:v>
      </x:c>
      <x:c r="F323" s="10" t="n">
        <x:f>'站点明细'!$D302</x:f>
        <x:v>717</x:v>
      </x:c>
      <x:c r="G323" s="10" t="n">
        <x:f>'站点明细'!$E534</x:f>
        <x:v>246</x:v>
      </x:c>
      <x:c r="H323" s="10" t="n">
        <x:f>'站点明细'!$D534</x:f>
        <x:v>147</x:v>
      </x:c>
      <x:c r="I323" s="10" t="n">
        <x:f>'站点明细'!$E766</x:f>
        <x:v>29</x:v>
      </x:c>
      <x:c r="J323" s="10" t="n">
        <x:f>'站点明细'!$D766</x:f>
        <x:v>22</x:v>
      </x:c>
      <x:c r="K323" s="10" t="n">
        <x:f>'站点明细'!$E998</x:f>
        <x:v>149</x:v>
      </x:c>
      <x:c r="L323" s="10" t="n">
        <x:f>'站点明细'!$D998</x:f>
        <x:v>95</x:v>
      </x:c>
      <x:c r="M323" s="10" t="n">
        <x:f>'站点明细'!$E1230</x:f>
        <x:v>34</x:v>
      </x:c>
      <x:c r="N323" s="10" t="n">
        <x:f>'站点明细'!$D1230</x:f>
        <x:v>27</x:v>
      </x:c>
      <x:c r="O323" s="10" t="n">
        <x:f>'站点明细'!$E1462</x:f>
        <x:v>7</x:v>
      </x:c>
      <x:c r="P323" s="10" t="n">
        <x:f>'站点明细'!$D1462</x:f>
        <x:v>7</x:v>
      </x:c>
      <x:c r="Q323" s="11" t="n">
        <x:f>'站点明细'!$F70</x:f>
        <x:v>31105.75</x:v>
      </x:c>
      <x:c r="R323" s="11" t="n">
        <x:f>'站点明细'!$F302</x:f>
        <x:v>13725.77</x:v>
      </x:c>
      <x:c r="S323" s="11" t="n">
        <x:f>'站点明细'!$F534</x:f>
        <x:v>2306.5</x:v>
      </x:c>
      <x:c r="T323" s="11" t="n">
        <x:f>'站点明细'!$F766</x:f>
        <x:v>153.86</x:v>
      </x:c>
      <x:c r="U323" s="11" t="n">
        <x:f>'站点明细'!$F998</x:f>
        <x:v>1360.43</x:v>
      </x:c>
      <x:c r="V323" s="11" t="n">
        <x:f>'站点明细'!$F1230</x:f>
        <x:v>1142.69</x:v>
      </x:c>
      <x:c r="W323" s="11" t="n">
        <x:f>'站点明细'!$F1462</x:f>
        <x:v>370.22</x:v>
      </x:c>
    </x:row>
    <x:row r="324">
      <x:c r="A324" t="str">
        <x:f>TEXT($B324,"mm-dd")</x:f>
        <x:v>03-11</x:v>
      </x:c>
      <x:c r="B324" s="9" t="n">
        <x:f>'站点明细'!$C71</x:f>
        <x:v>46092</x:v>
      </x:c>
      <x:c r="C324" s="10" t="n">
        <x:f>'站点明细'!$E71</x:f>
        <x:v>3053</x:v>
      </x:c>
      <x:c r="D324" s="10" t="n">
        <x:f>'站点明细'!$D71</x:f>
        <x:v>1855</x:v>
      </x:c>
      <x:c r="E324" s="10" t="n">
        <x:f>'站点明细'!$E303</x:f>
        <x:v>1559</x:v>
      </x:c>
      <x:c r="F324" s="10" t="n">
        <x:f>'站点明细'!$D303</x:f>
        <x:v>750</x:v>
      </x:c>
      <x:c r="G324" s="10" t="n">
        <x:f>'站点明细'!$E535</x:f>
        <x:v>233</x:v>
      </x:c>
      <x:c r="H324" s="10" t="n">
        <x:f>'站点明细'!$D535</x:f>
        <x:v>120</x:v>
      </x:c>
      <x:c r="I324" s="10" t="n">
        <x:f>'站点明细'!$E767</x:f>
        <x:v>20</x:v>
      </x:c>
      <x:c r="J324" s="10" t="n">
        <x:f>'站点明细'!$D767</x:f>
        <x:v>16</x:v>
      </x:c>
      <x:c r="K324" s="10" t="n">
        <x:f>'站点明细'!$E999</x:f>
        <x:v>165</x:v>
      </x:c>
      <x:c r="L324" s="10" t="n">
        <x:f>'站点明细'!$D999</x:f>
        <x:v>110</x:v>
      </x:c>
      <x:c r="M324" s="10" t="n">
        <x:f>'站点明细'!$E1231</x:f>
        <x:v>23</x:v>
      </x:c>
      <x:c r="N324" s="10" t="n">
        <x:f>'站点明细'!$D1231</x:f>
        <x:v>20</x:v>
      </x:c>
      <x:c r="O324" s="10" t="n">
        <x:f>'站点明细'!$E1463</x:f>
        <x:v>5</x:v>
      </x:c>
      <x:c r="P324" s="10" t="n">
        <x:f>'站点明细'!$D1463</x:f>
        <x:v>5</x:v>
      </x:c>
      <x:c r="Q324" s="11" t="n">
        <x:f>'站点明细'!$F71</x:f>
        <x:v>24352.46</x:v>
      </x:c>
      <x:c r="R324" s="11" t="n">
        <x:f>'站点明细'!$F303</x:f>
        <x:v>16344.49</x:v>
      </x:c>
      <x:c r="S324" s="11" t="n">
        <x:f>'站点明细'!$F535</x:f>
        <x:v>1968.59</x:v>
      </x:c>
      <x:c r="T324" s="11" t="n">
        <x:f>'站点明细'!$F767</x:f>
        <x:v>199.34</x:v>
      </x:c>
      <x:c r="U324" s="11" t="n">
        <x:f>'站点明细'!$F999</x:f>
        <x:v>1396.11</x:v>
      </x:c>
      <x:c r="V324" s="11" t="n">
        <x:f>'站点明细'!$F1231</x:f>
        <x:v>700.61</x:v>
      </x:c>
      <x:c r="W324" s="11" t="n">
        <x:f>'站点明细'!$F1463</x:f>
        <x:v>289.8</x:v>
      </x:c>
    </x:row>
    <x:row r="325">
      <x:c r="A325" t="str">
        <x:f>TEXT($B325,"mm-dd")</x:f>
        <x:v>03-12</x:v>
      </x:c>
      <x:c r="B325" s="9" t="n">
        <x:f>'站点明细'!$C72</x:f>
        <x:v>46093</x:v>
      </x:c>
      <x:c r="C325" s="10" t="n">
        <x:f>'站点明细'!$E72</x:f>
        <x:v>2748</x:v>
      </x:c>
      <x:c r="D325" s="10" t="n">
        <x:f>'站点明细'!$D72</x:f>
        <x:v>1677</x:v>
      </x:c>
      <x:c r="E325" s="10" t="n">
        <x:f>'站点明细'!$E304</x:f>
        <x:v>1831</x:v>
      </x:c>
      <x:c r="F325" s="10" t="n">
        <x:f>'站点明细'!$D304</x:f>
        <x:v>910</x:v>
      </x:c>
      <x:c r="G325" s="10" t="n">
        <x:f>'站点明细'!$E536</x:f>
        <x:v>254</x:v>
      </x:c>
      <x:c r="H325" s="10" t="n">
        <x:f>'站点明细'!$D536</x:f>
        <x:v>151</x:v>
      </x:c>
      <x:c r="I325" s="10" t="n">
        <x:f>'站点明细'!$E768</x:f>
        <x:v>47</x:v>
      </x:c>
      <x:c r="J325" s="10" t="n">
        <x:f>'站点明细'!$D768</x:f>
        <x:v>27</x:v>
      </x:c>
      <x:c r="K325" s="10" t="n">
        <x:f>'站点明细'!$E1000</x:f>
        <x:v>151</x:v>
      </x:c>
      <x:c r="L325" s="10" t="n">
        <x:f>'站点明细'!$D1000</x:f>
        <x:v>96</x:v>
      </x:c>
      <x:c r="M325" s="10" t="n">
        <x:f>'站点明细'!$E1232</x:f>
        <x:v>8</x:v>
      </x:c>
      <x:c r="N325" s="10" t="n">
        <x:f>'站点明细'!$D1232</x:f>
        <x:v>7</x:v>
      </x:c>
      <x:c r="O325" s="10" t="n">
        <x:f>'站点明细'!$E1464</x:f>
        <x:v>3</x:v>
      </x:c>
      <x:c r="P325" s="10" t="n">
        <x:f>'站点明细'!$D1464</x:f>
        <x:v>3</x:v>
      </x:c>
      <x:c r="Q325" s="11" t="n">
        <x:f>'站点明细'!$F72</x:f>
        <x:v>22600.39</x:v>
      </x:c>
      <x:c r="R325" s="11" t="n">
        <x:f>'站点明细'!$F304</x:f>
        <x:v>17904.34</x:v>
      </x:c>
      <x:c r="S325" s="11" t="n">
        <x:f>'站点明细'!$F536</x:f>
        <x:v>2142.06</x:v>
      </x:c>
      <x:c r="T325" s="11" t="n">
        <x:f>'站点明细'!$F768</x:f>
        <x:v>235.2</x:v>
      </x:c>
      <x:c r="U325" s="11" t="n">
        <x:f>'站点明细'!$F1000</x:f>
        <x:v>1343.21</x:v>
      </x:c>
      <x:c r="V325" s="11" t="n">
        <x:f>'站点明细'!$F1232</x:f>
        <x:v>293.33</x:v>
      </x:c>
      <x:c r="W325" s="11" t="n">
        <x:f>'站点明细'!$F1464</x:f>
        <x:v>146.66</x:v>
      </x:c>
    </x:row>
    <x:row r="326">
      <x:c r="A326" t="str">
        <x:f>TEXT($B326,"mm-dd")</x:f>
        <x:v>03-13</x:v>
      </x:c>
      <x:c r="B326" s="9" t="n">
        <x:f>'站点明细'!$C73</x:f>
        <x:v>46094</x:v>
      </x:c>
      <x:c r="C326" s="10" t="n">
        <x:f>'站点明细'!$E73</x:f>
        <x:v>2556</x:v>
      </x:c>
      <x:c r="D326" s="10" t="n">
        <x:f>'站点明细'!$D73</x:f>
        <x:v>1465</x:v>
      </x:c>
      <x:c r="E326" s="10" t="n">
        <x:f>'站点明细'!$E305</x:f>
        <x:v>1513</x:v>
      </x:c>
      <x:c r="F326" s="10" t="n">
        <x:f>'站点明细'!$D305</x:f>
        <x:v>846</x:v>
      </x:c>
      <x:c r="G326" s="10" t="n">
        <x:f>'站点明细'!$E537</x:f>
        <x:v>258</x:v>
      </x:c>
      <x:c r="H326" s="10" t="n">
        <x:f>'站点明细'!$D537</x:f>
        <x:v>160</x:v>
      </x:c>
      <x:c r="I326" s="10" t="n">
        <x:f>'站点明细'!$E769</x:f>
        <x:v>20</x:v>
      </x:c>
      <x:c r="J326" s="10" t="n">
        <x:f>'站点明细'!$D769</x:f>
        <x:v>18</x:v>
      </x:c>
      <x:c r="K326" s="10" t="n">
        <x:f>'站点明细'!$E1001</x:f>
        <x:v>210</x:v>
      </x:c>
      <x:c r="L326" s="10" t="n">
        <x:f>'站点明细'!$D1001</x:f>
        <x:v>118</x:v>
      </x:c>
      <x:c r="M326" s="10" t="n">
        <x:f>'站点明细'!$E1233</x:f>
        <x:v>22</x:v>
      </x:c>
      <x:c r="N326" s="10" t="n">
        <x:f>'站点明细'!$D1233</x:f>
        <x:v>20</x:v>
      </x:c>
      <x:c r="O326" s="10" t="n">
        <x:f>'站点明细'!$E1465</x:f>
        <x:v>3</x:v>
      </x:c>
      <x:c r="P326" s="10" t="n">
        <x:f>'站点明细'!$D1465</x:f>
        <x:v>2</x:v>
      </x:c>
      <x:c r="Q326" s="11" t="n">
        <x:f>'站点明细'!$F73</x:f>
        <x:v>20519.81</x:v>
      </x:c>
      <x:c r="R326" s="11" t="n">
        <x:f>'站点明细'!$F305</x:f>
        <x:v>16654.92</x:v>
      </x:c>
      <x:c r="S326" s="11" t="n">
        <x:f>'站点明细'!$F537</x:f>
        <x:v>2176.93</x:v>
      </x:c>
      <x:c r="T326" s="11" t="n">
        <x:f>'站点明细'!$F769</x:f>
        <x:v>89.79</x:v>
      </x:c>
      <x:c r="U326" s="11" t="n">
        <x:f>'站点明细'!$F1001</x:f>
        <x:v>1711.02</x:v>
      </x:c>
      <x:c r="V326" s="11" t="n">
        <x:f>'站点明细'!$F1233</x:f>
        <x:v>757.51</x:v>
      </x:c>
      <x:c r="W326" s="11" t="n">
        <x:f>'站点明细'!$F1465</x:f>
        <x:v>211.91</x:v>
      </x:c>
    </x:row>
    <x:row r="327">
      <x:c r="A327" t="str">
        <x:f>TEXT($B327,"mm-dd")</x:f>
        <x:v>03-14</x:v>
      </x:c>
      <x:c r="B327" s="9" t="n">
        <x:f>'站点明细'!$C74</x:f>
        <x:v>46095</x:v>
      </x:c>
      <x:c r="C327" s="10" t="n">
        <x:f>'站点明细'!$E74</x:f>
        <x:v>2141</x:v>
      </x:c>
      <x:c r="D327" s="10" t="n">
        <x:f>'站点明细'!$D74</x:f>
        <x:v>1333</x:v>
      </x:c>
      <x:c r="E327" s="10" t="n">
        <x:f>'站点明细'!$E306</x:f>
        <x:v>1905</x:v>
      </x:c>
      <x:c r="F327" s="10" t="n">
        <x:f>'站点明细'!$D306</x:f>
        <x:v>972</x:v>
      </x:c>
      <x:c r="G327" s="10" t="n">
        <x:f>'站点明细'!$E538</x:f>
        <x:v>263</x:v>
      </x:c>
      <x:c r="H327" s="10" t="n">
        <x:f>'站点明细'!$D538</x:f>
        <x:v>164</x:v>
      </x:c>
      <x:c r="I327" s="10" t="n">
        <x:f>'站点明细'!$E770</x:f>
        <x:v>23</x:v>
      </x:c>
      <x:c r="J327" s="10" t="n">
        <x:f>'站点明细'!$D770</x:f>
        <x:v>13</x:v>
      </x:c>
      <x:c r="K327" s="10" t="n">
        <x:f>'站点明细'!$E1002</x:f>
        <x:v>157</x:v>
      </x:c>
      <x:c r="L327" s="10" t="n">
        <x:f>'站点明细'!$D1002</x:f>
        <x:v>101</x:v>
      </x:c>
      <x:c r="M327" s="10" t="n">
        <x:f>'站点明细'!$E1234</x:f>
        <x:v>20</x:v>
      </x:c>
      <x:c r="N327" s="10" t="n">
        <x:f>'站点明细'!$D1234</x:f>
        <x:v>18</x:v>
      </x:c>
      <x:c r="O327" s="10" t="n">
        <x:f>'站点明细'!$E1466</x:f>
        <x:v>1</x:v>
      </x:c>
      <x:c r="P327" s="10" t="n">
        <x:f>'站点明细'!$D1466</x:f>
        <x:v>1</x:v>
      </x:c>
      <x:c r="Q327" s="11" t="n">
        <x:f>'站点明细'!$F74</x:f>
        <x:v>17196.92</x:v>
      </x:c>
      <x:c r="R327" s="11" t="n">
        <x:f>'站点明细'!$F306</x:f>
        <x:v>19148.88</x:v>
      </x:c>
      <x:c r="S327" s="11" t="n">
        <x:f>'站点明细'!$F538</x:f>
        <x:v>2202.6</x:v>
      </x:c>
      <x:c r="T327" s="11" t="n">
        <x:f>'站点明细'!$F770</x:f>
        <x:v>204.19</x:v>
      </x:c>
      <x:c r="U327" s="11" t="n">
        <x:f>'站点明细'!$F1002</x:f>
        <x:v>1410.34</x:v>
      </x:c>
      <x:c r="V327" s="11" t="n">
        <x:f>'站点明细'!$F1234</x:f>
        <x:v>735.13</x:v>
      </x:c>
      <x:c r="W327" s="11" t="n">
        <x:f>'站点明细'!$F1466</x:f>
        <x:v>81.24</x:v>
      </x:c>
    </x:row>
    <x:row r="328">
      <x:c r="A328" t="str">
        <x:f>TEXT($B328,"mm-dd")</x:f>
        <x:v>03-15</x:v>
      </x:c>
      <x:c r="B328" s="9" t="n">
        <x:f>'站点明细'!$C75</x:f>
        <x:v>46096</x:v>
      </x:c>
      <x:c r="C328" s="10" t="n">
        <x:f>'站点明细'!$E75</x:f>
        <x:v>2402</x:v>
      </x:c>
      <x:c r="D328" s="10" t="n">
        <x:f>'站点明细'!$D75</x:f>
        <x:v>1425</x:v>
      </x:c>
      <x:c r="E328" s="10" t="n">
        <x:f>'站点明细'!$E307</x:f>
        <x:v>1955</x:v>
      </x:c>
      <x:c r="F328" s="10" t="n">
        <x:f>'站点明细'!$D307</x:f>
        <x:v>1072</x:v>
      </x:c>
      <x:c r="G328" s="10" t="n">
        <x:f>'站点明细'!$E539</x:f>
        <x:v>252</x:v>
      </x:c>
      <x:c r="H328" s="10" t="n">
        <x:f>'站点明细'!$D539</x:f>
        <x:v>176</x:v>
      </x:c>
      <x:c r="I328" s="10" t="n">
        <x:f>'站点明细'!$E771</x:f>
        <x:v>13</x:v>
      </x:c>
      <x:c r="J328" s="10" t="n">
        <x:f>'站点明细'!$D771</x:f>
        <x:v>9</x:v>
      </x:c>
      <x:c r="K328" s="10" t="n">
        <x:f>'站点明细'!$E1003</x:f>
        <x:v>126</x:v>
      </x:c>
      <x:c r="L328" s="10" t="n">
        <x:f>'站点明细'!$D1003</x:f>
        <x:v>82</x:v>
      </x:c>
      <x:c r="M328" s="10" t="n">
        <x:f>'站点明细'!$E1235</x:f>
        <x:v>11</x:v>
      </x:c>
      <x:c r="N328" s="10" t="n">
        <x:f>'站点明细'!$D1235</x:f>
        <x:v>10</x:v>
      </x:c>
      <x:c r="O328" s="10" t="n">
        <x:f>'站点明细'!$E1467</x:f>
        <x:v>0</x:v>
      </x:c>
      <x:c r="P328" s="10" t="n">
        <x:f>'站点明细'!$D1467</x:f>
        <x:v>0</x:v>
      </x:c>
      <x:c r="Q328" s="11" t="n">
        <x:f>'站点明细'!$F75</x:f>
        <x:v>19685.49</x:v>
      </x:c>
      <x:c r="R328" s="11" t="n">
        <x:f>'站点明细'!$F307</x:f>
        <x:v>20637.52</x:v>
      </x:c>
      <x:c r="S328" s="11" t="n">
        <x:f>'站点明细'!$F539</x:f>
        <x:v>2358.61</x:v>
      </x:c>
      <x:c r="T328" s="11" t="n">
        <x:f>'站点明细'!$F771</x:f>
        <x:v>191.97</x:v>
      </x:c>
      <x:c r="U328" s="11" t="n">
        <x:f>'站点明细'!$F1003</x:f>
        <x:v>1014.5</x:v>
      </x:c>
      <x:c r="V328" s="11" t="n">
        <x:f>'站点明细'!$F1235</x:f>
        <x:v>403.65</x:v>
      </x:c>
      <x:c r="W328" s="11" t="n">
        <x:f>'站点明细'!$F1467</x:f>
        <x:v>0</x:v>
      </x:c>
    </x:row>
    <x:row r="329">
      <x:c r="A329" t="str">
        <x:f>TEXT($B329,"mm-dd")</x:f>
        <x:v>03-16</x:v>
      </x:c>
      <x:c r="B329" s="9" t="n">
        <x:f>'站点明细'!$C76</x:f>
        <x:v>46097</x:v>
      </x:c>
      <x:c r="C329" s="10" t="n">
        <x:f>'站点明细'!$E76</x:f>
        <x:v>2313</x:v>
      </x:c>
      <x:c r="D329" s="10" t="n">
        <x:f>'站点明细'!$D76</x:f>
        <x:v>1288</x:v>
      </x:c>
      <x:c r="E329" s="10" t="n">
        <x:f>'站点明细'!$E308</x:f>
        <x:v>2315</x:v>
      </x:c>
      <x:c r="F329" s="10" t="n">
        <x:f>'站点明细'!$D308</x:f>
        <x:v>1292</x:v>
      </x:c>
      <x:c r="G329" s="10" t="n">
        <x:f>'站点明细'!$E540</x:f>
        <x:v>250</x:v>
      </x:c>
      <x:c r="H329" s="10" t="n">
        <x:f>'站点明细'!$D540</x:f>
        <x:v>151</x:v>
      </x:c>
      <x:c r="I329" s="10" t="n">
        <x:f>'站点明细'!$E772</x:f>
        <x:v>4</x:v>
      </x:c>
      <x:c r="J329" s="10" t="n">
        <x:f>'站点明细'!$D772</x:f>
        <x:v>2</x:v>
      </x:c>
      <x:c r="K329" s="10" t="n">
        <x:f>'站点明细'!$E1004</x:f>
        <x:v>174</x:v>
      </x:c>
      <x:c r="L329" s="10" t="n">
        <x:f>'站点明细'!$D1004</x:f>
        <x:v>113</x:v>
      </x:c>
      <x:c r="M329" s="10" t="n">
        <x:f>'站点明细'!$E1236</x:f>
        <x:v>14</x:v>
      </x:c>
      <x:c r="N329" s="10" t="n">
        <x:f>'站点明细'!$D1236</x:f>
        <x:v>9</x:v>
      </x:c>
      <x:c r="O329" s="10" t="n">
        <x:f>'站点明细'!$E1468</x:f>
        <x:v>1</x:v>
      </x:c>
      <x:c r="P329" s="10" t="n">
        <x:f>'站点明细'!$D1468</x:f>
        <x:v>1</x:v>
      </x:c>
      <x:c r="Q329" s="11" t="n">
        <x:f>'站点明细'!$F76</x:f>
        <x:v>17129.19</x:v>
      </x:c>
      <x:c r="R329" s="11" t="n">
        <x:f>'站点明细'!$F308</x:f>
        <x:v>23023.55</x:v>
      </x:c>
      <x:c r="S329" s="11" t="n">
        <x:f>'站点明细'!$F540</x:f>
        <x:v>2147.24</x:v>
      </x:c>
      <x:c r="T329" s="11" t="n">
        <x:f>'站点明细'!$F772</x:f>
        <x:v>49.76</x:v>
      </x:c>
      <x:c r="U329" s="11" t="n">
        <x:f>'站点明细'!$F1004</x:f>
        <x:v>1426.09</x:v>
      </x:c>
      <x:c r="V329" s="11" t="n">
        <x:f>'站点明细'!$F1236</x:f>
        <x:v>526.98</x:v>
      </x:c>
      <x:c r="W329" s="11" t="n">
        <x:f>'站点明细'!$F1468</x:f>
        <x:v>69.99</x:v>
      </x:c>
    </x:row>
    <x:row r="330">
      <x:c r="A330" t="str">
        <x:f>TEXT($B330,"mm-dd")</x:f>
        <x:v>03-17</x:v>
      </x:c>
      <x:c r="B330" s="9" t="n">
        <x:f>'站点明细'!$C77</x:f>
        <x:v>46098</x:v>
      </x:c>
      <x:c r="C330" s="10" t="n">
        <x:f>'站点明细'!$E77</x:f>
        <x:v>1920</x:v>
      </x:c>
      <x:c r="D330" s="10" t="n">
        <x:f>'站点明细'!$D77</x:f>
        <x:v>1139</x:v>
      </x:c>
      <x:c r="E330" s="10" t="n">
        <x:f>'站点明细'!$E309</x:f>
        <x:v>2617</x:v>
      </x:c>
      <x:c r="F330" s="10" t="n">
        <x:f>'站点明细'!$D309</x:f>
        <x:v>1423</x:v>
      </x:c>
      <x:c r="G330" s="10" t="n">
        <x:f>'站点明细'!$E541</x:f>
        <x:v>290</x:v>
      </x:c>
      <x:c r="H330" s="10" t="n">
        <x:f>'站点明细'!$D541</x:f>
        <x:v>163</x:v>
      </x:c>
      <x:c r="I330" s="10" t="n">
        <x:f>'站点明细'!$E773</x:f>
        <x:v>10</x:v>
      </x:c>
      <x:c r="J330" s="10" t="n">
        <x:f>'站点明细'!$D773</x:f>
        <x:v>9</x:v>
      </x:c>
      <x:c r="K330" s="10" t="n">
        <x:f>'站点明细'!$E1005</x:f>
        <x:v>139</x:v>
      </x:c>
      <x:c r="L330" s="10" t="n">
        <x:f>'站点明细'!$D1005</x:f>
        <x:v>87</x:v>
      </x:c>
      <x:c r="M330" s="10" t="n">
        <x:f>'站点明细'!$E1237</x:f>
        <x:v>8</x:v>
      </x:c>
      <x:c r="N330" s="10" t="n">
        <x:f>'站点明细'!$D1237</x:f>
        <x:v>8</x:v>
      </x:c>
      <x:c r="O330" s="10" t="n">
        <x:f>'站点明细'!$E1469</x:f>
        <x:v>4</x:v>
      </x:c>
      <x:c r="P330" s="10" t="n">
        <x:f>'站点明细'!$D1469</x:f>
        <x:v>4</x:v>
      </x:c>
      <x:c r="Q330" s="11" t="n">
        <x:f>'站点明细'!$F77</x:f>
        <x:v>15038.35</x:v>
      </x:c>
      <x:c r="R330" s="11" t="n">
        <x:f>'站点明细'!$F309</x:f>
        <x:v>26769.83</x:v>
      </x:c>
      <x:c r="S330" s="11" t="n">
        <x:f>'站点明细'!$F541</x:f>
        <x:v>2673.16</x:v>
      </x:c>
      <x:c r="T330" s="11" t="n">
        <x:f>'站点明细'!$F773</x:f>
        <x:v>53.42</x:v>
      </x:c>
      <x:c r="U330" s="11" t="n">
        <x:f>'站点明细'!$F1005</x:f>
        <x:v>1119.91</x:v>
      </x:c>
      <x:c r="V330" s="11" t="n">
        <x:f>'站点明细'!$F1237</x:f>
        <x:v>308.92</x:v>
      </x:c>
      <x:c r="W330" s="11" t="n">
        <x:f>'站点明细'!$F1469</x:f>
        <x:v>228.02</x:v>
      </x:c>
    </x:row>
    <x:row r="331">
      <x:c r="A331" t="str">
        <x:f>TEXT($B331,"mm-dd")</x:f>
        <x:v>03-18</x:v>
      </x:c>
      <x:c r="B331" s="9" t="n">
        <x:f>'站点明细'!$C78</x:f>
        <x:v>46099</x:v>
      </x:c>
      <x:c r="C331" s="10" t="n">
        <x:f>'站点明细'!$E78</x:f>
        <x:v>1689</x:v>
      </x:c>
      <x:c r="D331" s="10" t="n">
        <x:f>'站点明细'!$D78</x:f>
        <x:v>927</x:v>
      </x:c>
      <x:c r="E331" s="10" t="n">
        <x:f>'站点明细'!$E310</x:f>
        <x:v>2269</x:v>
      </x:c>
      <x:c r="F331" s="10" t="n">
        <x:f>'站点明细'!$D310</x:f>
        <x:v>1254</x:v>
      </x:c>
      <x:c r="G331" s="10" t="n">
        <x:f>'站点明细'!$E542</x:f>
        <x:v>470</x:v>
      </x:c>
      <x:c r="H331" s="10" t="n">
        <x:f>'站点明细'!$D542</x:f>
        <x:v>204</x:v>
      </x:c>
      <x:c r="I331" s="10" t="n">
        <x:f>'站点明细'!$E774</x:f>
        <x:v>11</x:v>
      </x:c>
      <x:c r="J331" s="10" t="n">
        <x:f>'站点明细'!$D774</x:f>
        <x:v>11</x:v>
      </x:c>
      <x:c r="K331" s="10" t="n">
        <x:f>'站点明细'!$E1006</x:f>
        <x:v>125</x:v>
      </x:c>
      <x:c r="L331" s="10" t="n">
        <x:f>'站点明细'!$D1006</x:f>
        <x:v>82</x:v>
      </x:c>
      <x:c r="M331" s="10" t="n">
        <x:f>'站点明细'!$E1238</x:f>
        <x:v>28</x:v>
      </x:c>
      <x:c r="N331" s="10" t="n">
        <x:f>'站点明细'!$D1238</x:f>
        <x:v>23</x:v>
      </x:c>
      <x:c r="O331" s="10" t="n">
        <x:f>'站点明细'!$E1470</x:f>
        <x:v>7</x:v>
      </x:c>
      <x:c r="P331" s="10" t="n">
        <x:f>'站点明细'!$D1470</x:f>
        <x:v>6</x:v>
      </x:c>
      <x:c r="Q331" s="11" t="n">
        <x:f>'站点明细'!$F78</x:f>
        <x:v>12265.19</x:v>
      </x:c>
      <x:c r="R331" s="11" t="n">
        <x:f>'站点明细'!$F310</x:f>
        <x:v>22834.29</x:v>
      </x:c>
      <x:c r="S331" s="11" t="n">
        <x:f>'站点明细'!$F542</x:f>
        <x:v>3111</x:v>
      </x:c>
      <x:c r="T331" s="11" t="n">
        <x:f>'站点明细'!$F774</x:f>
        <x:v>79.14</x:v>
      </x:c>
      <x:c r="U331" s="11" t="n">
        <x:f>'站点明细'!$F1006</x:f>
        <x:v>1047.8</x:v>
      </x:c>
      <x:c r="V331" s="11" t="n">
        <x:f>'站点明细'!$F1238</x:f>
        <x:v>1140.33</x:v>
      </x:c>
      <x:c r="W331" s="11" t="n">
        <x:f>'站点明细'!$F1470</x:f>
        <x:v>451.91</x:v>
      </x:c>
    </x:row>
    <x:row r="332">
      <x:c r="A332" t="str">
        <x:f>TEXT($B332,"mm-dd")</x:f>
        <x:v>03-19</x:v>
      </x:c>
      <x:c r="B332" s="9" t="n">
        <x:f>'站点明细'!$C79</x:f>
        <x:v>46100</x:v>
      </x:c>
      <x:c r="C332" s="10" t="n">
        <x:f>'站点明细'!$E79</x:f>
        <x:v>1435</x:v>
      </x:c>
      <x:c r="D332" s="10" t="n">
        <x:f>'站点明细'!$D79</x:f>
        <x:v>745</x:v>
      </x:c>
      <x:c r="E332" s="10" t="n">
        <x:f>'站点明细'!$E311</x:f>
        <x:v>2222</x:v>
      </x:c>
      <x:c r="F332" s="10" t="n">
        <x:f>'站点明细'!$D311</x:f>
        <x:v>1226</x:v>
      </x:c>
      <x:c r="G332" s="10" t="n">
        <x:f>'站点明细'!$E543</x:f>
        <x:v>388</x:v>
      </x:c>
      <x:c r="H332" s="10" t="n">
        <x:f>'站点明细'!$D543</x:f>
        <x:v>165</x:v>
      </x:c>
      <x:c r="I332" s="10" t="n">
        <x:f>'站点明细'!$E775</x:f>
        <x:v>6</x:v>
      </x:c>
      <x:c r="J332" s="10" t="n">
        <x:f>'站点明细'!$D775</x:f>
        <x:v>4</x:v>
      </x:c>
      <x:c r="K332" s="10" t="n">
        <x:f>'站点明细'!$E1007</x:f>
        <x:v>136</x:v>
      </x:c>
      <x:c r="L332" s="10" t="n">
        <x:f>'站点明细'!$D1007</x:f>
        <x:v>86</x:v>
      </x:c>
      <x:c r="M332" s="10" t="n">
        <x:f>'站点明细'!$E1239</x:f>
        <x:v>16</x:v>
      </x:c>
      <x:c r="N332" s="10" t="n">
        <x:f>'站点明细'!$D1239</x:f>
        <x:v>15</x:v>
      </x:c>
      <x:c r="O332" s="10" t="n">
        <x:f>'站点明细'!$E1471</x:f>
        <x:v>3</x:v>
      </x:c>
      <x:c r="P332" s="10" t="n">
        <x:f>'站点明细'!$D1471</x:f>
        <x:v>3</x:v>
      </x:c>
      <x:c r="Q332" s="11" t="n">
        <x:f>'站点明细'!$F79</x:f>
        <x:v>10748.93</x:v>
      </x:c>
      <x:c r="R332" s="11" t="n">
        <x:f>'站点明细'!$F311</x:f>
        <x:v>23279.22</x:v>
      </x:c>
      <x:c r="S332" s="11" t="n">
        <x:f>'站点明细'!$F543</x:f>
        <x:v>2288.79</x:v>
      </x:c>
      <x:c r="T332" s="11" t="n">
        <x:f>'站点明细'!$F775</x:f>
        <x:v>30.98</x:v>
      </x:c>
      <x:c r="U332" s="11" t="n">
        <x:f>'站点明细'!$F1007</x:f>
        <x:v>1126.06</x:v>
      </x:c>
      <x:c r="V332" s="11" t="n">
        <x:f>'站点明细'!$F1239</x:f>
        <x:v>597.83</x:v>
      </x:c>
      <x:c r="W332" s="11" t="n">
        <x:f>'站点明细'!$F1471</x:f>
        <x:v>156.53</x:v>
      </x:c>
    </x:row>
    <x:row r="333">
      <x:c r="A333" t="str">
        <x:f>TEXT($B333,"mm-dd")</x:f>
        <x:v>03-20</x:v>
      </x:c>
      <x:c r="B333" s="9" t="n">
        <x:f>'站点明细'!$C80</x:f>
        <x:v>46101</x:v>
      </x:c>
      <x:c r="C333" s="10" t="n">
        <x:f>'站点明细'!$E80</x:f>
        <x:v>1456</x:v>
      </x:c>
      <x:c r="D333" s="10" t="n">
        <x:f>'站点明细'!$D80</x:f>
        <x:v>811</x:v>
      </x:c>
      <x:c r="E333" s="10" t="n">
        <x:f>'站点明细'!$E312</x:f>
        <x:v>2420</x:v>
      </x:c>
      <x:c r="F333" s="10" t="n">
        <x:f>'站点明细'!$D312</x:f>
        <x:v>1314</x:v>
      </x:c>
      <x:c r="G333" s="10" t="n">
        <x:f>'站点明细'!$E544</x:f>
        <x:v>490</x:v>
      </x:c>
      <x:c r="H333" s="10" t="n">
        <x:f>'站点明细'!$D544</x:f>
        <x:v>239</x:v>
      </x:c>
      <x:c r="I333" s="10" t="n">
        <x:f>'站点明细'!$E776</x:f>
        <x:v>3</x:v>
      </x:c>
      <x:c r="J333" s="10" t="n">
        <x:f>'站点明细'!$D776</x:f>
        <x:v>3</x:v>
      </x:c>
      <x:c r="K333" s="10" t="n">
        <x:f>'站点明细'!$E1008</x:f>
        <x:v>197</x:v>
      </x:c>
      <x:c r="L333" s="10" t="n">
        <x:f>'站点明细'!$D1008</x:f>
        <x:v>125</x:v>
      </x:c>
      <x:c r="M333" s="10" t="n">
        <x:f>'站点明细'!$E1240</x:f>
        <x:v>26</x:v>
      </x:c>
      <x:c r="N333" s="10" t="n">
        <x:f>'站点明细'!$D1240</x:f>
        <x:v>22</x:v>
      </x:c>
      <x:c r="O333" s="10" t="n">
        <x:f>'站点明细'!$E1472</x:f>
        <x:v>0</x:v>
      </x:c>
      <x:c r="P333" s="10" t="n">
        <x:f>'站点明细'!$D1472</x:f>
        <x:v>0</x:v>
      </x:c>
      <x:c r="Q333" s="11" t="n">
        <x:f>'站点明细'!$F80</x:f>
        <x:v>10784.35</x:v>
      </x:c>
      <x:c r="R333" s="11" t="n">
        <x:f>'站点明细'!$F312</x:f>
        <x:v>23631.11</x:v>
      </x:c>
      <x:c r="S333" s="11" t="n">
        <x:f>'站点明细'!$F544</x:f>
        <x:v>3346.14</x:v>
      </x:c>
      <x:c r="T333" s="11" t="n">
        <x:f>'站点明细'!$F776</x:f>
        <x:v>-2.59</x:v>
      </x:c>
      <x:c r="U333" s="11" t="n">
        <x:f>'站点明细'!$F1008</x:f>
        <x:v>1699.66</x:v>
      </x:c>
      <x:c r="V333" s="11" t="n">
        <x:f>'站点明细'!$F1240</x:f>
        <x:v>974.59</x:v>
      </x:c>
      <x:c r="W333" s="11" t="n">
        <x:f>'站点明细'!$F1472</x:f>
        <x:v>0</x:v>
      </x:c>
    </x:row>
    <x:row r="334">
      <x:c r="A334" t="str">
        <x:f>TEXT($B334,"mm-dd")</x:f>
        <x:v>03-21</x:v>
      </x:c>
      <x:c r="B334" s="9" t="n">
        <x:f>'站点明细'!$C81</x:f>
        <x:v>46102</x:v>
      </x:c>
      <x:c r="C334" s="10" t="n">
        <x:f>'站点明细'!$E81</x:f>
        <x:v>1523</x:v>
      </x:c>
      <x:c r="D334" s="10" t="n">
        <x:f>'站点明细'!$D81</x:f>
        <x:v>905</x:v>
      </x:c>
      <x:c r="E334" s="10" t="n">
        <x:f>'站点明细'!$E313</x:f>
        <x:v>2040</x:v>
      </x:c>
      <x:c r="F334" s="10" t="n">
        <x:f>'站点明细'!$D313</x:f>
        <x:v>1189</x:v>
      </x:c>
      <x:c r="G334" s="10" t="n">
        <x:f>'站点明细'!$E545</x:f>
        <x:v>449</x:v>
      </x:c>
      <x:c r="H334" s="10" t="n">
        <x:f>'站点明细'!$D545</x:f>
        <x:v>217</x:v>
      </x:c>
      <x:c r="I334" s="10" t="n">
        <x:f>'站点明细'!$E777</x:f>
        <x:v>1</x:v>
      </x:c>
      <x:c r="J334" s="10" t="n">
        <x:f>'站点明细'!$D777</x:f>
        <x:v>1</x:v>
      </x:c>
      <x:c r="K334" s="10" t="n">
        <x:f>'站点明细'!$E1009</x:f>
        <x:v>146</x:v>
      </x:c>
      <x:c r="L334" s="10" t="n">
        <x:f>'站点明细'!$D1009</x:f>
        <x:v>94</x:v>
      </x:c>
      <x:c r="M334" s="10" t="n">
        <x:f>'站点明细'!$E1241</x:f>
        <x:v>43</x:v>
      </x:c>
      <x:c r="N334" s="10" t="n">
        <x:f>'站点明细'!$D1241</x:f>
        <x:v>37</x:v>
      </x:c>
      <x:c r="O334" s="10" t="n">
        <x:f>'站点明细'!$E1473</x:f>
        <x:v>1</x:v>
      </x:c>
      <x:c r="P334" s="10" t="n">
        <x:f>'站点明细'!$D1473</x:f>
        <x:v>1</x:v>
      </x:c>
      <x:c r="Q334" s="11" t="n">
        <x:f>'站点明细'!$F81</x:f>
        <x:v>11010.67</x:v>
      </x:c>
      <x:c r="R334" s="11" t="n">
        <x:f>'站点明细'!$F313</x:f>
        <x:v>21768.57</x:v>
      </x:c>
      <x:c r="S334" s="11" t="n">
        <x:f>'站点明细'!$F545</x:f>
        <x:v>3127.07</x:v>
      </x:c>
      <x:c r="T334" s="11" t="n">
        <x:f>'站点明细'!$F777</x:f>
        <x:v>-0.86</x:v>
      </x:c>
      <x:c r="U334" s="11" t="n">
        <x:f>'站点明细'!$F1009</x:f>
        <x:v>1186.99</x:v>
      </x:c>
      <x:c r="V334" s="11" t="n">
        <x:f>'站点明细'!$F1241</x:f>
        <x:v>1141.44</x:v>
      </x:c>
      <x:c r="W334" s="11" t="n">
        <x:f>'站点明细'!$F1473</x:f>
        <x:v>24.99</x:v>
      </x:c>
    </x:row>
    <x:row r="335">
      <x:c r="A335" t="str">
        <x:f>TEXT($B335,"mm-dd")</x:f>
        <x:v>03-22</x:v>
      </x:c>
      <x:c r="B335" s="9" t="n">
        <x:f>'站点明细'!$C82</x:f>
        <x:v>46103</x:v>
      </x:c>
      <x:c r="C335" s="10" t="n">
        <x:f>'站点明细'!$E82</x:f>
        <x:v>5638</x:v>
      </x:c>
      <x:c r="D335" s="10" t="n">
        <x:f>'站点明细'!$D82</x:f>
        <x:v>4774</x:v>
      </x:c>
      <x:c r="E335" s="10" t="n">
        <x:f>'站点明细'!$E314</x:f>
        <x:v>1766</x:v>
      </x:c>
      <x:c r="F335" s="10" t="n">
        <x:f>'站点明细'!$D314</x:f>
        <x:v>956</x:v>
      </x:c>
      <x:c r="G335" s="10" t="n">
        <x:f>'站点明细'!$E546</x:f>
        <x:v>440</x:v>
      </x:c>
      <x:c r="H335" s="10" t="n">
        <x:f>'站点明细'!$D546</x:f>
        <x:v>226</x:v>
      </x:c>
      <x:c r="I335" s="10" t="n">
        <x:f>'站点明细'!$E778</x:f>
        <x:v>5</x:v>
      </x:c>
      <x:c r="J335" s="10" t="n">
        <x:f>'站点明细'!$D778</x:f>
        <x:v>3</x:v>
      </x:c>
      <x:c r="K335" s="10" t="n">
        <x:f>'站点明细'!$E1010</x:f>
        <x:v>125</x:v>
      </x:c>
      <x:c r="L335" s="10" t="n">
        <x:f>'站点明细'!$D1010</x:f>
        <x:v>77</x:v>
      </x:c>
      <x:c r="M335" s="10" t="n">
        <x:f>'站点明细'!$E1242</x:f>
        <x:v>25</x:v>
      </x:c>
      <x:c r="N335" s="10" t="n">
        <x:f>'站点明细'!$D1242</x:f>
        <x:v>18</x:v>
      </x:c>
      <x:c r="O335" s="10" t="n">
        <x:f>'站点明细'!$E1474</x:f>
        <x:v>0</x:v>
      </x:c>
      <x:c r="P335" s="10" t="n">
        <x:f>'站点明细'!$D1474</x:f>
        <x:v>0</x:v>
      </x:c>
      <x:c r="Q335" s="11" t="n">
        <x:f>'站点明细'!$F82</x:f>
        <x:v>41885.95</x:v>
      </x:c>
      <x:c r="R335" s="11" t="n">
        <x:f>'站点明细'!$F314</x:f>
        <x:v>17202.7</x:v>
      </x:c>
      <x:c r="S335" s="11" t="n">
        <x:f>'站点明细'!$F546</x:f>
        <x:v>4086.38</x:v>
      </x:c>
      <x:c r="T335" s="11" t="n">
        <x:f>'站点明细'!$F778</x:f>
        <x:v>112.45</x:v>
      </x:c>
      <x:c r="U335" s="11" t="n">
        <x:f>'站点明细'!$F1010</x:f>
        <x:v>1067.7</x:v>
      </x:c>
      <x:c r="V335" s="11" t="n">
        <x:f>'站点明细'!$F1242</x:f>
        <x:v>832.11</x:v>
      </x:c>
      <x:c r="W335" s="11" t="n">
        <x:f>'站点明细'!$F1474</x:f>
        <x:v>0</x:v>
      </x:c>
    </x:row>
    <x:row r="336">
      <x:c r="A336" t="str">
        <x:f>TEXT($B336,"mm-dd")</x:f>
        <x:v>03-23</x:v>
      </x:c>
      <x:c r="B336" s="9" t="n">
        <x:f>'站点明细'!$C83</x:f>
        <x:v>46104</x:v>
      </x:c>
      <x:c r="C336" s="10" t="n">
        <x:f>'站点明细'!$E83</x:f>
        <x:v>6719</x:v>
      </x:c>
      <x:c r="D336" s="10" t="n">
        <x:f>'站点明细'!$D83</x:f>
        <x:v>5336</x:v>
      </x:c>
      <x:c r="E336" s="10" t="n">
        <x:f>'站点明细'!$E315</x:f>
        <x:v>2069</x:v>
      </x:c>
      <x:c r="F336" s="10" t="n">
        <x:f>'站点明细'!$D315</x:f>
        <x:v>1114</x:v>
      </x:c>
      <x:c r="G336" s="10" t="n">
        <x:f>'站点明细'!$E547</x:f>
        <x:v>283</x:v>
      </x:c>
      <x:c r="H336" s="10" t="n">
        <x:f>'站点明细'!$D547</x:f>
        <x:v>167</x:v>
      </x:c>
      <x:c r="I336" s="10" t="n">
        <x:f>'站点明细'!$E779</x:f>
        <x:v>4</x:v>
      </x:c>
      <x:c r="J336" s="10" t="n">
        <x:f>'站点明细'!$D779</x:f>
        <x:v>4</x:v>
      </x:c>
      <x:c r="K336" s="10" t="n">
        <x:f>'站点明细'!$E1011</x:f>
        <x:v>188</x:v>
      </x:c>
      <x:c r="L336" s="10" t="n">
        <x:f>'站点明细'!$D1011</x:f>
        <x:v>111</x:v>
      </x:c>
      <x:c r="M336" s="10" t="n">
        <x:f>'站点明细'!$E1243</x:f>
        <x:v>27</x:v>
      </x:c>
      <x:c r="N336" s="10" t="n">
        <x:f>'站点明细'!$D1243</x:f>
        <x:v>23</x:v>
      </x:c>
      <x:c r="O336" s="10" t="n">
        <x:f>'站点明细'!$E1475</x:f>
        <x:v>4</x:v>
      </x:c>
      <x:c r="P336" s="10" t="n">
        <x:f>'站点明细'!$D1475</x:f>
        <x:v>3</x:v>
      </x:c>
      <x:c r="Q336" s="11" t="n">
        <x:f>'站点明细'!$F83</x:f>
        <x:v>52990.48</x:v>
      </x:c>
      <x:c r="R336" s="11" t="n">
        <x:f>'站点明细'!$F315</x:f>
        <x:v>20774.63</x:v>
      </x:c>
      <x:c r="S336" s="11" t="n">
        <x:f>'站点明细'!$F547</x:f>
        <x:v>2625.04</x:v>
      </x:c>
      <x:c r="T336" s="11" t="n">
        <x:f>'站点明细'!$F779</x:f>
        <x:v>55.04</x:v>
      </x:c>
      <x:c r="U336" s="11" t="n">
        <x:f>'站点明细'!$F1011</x:f>
        <x:v>1378.59</x:v>
      </x:c>
      <x:c r="V336" s="11" t="n">
        <x:f>'站点明细'!$F1243</x:f>
        <x:v>953.21</x:v>
      </x:c>
      <x:c r="W336" s="11" t="n">
        <x:f>'站点明细'!$F1475</x:f>
        <x:v>387.47</x:v>
      </x:c>
    </x:row>
    <x:row r="337">
      <x:c r="A337" t="str">
        <x:f>TEXT($B337,"mm-dd")</x:f>
        <x:v>03-24</x:v>
      </x:c>
      <x:c r="B337" s="9" t="n">
        <x:f>'站点明细'!$C84</x:f>
        <x:v>46105</x:v>
      </x:c>
      <x:c r="C337" s="10" t="n">
        <x:f>'站点明细'!$E84</x:f>
        <x:v>5734</x:v>
      </x:c>
      <x:c r="D337" s="10" t="n">
        <x:f>'站点明细'!$D84</x:f>
        <x:v>4219</x:v>
      </x:c>
      <x:c r="E337" s="10" t="n">
        <x:f>'站点明细'!$E316</x:f>
        <x:v>1947</x:v>
      </x:c>
      <x:c r="F337" s="10" t="n">
        <x:f>'站点明细'!$D316</x:f>
        <x:v>935</x:v>
      </x:c>
      <x:c r="G337" s="10" t="n">
        <x:f>'站点明细'!$E548</x:f>
        <x:v>386</x:v>
      </x:c>
      <x:c r="H337" s="10" t="n">
        <x:f>'站点明细'!$D548</x:f>
        <x:v>224</x:v>
      </x:c>
      <x:c r="I337" s="10" t="n">
        <x:f>'站点明细'!$E780</x:f>
        <x:v>10</x:v>
      </x:c>
      <x:c r="J337" s="10" t="n">
        <x:f>'站点明细'!$D780</x:f>
        <x:v>6</x:v>
      </x:c>
      <x:c r="K337" s="10" t="n">
        <x:f>'站点明细'!$E1012</x:f>
        <x:v>113</x:v>
      </x:c>
      <x:c r="L337" s="10" t="n">
        <x:f>'站点明细'!$D1012</x:f>
        <x:v>72</x:v>
      </x:c>
      <x:c r="M337" s="10" t="n">
        <x:f>'站点明细'!$E1244</x:f>
        <x:v>85</x:v>
      </x:c>
      <x:c r="N337" s="10" t="n">
        <x:f>'站点明细'!$D1244</x:f>
        <x:v>79</x:v>
      </x:c>
      <x:c r="O337" s="10" t="n">
        <x:f>'站点明细'!$E1476</x:f>
        <x:v>3</x:v>
      </x:c>
      <x:c r="P337" s="10" t="n">
        <x:f>'站点明细'!$D1476</x:f>
        <x:v>2</x:v>
      </x:c>
      <x:c r="Q337" s="11" t="n">
        <x:f>'站点明细'!$F84</x:f>
        <x:v>45166.02</x:v>
      </x:c>
      <x:c r="R337" s="11" t="n">
        <x:f>'站点明细'!$F316</x:f>
        <x:v>17410.62</x:v>
      </x:c>
      <x:c r="S337" s="11" t="n">
        <x:f>'站点明细'!$F548</x:f>
        <x:v>3706.28</x:v>
      </x:c>
      <x:c r="T337" s="11" t="n">
        <x:f>'站点明细'!$F780</x:f>
        <x:v>70.93</x:v>
      </x:c>
      <x:c r="U337" s="11" t="n">
        <x:f>'站点明细'!$F1012</x:f>
        <x:v>932.23</x:v>
      </x:c>
      <x:c r="V337" s="11" t="n">
        <x:f>'站点明细'!$F1244</x:f>
        <x:v>2729.87</x:v>
      </x:c>
      <x:c r="W337" s="11" t="n">
        <x:f>'站点明细'!$F1476</x:f>
        <x:v>217.33</x:v>
      </x:c>
    </x:row>
    <x:row r="338">
      <x:c r="A338" t="str">
        <x:f>TEXT($B338,"mm-dd")</x:f>
        <x:v>03-25</x:v>
      </x:c>
      <x:c r="B338" s="9" t="n">
        <x:f>'站点明细'!$C85</x:f>
        <x:v>46106</x:v>
      </x:c>
      <x:c r="C338" s="10" t="n">
        <x:f>'站点明细'!$E85</x:f>
        <x:v>7821</x:v>
      </x:c>
      <x:c r="D338" s="10" t="n">
        <x:f>'站点明细'!$D85</x:f>
        <x:v>5918</x:v>
      </x:c>
      <x:c r="E338" s="10" t="n">
        <x:f>'站点明细'!$E317</x:f>
        <x:v>1827</x:v>
      </x:c>
      <x:c r="F338" s="10" t="n">
        <x:f>'站点明细'!$D317</x:f>
        <x:v>906</x:v>
      </x:c>
      <x:c r="G338" s="10" t="n">
        <x:f>'站点明细'!$E549</x:f>
        <x:v>429</x:v>
      </x:c>
      <x:c r="H338" s="10" t="n">
        <x:f>'站点明细'!$D549</x:f>
        <x:v>241</x:v>
      </x:c>
      <x:c r="I338" s="10" t="n">
        <x:f>'站点明细'!$E781</x:f>
        <x:v>7</x:v>
      </x:c>
      <x:c r="J338" s="10" t="n">
        <x:f>'站点明细'!$D781</x:f>
        <x:v>6</x:v>
      </x:c>
      <x:c r="K338" s="10" t="n">
        <x:f>'站点明细'!$E1013</x:f>
        <x:v>134</x:v>
      </x:c>
      <x:c r="L338" s="10" t="n">
        <x:f>'站点明细'!$D1013</x:f>
        <x:v>84</x:v>
      </x:c>
      <x:c r="M338" s="10" t="n">
        <x:f>'站点明细'!$E1245</x:f>
        <x:v>0</x:v>
      </x:c>
      <x:c r="N338" s="10" t="n">
        <x:f>'站点明细'!$D1245</x:f>
        <x:v>0</x:v>
      </x:c>
      <x:c r="O338" s="10" t="n">
        <x:f>'站点明细'!$E1477</x:f>
        <x:v>0</x:v>
      </x:c>
      <x:c r="P338" s="10" t="n">
        <x:f>'站点明细'!$D1477</x:f>
        <x:v>0</x:v>
      </x:c>
      <x:c r="Q338" s="11" t="n">
        <x:f>'站点明细'!$F85</x:f>
        <x:v>64494.88</x:v>
      </x:c>
      <x:c r="R338" s="11" t="n">
        <x:f>'站点明细'!$F317</x:f>
        <x:v>15965.51</x:v>
      </x:c>
      <x:c r="S338" s="11" t="n">
        <x:f>'站点明细'!$F549</x:f>
        <x:v>3653.8</x:v>
      </x:c>
      <x:c r="T338" s="11" t="n">
        <x:f>'站点明细'!$F781</x:f>
        <x:v>170.53</x:v>
      </x:c>
      <x:c r="U338" s="11" t="n">
        <x:f>'站点明细'!$F1013</x:f>
        <x:v>1077.55</x:v>
      </x:c>
      <x:c r="V338" s="11" t="n">
        <x:f>'站点明细'!$F1245</x:f>
        <x:v>0</x:v>
      </x:c>
      <x:c r="W338" s="11" t="n">
        <x:f>'站点明细'!$F1477</x:f>
        <x:v>0</x:v>
      </x:c>
    </x:row>
    <x:row r="339">
      <x:c r="A339" t="str">
        <x:f>TEXT($B339,"mm-dd")</x:f>
        <x:v>03-26</x:v>
      </x:c>
      <x:c r="B339" s="9" t="n">
        <x:f>'站点明细'!$C86</x:f>
        <x:v>46107</x:v>
      </x:c>
      <x:c r="C339" s="10" t="n">
        <x:f>'站点明细'!$E86</x:f>
        <x:v>6522</x:v>
      </x:c>
      <x:c r="D339" s="10" t="n">
        <x:f>'站点明细'!$D86</x:f>
        <x:v>4894</x:v>
      </x:c>
      <x:c r="E339" s="10" t="n">
        <x:f>'站点明细'!$E318</x:f>
        <x:v>1533</x:v>
      </x:c>
      <x:c r="F339" s="10" t="n">
        <x:f>'站点明细'!$D318</x:f>
        <x:v>829</x:v>
      </x:c>
      <x:c r="G339" s="10" t="n">
        <x:f>'站点明细'!$E550</x:f>
        <x:v>393</x:v>
      </x:c>
      <x:c r="H339" s="10" t="n">
        <x:f>'站点明细'!$D550</x:f>
        <x:v>251</x:v>
      </x:c>
      <x:c r="I339" s="10" t="n">
        <x:f>'站点明细'!$E782</x:f>
        <x:v>14</x:v>
      </x:c>
      <x:c r="J339" s="10" t="n">
        <x:f>'站点明细'!$D782</x:f>
        <x:v>10</x:v>
      </x:c>
      <x:c r="K339" s="10" t="n">
        <x:f>'站点明细'!$E1014</x:f>
        <x:v>146</x:v>
      </x:c>
      <x:c r="L339" s="10" t="n">
        <x:f>'站点明细'!$D1014</x:f>
        <x:v>100</x:v>
      </x:c>
      <x:c r="M339" s="10" t="n">
        <x:f>'站点明细'!$E1246</x:f>
        <x:v>104</x:v>
      </x:c>
      <x:c r="N339" s="10" t="n">
        <x:f>'站点明细'!$D1246</x:f>
        <x:v>89</x:v>
      </x:c>
      <x:c r="O339" s="10" t="n">
        <x:f>'站点明细'!$E1478</x:f>
        <x:v>6</x:v>
      </x:c>
      <x:c r="P339" s="10" t="n">
        <x:f>'站点明细'!$D1478</x:f>
        <x:v>1</x:v>
      </x:c>
      <x:c r="Q339" s="11" t="n">
        <x:f>'站点明细'!$F86</x:f>
        <x:v>52042.6</x:v>
      </x:c>
      <x:c r="R339" s="11" t="n">
        <x:f>'站点明细'!$F318</x:f>
        <x:v>15477.65</x:v>
      </x:c>
      <x:c r="S339" s="11" t="n">
        <x:f>'站点明细'!$F550</x:f>
        <x:v>3547.16</x:v>
      </x:c>
      <x:c r="T339" s="11" t="n">
        <x:f>'站点明细'!$F782</x:f>
        <x:v>195.3</x:v>
      </x:c>
      <x:c r="U339" s="11" t="n">
        <x:f>'站点明细'!$F1014</x:f>
        <x:v>1353.22</x:v>
      </x:c>
      <x:c r="V339" s="11" t="n">
        <x:f>'站点明细'!$F1246</x:f>
        <x:v>3309.44</x:v>
      </x:c>
      <x:c r="W339" s="11" t="n">
        <x:f>'站点明细'!$F1478</x:f>
        <x:v>704.93</x:v>
      </x:c>
    </x:row>
    <x:row r="340">
      <x:c r="A340" t="str">
        <x:f>TEXT($B340,"mm-dd")</x:f>
        <x:v>03-27</x:v>
      </x:c>
      <x:c r="B340" s="9" t="n">
        <x:f>'站点明细'!$C87</x:f>
        <x:v>46108</x:v>
      </x:c>
      <x:c r="C340" s="10" t="n">
        <x:f>'站点明细'!$E87</x:f>
        <x:v>5247</x:v>
      </x:c>
      <x:c r="D340" s="10" t="n">
        <x:f>'站点明细'!$D87</x:f>
        <x:v>3675</x:v>
      </x:c>
      <x:c r="E340" s="10" t="n">
        <x:f>'站点明细'!$E319</x:f>
        <x:v>1449</x:v>
      </x:c>
      <x:c r="F340" s="10" t="n">
        <x:f>'站点明细'!$D319</x:f>
        <x:v>772</x:v>
      </x:c>
      <x:c r="G340" s="10" t="n">
        <x:f>'站点明细'!$E551</x:f>
        <x:v>334</x:v>
      </x:c>
      <x:c r="H340" s="10" t="n">
        <x:f>'站点明细'!$D551</x:f>
        <x:v>197</x:v>
      </x:c>
      <x:c r="I340" s="10" t="n">
        <x:f>'站点明细'!$E783</x:f>
        <x:v>9</x:v>
      </x:c>
      <x:c r="J340" s="10" t="n">
        <x:f>'站点明细'!$D783</x:f>
        <x:v>8</x:v>
      </x:c>
      <x:c r="K340" s="10" t="n">
        <x:f>'站点明细'!$E1015</x:f>
        <x:v>105</x:v>
      </x:c>
      <x:c r="L340" s="10" t="n">
        <x:f>'站点明细'!$D1015</x:f>
        <x:v>73</x:v>
      </x:c>
      <x:c r="M340" s="10" t="n">
        <x:f>'站点明细'!$E1247</x:f>
        <x:v>37</x:v>
      </x:c>
      <x:c r="N340" s="10" t="n">
        <x:f>'站点明细'!$D1247</x:f>
        <x:v>35</x:v>
      </x:c>
      <x:c r="O340" s="10" t="n">
        <x:f>'站点明细'!$E1479</x:f>
        <x:v>2</x:v>
      </x:c>
      <x:c r="P340" s="10" t="n">
        <x:f>'站点明细'!$D1479</x:f>
        <x:v>2</x:v>
      </x:c>
      <x:c r="Q340" s="11" t="n">
        <x:f>'站点明细'!$F87</x:f>
        <x:v>40534.91</x:v>
      </x:c>
      <x:c r="R340" s="11" t="n">
        <x:f>'站点明细'!$F319</x:f>
        <x:v>14479.55</x:v>
      </x:c>
      <x:c r="S340" s="11" t="n">
        <x:f>'站点明细'!$F551</x:f>
        <x:v>2876.77</x:v>
      </x:c>
      <x:c r="T340" s="11" t="n">
        <x:f>'站点明细'!$F783</x:f>
        <x:v>81.06</x:v>
      </x:c>
      <x:c r="U340" s="11" t="n">
        <x:f>'站点明细'!$F1015</x:f>
        <x:v>1064.06</x:v>
      </x:c>
      <x:c r="V340" s="11" t="n">
        <x:f>'站点明细'!$F1247</x:f>
        <x:v>1225.11</x:v>
      </x:c>
      <x:c r="W340" s="11" t="n">
        <x:f>'站点明细'!$F1479</x:f>
        <x:v>138.73</x:v>
      </x:c>
    </x:row>
    <x:row r="341">
      <x:c r="A341" t="str">
        <x:f>TEXT($B341,"mm-dd")</x:f>
        <x:v>03-28</x:v>
      </x:c>
      <x:c r="B341" s="9" t="n">
        <x:f>'站点明细'!$C88</x:f>
        <x:v>46109</x:v>
      </x:c>
      <x:c r="C341" s="10" t="n">
        <x:f>'站点明细'!$E88</x:f>
        <x:v>2807</x:v>
      </x:c>
      <x:c r="D341" s="10" t="n">
        <x:f>'站点明细'!$D88</x:f>
        <x:v>1601</x:v>
      </x:c>
      <x:c r="E341" s="10" t="n">
        <x:f>'站点明细'!$E320</x:f>
        <x:v>1380</x:v>
      </x:c>
      <x:c r="F341" s="10" t="n">
        <x:f>'站点明细'!$D320</x:f>
        <x:v>720</x:v>
      </x:c>
      <x:c r="G341" s="10" t="n">
        <x:f>'站点明细'!$E552</x:f>
        <x:v>447</x:v>
      </x:c>
      <x:c r="H341" s="10" t="n">
        <x:f>'站点明细'!$D552</x:f>
        <x:v>237</x:v>
      </x:c>
      <x:c r="I341" s="10" t="n">
        <x:f>'站点明细'!$E784</x:f>
        <x:v>1</x:v>
      </x:c>
      <x:c r="J341" s="10" t="n">
        <x:f>'站点明细'!$D784</x:f>
        <x:v>1</x:v>
      </x:c>
      <x:c r="K341" s="10" t="n">
        <x:f>'站点明细'!$E1016</x:f>
        <x:v>118</x:v>
      </x:c>
      <x:c r="L341" s="10" t="n">
        <x:f>'站点明细'!$D1016</x:f>
        <x:v>84</x:v>
      </x:c>
      <x:c r="M341" s="10" t="n">
        <x:f>'站点明细'!$E1248</x:f>
        <x:v>51</x:v>
      </x:c>
      <x:c r="N341" s="10" t="n">
        <x:f>'站点明细'!$D1248</x:f>
        <x:v>47</x:v>
      </x:c>
      <x:c r="O341" s="10" t="n">
        <x:f>'站点明细'!$E1480</x:f>
        <x:v>1</x:v>
      </x:c>
      <x:c r="P341" s="10" t="n">
        <x:f>'站点明细'!$D1480</x:f>
        <x:v>1</x:v>
      </x:c>
      <x:c r="Q341" s="11" t="n">
        <x:f>'站点明细'!$F88</x:f>
        <x:v>20424.08</x:v>
      </x:c>
      <x:c r="R341" s="11" t="n">
        <x:f>'站点明细'!$F320</x:f>
        <x:v>12579.57</x:v>
      </x:c>
      <x:c r="S341" s="11" t="n">
        <x:f>'站点明细'!$F552</x:f>
        <x:v>3247.09</x:v>
      </x:c>
      <x:c r="T341" s="11" t="n">
        <x:f>'站点明细'!$F784</x:f>
        <x:v>28.38</x:v>
      </x:c>
      <x:c r="U341" s="11" t="n">
        <x:f>'站点明细'!$F1016</x:f>
        <x:v>1003.97</x:v>
      </x:c>
      <x:c r="V341" s="11" t="n">
        <x:f>'站点明细'!$F1248</x:f>
        <x:v>1379.98</x:v>
      </x:c>
      <x:c r="W341" s="11" t="n">
        <x:f>'站点明细'!$F1480</x:f>
        <x:v>87.49</x:v>
      </x:c>
    </x:row>
    <x:row r="342">
      <x:c r="A342" t="str">
        <x:f>TEXT($B342,"mm-dd")</x:f>
        <x:v>03-29</x:v>
      </x:c>
      <x:c r="B342" s="9" t="n">
        <x:f>'站点明细'!$C89</x:f>
        <x:v>46110</x:v>
      </x:c>
      <x:c r="C342" s="10" t="n">
        <x:f>'站点明细'!$E89</x:f>
        <x:v>7022</x:v>
      </x:c>
      <x:c r="D342" s="10" t="n">
        <x:f>'站点明细'!$D89</x:f>
        <x:v>5281</x:v>
      </x:c>
      <x:c r="E342" s="10" t="n">
        <x:f>'站点明细'!$E321</x:f>
        <x:v>1363</x:v>
      </x:c>
      <x:c r="F342" s="10" t="n">
        <x:f>'站点明细'!$D321</x:f>
        <x:v>713</x:v>
      </x:c>
      <x:c r="G342" s="10" t="n">
        <x:f>'站点明细'!$E553</x:f>
        <x:v>507</x:v>
      </x:c>
      <x:c r="H342" s="10" t="n">
        <x:f>'站点明细'!$D553</x:f>
        <x:v>262</x:v>
      </x:c>
      <x:c r="I342" s="10" t="n">
        <x:f>'站点明细'!$E785</x:f>
        <x:v>3</x:v>
      </x:c>
      <x:c r="J342" s="10" t="n">
        <x:f>'站点明细'!$D785</x:f>
        <x:v>2</x:v>
      </x:c>
      <x:c r="K342" s="10" t="n">
        <x:f>'站点明细'!$E1017</x:f>
        <x:v>176</x:v>
      </x:c>
      <x:c r="L342" s="10" t="n">
        <x:f>'站点明细'!$D1017</x:f>
        <x:v>89</x:v>
      </x:c>
      <x:c r="M342" s="10" t="n">
        <x:f>'站点明细'!$E1249</x:f>
        <x:v>29</x:v>
      </x:c>
      <x:c r="N342" s="10" t="n">
        <x:f>'站点明细'!$D1249</x:f>
        <x:v>26</x:v>
      </x:c>
      <x:c r="O342" s="10" t="n">
        <x:f>'站点明细'!$E1481</x:f>
        <x:v>0</x:v>
      </x:c>
      <x:c r="P342" s="10" t="n">
        <x:f>'站点明细'!$D1481</x:f>
        <x:v>0</x:v>
      </x:c>
      <x:c r="Q342" s="11" t="n">
        <x:f>'站点明细'!$F89</x:f>
        <x:v>57064.58</x:v>
      </x:c>
      <x:c r="R342" s="11" t="n">
        <x:f>'站点明细'!$F321</x:f>
        <x:v>12774.35</x:v>
      </x:c>
      <x:c r="S342" s="11" t="n">
        <x:f>'站点明细'!$F553</x:f>
        <x:v>3655.27</x:v>
      </x:c>
      <x:c r="T342" s="11" t="n">
        <x:f>'站点明细'!$F785</x:f>
        <x:v>60.72</x:v>
      </x:c>
      <x:c r="U342" s="11" t="n">
        <x:f>'站点明细'!$F1017</x:f>
        <x:v>1220.27</x:v>
      </x:c>
      <x:c r="V342" s="11" t="n">
        <x:f>'站点明细'!$F1249</x:f>
        <x:v>1041.06</x:v>
      </x:c>
      <x:c r="W342" s="11" t="n">
        <x:f>'站点明细'!$F1481</x:f>
        <x:v>0</x:v>
      </x:c>
    </x:row>
    <x:row r="343">
      <x:c r="A343" t="str">
        <x:f>TEXT($B343,"mm-dd")</x:f>
        <x:v>03-30</x:v>
      </x:c>
      <x:c r="B343" s="9" t="n">
        <x:f>'站点明细'!$C90</x:f>
        <x:v>46111</x:v>
      </x:c>
      <x:c r="C343" s="10" t="n">
        <x:f>'站点明细'!$E90</x:f>
        <x:v>5867</x:v>
      </x:c>
      <x:c r="D343" s="10" t="n">
        <x:f>'站点明细'!$D90</x:f>
        <x:v>4882</x:v>
      </x:c>
      <x:c r="E343" s="10" t="n">
        <x:f>'站点明细'!$E322</x:f>
        <x:v>1528</x:v>
      </x:c>
      <x:c r="F343" s="10" t="n">
        <x:f>'站点明细'!$D322</x:f>
        <x:v>776</x:v>
      </x:c>
      <x:c r="G343" s="10" t="n">
        <x:f>'站点明细'!$E554</x:f>
        <x:v>540</x:v>
      </x:c>
      <x:c r="H343" s="10" t="n">
        <x:f>'站点明细'!$D554</x:f>
        <x:v>270</x:v>
      </x:c>
      <x:c r="I343" s="10" t="n">
        <x:f>'站点明细'!$E786</x:f>
        <x:v>6</x:v>
      </x:c>
      <x:c r="J343" s="10" t="n">
        <x:f>'站点明细'!$D786</x:f>
        <x:v>5</x:v>
      </x:c>
      <x:c r="K343" s="10" t="n">
        <x:f>'站点明细'!$E1018</x:f>
        <x:v>99</x:v>
      </x:c>
      <x:c r="L343" s="10" t="n">
        <x:f>'站点明细'!$D1018</x:f>
        <x:v>77</x:v>
      </x:c>
      <x:c r="M343" s="10" t="n">
        <x:f>'站点明细'!$E1250</x:f>
        <x:v>34</x:v>
      </x:c>
      <x:c r="N343" s="10" t="n">
        <x:f>'站点明细'!$D1250</x:f>
        <x:v>32</x:v>
      </x:c>
      <x:c r="O343" s="10" t="n">
        <x:f>'站点明细'!$E1482</x:f>
        <x:v>4</x:v>
      </x:c>
      <x:c r="P343" s="10" t="n">
        <x:f>'站点明细'!$D1482</x:f>
        <x:v>4</x:v>
      </x:c>
      <x:c r="Q343" s="11" t="n">
        <x:f>'站点明细'!$F90</x:f>
        <x:v>52048.71</x:v>
      </x:c>
      <x:c r="R343" s="11" t="n">
        <x:f>'站点明细'!$F322</x:f>
        <x:v>14741.37</x:v>
      </x:c>
      <x:c r="S343" s="11" t="n">
        <x:f>'站点明细'!$F554</x:f>
        <x:v>4120.3</x:v>
      </x:c>
      <x:c r="T343" s="11" t="n">
        <x:f>'站点明细'!$F786</x:f>
        <x:v>155.57</x:v>
      </x:c>
      <x:c r="U343" s="11" t="n">
        <x:f>'站点明细'!$F1018</x:f>
        <x:v>1077.25</x:v>
      </x:c>
      <x:c r="V343" s="11" t="n">
        <x:f>'站点明细'!$F1250</x:f>
        <x:v>1286.18</x:v>
      </x:c>
      <x:c r="W343" s="11" t="n">
        <x:f>'站点明细'!$F1482</x:f>
        <x:v>256.21</x:v>
      </x:c>
    </x:row>
    <x:row r="344">
      <x:c r="A344" t="str">
        <x:f>TEXT($B344,"mm-dd")</x:f>
        <x:v>03-31</x:v>
      </x:c>
      <x:c r="B344" s="9" t="n">
        <x:f>'站点明细'!$C91</x:f>
        <x:v>46112</x:v>
      </x:c>
      <x:c r="C344" s="10" t="n">
        <x:f>'站点明细'!$E91</x:f>
        <x:v>5976</x:v>
      </x:c>
      <x:c r="D344" s="10" t="n">
        <x:f>'站点明细'!$D91</x:f>
        <x:v>4892</x:v>
      </x:c>
      <x:c r="E344" s="10" t="n">
        <x:f>'站点明细'!$E323</x:f>
        <x:v>1709</x:v>
      </x:c>
      <x:c r="F344" s="10" t="n">
        <x:f>'站点明细'!$D323</x:f>
        <x:v>814</x:v>
      </x:c>
      <x:c r="G344" s="10" t="n">
        <x:f>'站点明细'!$E555</x:f>
        <x:v>554</x:v>
      </x:c>
      <x:c r="H344" s="10" t="n">
        <x:f>'站点明细'!$D555</x:f>
        <x:v>298</x:v>
      </x:c>
      <x:c r="I344" s="10" t="n">
        <x:f>'站点明细'!$E787</x:f>
        <x:v>8</x:v>
      </x:c>
      <x:c r="J344" s="10" t="n">
        <x:f>'站点明细'!$D787</x:f>
        <x:v>4</x:v>
      </x:c>
      <x:c r="K344" s="10" t="n">
        <x:f>'站点明细'!$E1019</x:f>
        <x:v>179</x:v>
      </x:c>
      <x:c r="L344" s="10" t="n">
        <x:f>'站点明细'!$D1019</x:f>
        <x:v>142</x:v>
      </x:c>
      <x:c r="M344" s="10" t="n">
        <x:f>'站点明细'!$E1251</x:f>
        <x:v>50</x:v>
      </x:c>
      <x:c r="N344" s="10" t="n">
        <x:f>'站点明细'!$D1251</x:f>
        <x:v>42</x:v>
      </x:c>
      <x:c r="O344" s="10" t="n">
        <x:f>'站点明细'!$E1483</x:f>
        <x:v>1</x:v>
      </x:c>
      <x:c r="P344" s="10" t="n">
        <x:f>'站点明细'!$D1483</x:f>
        <x:v>1</x:v>
      </x:c>
      <x:c r="Q344" s="11" t="n">
        <x:f>'站点明细'!$F91</x:f>
        <x:v>52591.13</x:v>
      </x:c>
      <x:c r="R344" s="11" t="n">
        <x:f>'站点明细'!$F323</x:f>
        <x:v>15004.59</x:v>
      </x:c>
      <x:c r="S344" s="11" t="n">
        <x:f>'站点明细'!$F555</x:f>
        <x:v>4353.8</x:v>
      </x:c>
      <x:c r="T344" s="11" t="n">
        <x:f>'站点明细'!$F787</x:f>
        <x:v>165.57</x:v>
      </x:c>
      <x:c r="U344" s="11" t="n">
        <x:f>'站点明细'!$F1019</x:f>
        <x:v>1810.44</x:v>
      </x:c>
      <x:c r="V344" s="11" t="n">
        <x:f>'站点明细'!$F1251</x:f>
        <x:v>-166.56</x:v>
      </x:c>
      <x:c r="W344" s="11" t="n">
        <x:f>'站点明细'!$F1483</x:f>
        <x:v>61.61</x:v>
      </x:c>
    </x:row>
    <x:row r="345">
      <x:c r="A345" t="str">
        <x:f>TEXT($B345,"mm-dd")</x:f>
        <x:v>04-01</x:v>
      </x:c>
      <x:c r="B345" s="9" t="n">
        <x:f>'站点明细'!$C92</x:f>
        <x:v>46113</x:v>
      </x:c>
      <x:c r="C345" s="10" t="n">
        <x:f>'站点明细'!$E92</x:f>
        <x:v>4952</x:v>
      </x:c>
      <x:c r="D345" s="10" t="n">
        <x:f>'站点明细'!$D92</x:f>
        <x:v>4056</x:v>
      </x:c>
      <x:c r="E345" s="10" t="n">
        <x:f>'站点明细'!$E324</x:f>
        <x:v>1700</x:v>
      </x:c>
      <x:c r="F345" s="10" t="n">
        <x:f>'站点明细'!$D324</x:f>
        <x:v>760</x:v>
      </x:c>
      <x:c r="G345" s="10" t="n">
        <x:f>'站点明细'!$E556</x:f>
        <x:v>435</x:v>
      </x:c>
      <x:c r="H345" s="10" t="n">
        <x:f>'站点明细'!$D556</x:f>
        <x:v>229</x:v>
      </x:c>
      <x:c r="I345" s="10" t="n">
        <x:f>'站点明细'!$E788</x:f>
        <x:v>8</x:v>
      </x:c>
      <x:c r="J345" s="10" t="n">
        <x:f>'站点明细'!$D788</x:f>
        <x:v>7</x:v>
      </x:c>
      <x:c r="K345" s="10" t="n">
        <x:f>'站点明细'!$E1020</x:f>
        <x:v>165</x:v>
      </x:c>
      <x:c r="L345" s="10" t="n">
        <x:f>'站点明细'!$D1020</x:f>
        <x:v>149</x:v>
      </x:c>
      <x:c r="M345" s="10" t="n">
        <x:f>'站点明细'!$E1252</x:f>
        <x:v>54</x:v>
      </x:c>
      <x:c r="N345" s="10" t="n">
        <x:f>'站点明细'!$D1252</x:f>
        <x:v>47</x:v>
      </x:c>
      <x:c r="O345" s="10" t="n">
        <x:f>'站点明细'!$E1484</x:f>
        <x:v>0</x:v>
      </x:c>
      <x:c r="P345" s="10" t="n">
        <x:f>'站点明细'!$D1484</x:f>
        <x:v>0</x:v>
      </x:c>
      <x:c r="Q345" s="11" t="n">
        <x:f>'站点明细'!$F92</x:f>
        <x:v>44972.49</x:v>
      </x:c>
      <x:c r="R345" s="11" t="n">
        <x:f>'站点明细'!$F324</x:f>
        <x:v>13943.64</x:v>
      </x:c>
      <x:c r="S345" s="11" t="n">
        <x:f>'站点明细'!$F556</x:f>
        <x:v>3310.61</x:v>
      </x:c>
      <x:c r="T345" s="11" t="n">
        <x:f>'站点明细'!$F788</x:f>
        <x:v>81.34</x:v>
      </x:c>
      <x:c r="U345" s="11" t="n">
        <x:f>'站点明细'!$F1020</x:f>
        <x:v>1717.89</x:v>
      </x:c>
      <x:c r="V345" s="11" t="n">
        <x:f>'站点明细'!$F1252</x:f>
        <x:v>1508.33</x:v>
      </x:c>
      <x:c r="W345" s="11" t="n">
        <x:f>'站点明细'!$F1484</x:f>
        <x:v>0</x:v>
      </x:c>
    </x:row>
    <x:row r="346">
      <x:c r="A346" t="str">
        <x:f>TEXT($B346,"mm-dd")</x:f>
        <x:v>04-02</x:v>
      </x:c>
      <x:c r="B346" s="9" t="n">
        <x:f>'站点明细'!$C93</x:f>
        <x:v>46114</x:v>
      </x:c>
      <x:c r="C346" s="10" t="n">
        <x:f>'站点明细'!$E93</x:f>
        <x:v>4464</x:v>
      </x:c>
      <x:c r="D346" s="10" t="n">
        <x:f>'站点明细'!$D93</x:f>
        <x:v>3695</x:v>
      </x:c>
      <x:c r="E346" s="10" t="n">
        <x:f>'站点明细'!$E325</x:f>
        <x:v>0</x:v>
      </x:c>
      <x:c r="F346" s="10" t="n">
        <x:f>'站点明细'!$D325</x:f>
        <x:v>0</x:v>
      </x:c>
      <x:c r="G346" s="10" t="n">
        <x:f>'站点明细'!$E557</x:f>
        <x:v>402</x:v>
      </x:c>
      <x:c r="H346" s="10" t="n">
        <x:f>'站点明细'!$D557</x:f>
        <x:v>202</x:v>
      </x:c>
      <x:c r="I346" s="10" t="n">
        <x:f>'站点明细'!$E789</x:f>
        <x:v>7</x:v>
      </x:c>
      <x:c r="J346" s="10" t="n">
        <x:f>'站点明细'!$D789</x:f>
        <x:v>7</x:v>
      </x:c>
      <x:c r="K346" s="10" t="n">
        <x:f>'站点明细'!$E1021</x:f>
        <x:v>133</x:v>
      </x:c>
      <x:c r="L346" s="10" t="n">
        <x:f>'站点明细'!$D1021</x:f>
        <x:v>107</x:v>
      </x:c>
      <x:c r="M346" s="10" t="n">
        <x:f>'站点明细'!$E1253</x:f>
        <x:v>63</x:v>
      </x:c>
      <x:c r="N346" s="10" t="n">
        <x:f>'站点明细'!$D1253</x:f>
        <x:v>52</x:v>
      </x:c>
      <x:c r="O346" s="10" t="n">
        <x:f>'站点明细'!$E1485</x:f>
        <x:v>4</x:v>
      </x:c>
      <x:c r="P346" s="10" t="n">
        <x:f>'站点明细'!$D1485</x:f>
        <x:v>3</x:v>
      </x:c>
      <x:c r="Q346" s="11" t="n">
        <x:f>'站点明细'!$F93</x:f>
        <x:v>40527.36</x:v>
      </x:c>
      <x:c r="R346" s="11" t="n">
        <x:f>'站点明细'!$F325</x:f>
        <x:v>0</x:v>
      </x:c>
      <x:c r="S346" s="11" t="n">
        <x:f>'站点明细'!$F557</x:f>
        <x:v>3072.15</x:v>
      </x:c>
      <x:c r="T346" s="11" t="n">
        <x:f>'站点明细'!$F789</x:f>
        <x:v>52.45</x:v>
      </x:c>
      <x:c r="U346" s="11" t="n">
        <x:f>'站点明细'!$F1021</x:f>
        <x:v>1394.95</x:v>
      </x:c>
      <x:c r="V346" s="11" t="n">
        <x:f>'站点明细'!$F1253</x:f>
        <x:v>1748.85</x:v>
      </x:c>
      <x:c r="W346" s="11" t="n">
        <x:f>'站点明细'!$F1485</x:f>
        <x:v>195.16</x:v>
      </x:c>
    </x:row>
    <x:row r="347">
      <x:c r="A347" t="str">
        <x:f>TEXT($B347,"mm-dd")</x:f>
        <x:v>04-03</x:v>
      </x:c>
      <x:c r="B347" s="9" t="n">
        <x:f>'站点明细'!$C94</x:f>
        <x:v>46115</x:v>
      </x:c>
      <x:c r="C347" s="10" t="n">
        <x:f>'站点明细'!$E94</x:f>
        <x:v>4156</x:v>
      </x:c>
      <x:c r="D347" s="10" t="n">
        <x:f>'站点明细'!$D94</x:f>
        <x:v>3405</x:v>
      </x:c>
      <x:c r="E347" s="10" t="n">
        <x:f>'站点明细'!$E326</x:f>
        <x:v>0</x:v>
      </x:c>
      <x:c r="F347" s="10" t="n">
        <x:f>'站点明细'!$D326</x:f>
        <x:v>0</x:v>
      </x:c>
      <x:c r="G347" s="10" t="n">
        <x:f>'站点明细'!$E558</x:f>
        <x:v>571</x:v>
      </x:c>
      <x:c r="H347" s="10" t="n">
        <x:f>'站点明细'!$D558</x:f>
        <x:v>280</x:v>
      </x:c>
      <x:c r="I347" s="10" t="n">
        <x:f>'站点明细'!$E790</x:f>
        <x:v>0</x:v>
      </x:c>
      <x:c r="J347" s="10" t="n">
        <x:f>'站点明细'!$D790</x:f>
        <x:v>0</x:v>
      </x:c>
      <x:c r="K347" s="10" t="n">
        <x:f>'站点明细'!$E1022</x:f>
        <x:v>171</x:v>
      </x:c>
      <x:c r="L347" s="10" t="n">
        <x:f>'站点明细'!$D1022</x:f>
        <x:v>147</x:v>
      </x:c>
      <x:c r="M347" s="10" t="n">
        <x:f>'站点明细'!$E1254</x:f>
        <x:v>60</x:v>
      </x:c>
      <x:c r="N347" s="10" t="n">
        <x:f>'站点明细'!$D1254</x:f>
        <x:v>56</x:v>
      </x:c>
      <x:c r="O347" s="10" t="n">
        <x:f>'站点明细'!$E1486</x:f>
        <x:v>0</x:v>
      </x:c>
      <x:c r="P347" s="10" t="n">
        <x:f>'站点明细'!$D1486</x:f>
        <x:v>0</x:v>
      </x:c>
      <x:c r="Q347" s="11" t="n">
        <x:f>'站点明细'!$F94</x:f>
        <x:v>36800.62</x:v>
      </x:c>
      <x:c r="R347" s="11" t="n">
        <x:f>'站点明细'!$F326</x:f>
        <x:v>0</x:v>
      </x:c>
      <x:c r="S347" s="11" t="n">
        <x:f>'站点明细'!$F558</x:f>
        <x:v>4105.63</x:v>
      </x:c>
      <x:c r="T347" s="11" t="n">
        <x:f>'站点明细'!$F790</x:f>
        <x:v>0</x:v>
      </x:c>
      <x:c r="U347" s="11" t="n">
        <x:f>'站点明细'!$F1022</x:f>
        <x:v>1858.57</x:v>
      </x:c>
      <x:c r="V347" s="11" t="n">
        <x:f>'站点明细'!$F1254</x:f>
        <x:v>1710.99</x:v>
      </x:c>
      <x:c r="W347" s="11" t="n">
        <x:f>'站点明细'!$F1486</x:f>
        <x:v>0</x:v>
      </x:c>
    </x:row>
    <x:row r="348">
      <x:c r="A348" t="str">
        <x:f>TEXT($B348,"mm-dd")</x:f>
        <x:v>04-04</x:v>
      </x:c>
      <x:c r="B348" s="9" t="n">
        <x:f>'站点明细'!$C95</x:f>
        <x:v>46116</x:v>
      </x:c>
      <x:c r="C348" s="10" t="n">
        <x:f>'站点明细'!$E95</x:f>
        <x:v>6008</x:v>
      </x:c>
      <x:c r="D348" s="10" t="n">
        <x:f>'站点明细'!$D95</x:f>
        <x:v>5169</x:v>
      </x:c>
      <x:c r="E348" s="10" t="n">
        <x:f>'站点明细'!$E327</x:f>
        <x:v>3984</x:v>
      </x:c>
      <x:c r="F348" s="10" t="n">
        <x:f>'站点明细'!$D327</x:f>
        <x:v>1792</x:v>
      </x:c>
      <x:c r="G348" s="10" t="n">
        <x:f>'站点明细'!$E559</x:f>
        <x:v>719</x:v>
      </x:c>
      <x:c r="H348" s="10" t="n">
        <x:f>'站点明细'!$D559</x:f>
        <x:v>351</x:v>
      </x:c>
      <x:c r="I348" s="10" t="n">
        <x:f>'站点明细'!$E791</x:f>
        <x:v>0</x:v>
      </x:c>
      <x:c r="J348" s="10" t="n">
        <x:f>'站点明细'!$D791</x:f>
        <x:v>0</x:v>
      </x:c>
      <x:c r="K348" s="10" t="n">
        <x:f>'站点明细'!$E1023</x:f>
        <x:v>136</x:v>
      </x:c>
      <x:c r="L348" s="10" t="n">
        <x:f>'站点明细'!$D1023</x:f>
        <x:v>117</x:v>
      </x:c>
      <x:c r="M348" s="10" t="n">
        <x:f>'站点明细'!$E1255</x:f>
        <x:v>34</x:v>
      </x:c>
      <x:c r="N348" s="10" t="n">
        <x:f>'站点明细'!$D1255</x:f>
        <x:v>30</x:v>
      </x:c>
      <x:c r="O348" s="10" t="n">
        <x:f>'站点明细'!$E1487</x:f>
        <x:v>0</x:v>
      </x:c>
      <x:c r="P348" s="10" t="n">
        <x:f>'站点明细'!$D1487</x:f>
        <x:v>0</x:v>
      </x:c>
      <x:c r="Q348" s="11" t="n">
        <x:f>'站点明细'!$F95</x:f>
        <x:v>58318.01</x:v>
      </x:c>
      <x:c r="R348" s="11" t="n">
        <x:f>'站点明细'!$F327</x:f>
        <x:v>33084.82</x:v>
      </x:c>
      <x:c r="S348" s="11" t="n">
        <x:f>'站点明细'!$F559</x:f>
        <x:v>4845.65</x:v>
      </x:c>
      <x:c r="T348" s="11" t="n">
        <x:f>'站点明细'!$F791</x:f>
        <x:v>0</x:v>
      </x:c>
      <x:c r="U348" s="11" t="n">
        <x:f>'站点明细'!$F1023</x:f>
        <x:v>1464.72</x:v>
      </x:c>
      <x:c r="V348" s="11" t="n">
        <x:f>'站点明细'!$F1255</x:f>
        <x:v>1120.35</x:v>
      </x:c>
      <x:c r="W348" s="11" t="n">
        <x:f>'站点明细'!$F1487</x:f>
        <x:v>0</x:v>
      </x:c>
    </x:row>
    <x:row r="349">
      <x:c r="A349" t="str">
        <x:f>TEXT($B349,"mm-dd")</x:f>
        <x:v>04-05</x:v>
      </x:c>
      <x:c r="B349" s="9" t="n">
        <x:f>'站点明细'!$C96</x:f>
        <x:v>46117</x:v>
      </x:c>
      <x:c r="C349" s="10" t="n">
        <x:f>'站点明细'!$E96</x:f>
        <x:v>6205</x:v>
      </x:c>
      <x:c r="D349" s="10" t="n">
        <x:f>'站点明细'!$D96</x:f>
        <x:v>4821</x:v>
      </x:c>
      <x:c r="E349" s="10" t="n">
        <x:f>'站点明细'!$E328</x:f>
        <x:v>2397</x:v>
      </x:c>
      <x:c r="F349" s="10" t="n">
        <x:f>'站点明细'!$D328</x:f>
        <x:v>1052</x:v>
      </x:c>
      <x:c r="G349" s="10" t="n">
        <x:f>'站点明细'!$E560</x:f>
        <x:v>515</x:v>
      </x:c>
      <x:c r="H349" s="10" t="n">
        <x:f>'站点明细'!$D560</x:f>
        <x:v>256</x:v>
      </x:c>
      <x:c r="I349" s="10" t="n">
        <x:f>'站点明细'!$E792</x:f>
        <x:v>0</x:v>
      </x:c>
      <x:c r="J349" s="10" t="n">
        <x:f>'站点明细'!$D792</x:f>
        <x:v>0</x:v>
      </x:c>
      <x:c r="K349" s="10" t="n">
        <x:f>'站点明细'!$E1024</x:f>
        <x:v>135</x:v>
      </x:c>
      <x:c r="L349" s="10" t="n">
        <x:f>'站点明细'!$D1024</x:f>
        <x:v>111</x:v>
      </x:c>
      <x:c r="M349" s="10" t="n">
        <x:f>'站点明细'!$E1256</x:f>
        <x:v>13</x:v>
      </x:c>
      <x:c r="N349" s="10" t="n">
        <x:f>'站点明细'!$D1256</x:f>
        <x:v>12</x:v>
      </x:c>
      <x:c r="O349" s="10" t="n">
        <x:f>'站点明细'!$E1488</x:f>
        <x:v>0</x:v>
      </x:c>
      <x:c r="P349" s="10" t="n">
        <x:f>'站点明细'!$D1488</x:f>
        <x:v>0</x:v>
      </x:c>
      <x:c r="Q349" s="11" t="n">
        <x:f>'站点明细'!$F96</x:f>
        <x:v>60109.69</x:v>
      </x:c>
      <x:c r="R349" s="11" t="n">
        <x:f>'站点明细'!$F328</x:f>
        <x:v>21877.94</x:v>
      </x:c>
      <x:c r="S349" s="11" t="n">
        <x:f>'站点明细'!$F560</x:f>
        <x:v>3862.72</x:v>
      </x:c>
      <x:c r="T349" s="11" t="n">
        <x:f>'站点明细'!$F792</x:f>
        <x:v>0</x:v>
      </x:c>
      <x:c r="U349" s="11" t="n">
        <x:f>'站点明细'!$F1024</x:f>
        <x:v>1406.97</x:v>
      </x:c>
      <x:c r="V349" s="11" t="n">
        <x:f>'站点明细'!$F1256</x:f>
        <x:v>669.18</x:v>
      </x:c>
      <x:c r="W349" s="11" t="n">
        <x:f>'站点明细'!$F1488</x:f>
        <x:v>0</x:v>
      </x:c>
    </x:row>
    <x:row r="350">
      <x:c r="A350" t="str">
        <x:f>TEXT($B350,"mm-dd")</x:f>
        <x:v>04-06</x:v>
      </x:c>
      <x:c r="B350" s="9" t="n">
        <x:f>'站点明细'!$C97</x:f>
        <x:v>46118</x:v>
      </x:c>
      <x:c r="C350" s="10" t="n">
        <x:f>'站点明细'!$E97</x:f>
        <x:v>3429</x:v>
      </x:c>
      <x:c r="D350" s="10" t="n">
        <x:f>'站点明细'!$D97</x:f>
        <x:v>2817</x:v>
      </x:c>
      <x:c r="E350" s="10" t="n">
        <x:f>'站点明细'!$E329</x:f>
        <x:v>1604</x:v>
      </x:c>
      <x:c r="F350" s="10" t="n">
        <x:f>'站点明细'!$D329</x:f>
        <x:v>715</x:v>
      </x:c>
      <x:c r="G350" s="10" t="n">
        <x:f>'站点明细'!$E561</x:f>
        <x:v>514</x:v>
      </x:c>
      <x:c r="H350" s="10" t="n">
        <x:f>'站点明细'!$D561</x:f>
        <x:v>258</x:v>
      </x:c>
      <x:c r="I350" s="10" t="n">
        <x:f>'站点明细'!$E793</x:f>
        <x:v>0</x:v>
      </x:c>
      <x:c r="J350" s="10" t="n">
        <x:f>'站点明细'!$D793</x:f>
        <x:v>0</x:v>
      </x:c>
      <x:c r="K350" s="10" t="n">
        <x:f>'站点明细'!$E1025</x:f>
        <x:v>187</x:v>
      </x:c>
      <x:c r="L350" s="10" t="n">
        <x:f>'站点明细'!$D1025</x:f>
        <x:v>152</x:v>
      </x:c>
      <x:c r="M350" s="10" t="n">
        <x:f>'站点明细'!$E1257</x:f>
        <x:v>16</x:v>
      </x:c>
      <x:c r="N350" s="10" t="n">
        <x:f>'站点明细'!$D1257</x:f>
        <x:v>16</x:v>
      </x:c>
      <x:c r="O350" s="10" t="n">
        <x:f>'站点明细'!$E1489</x:f>
        <x:v>3</x:v>
      </x:c>
      <x:c r="P350" s="10" t="n">
        <x:f>'站点明细'!$D1489</x:f>
        <x:v>2</x:v>
      </x:c>
      <x:c r="Q350" s="11" t="n">
        <x:f>'站点明细'!$F97</x:f>
        <x:v>31787.24</x:v>
      </x:c>
      <x:c r="R350" s="11" t="n">
        <x:f>'站点明细'!$F329</x:f>
        <x:v>14691.5</x:v>
      </x:c>
      <x:c r="S350" s="11" t="n">
        <x:f>'站点明细'!$F561</x:f>
        <x:v>3949.17</x:v>
      </x:c>
      <x:c r="T350" s="11" t="n">
        <x:f>'站点明细'!$F793</x:f>
        <x:v>0</x:v>
      </x:c>
      <x:c r="U350" s="11" t="n">
        <x:f>'站点明细'!$F1025</x:f>
        <x:v>1858.98</x:v>
      </x:c>
      <x:c r="V350" s="11" t="n">
        <x:f>'站点明细'!$F1257</x:f>
        <x:v>553.86</x:v>
      </x:c>
      <x:c r="W350" s="11" t="n">
        <x:f>'站点明细'!$F1489</x:f>
        <x:v>275.39</x:v>
      </x:c>
    </x:row>
    <x:row r="351">
      <x:c r="A351" t="str">
        <x:f>TEXT($B351,"mm-dd")</x:f>
        <x:v>04-07</x:v>
      </x:c>
      <x:c r="B351" s="9" t="n">
        <x:f>'站点明细'!$C98</x:f>
        <x:v>46119</x:v>
      </x:c>
      <x:c r="C351" s="10" t="n">
        <x:f>'站点明细'!$E98</x:f>
        <x:v>7078</x:v>
      </x:c>
      <x:c r="D351" s="10" t="n">
        <x:f>'站点明细'!$D98</x:f>
        <x:v>6503</x:v>
      </x:c>
      <x:c r="E351" s="10" t="n">
        <x:f>'站点明细'!$E330</x:f>
        <x:v>1584</x:v>
      </x:c>
      <x:c r="F351" s="10" t="n">
        <x:f>'站点明细'!$D330</x:f>
        <x:v>705</x:v>
      </x:c>
      <x:c r="G351" s="10" t="n">
        <x:f>'站点明细'!$E562</x:f>
        <x:v>420</x:v>
      </x:c>
      <x:c r="H351" s="10" t="n">
        <x:f>'站点明细'!$D562</x:f>
        <x:v>208</x:v>
      </x:c>
      <x:c r="I351" s="10" t="n">
        <x:f>'站点明细'!$E794</x:f>
        <x:v>7</x:v>
      </x:c>
      <x:c r="J351" s="10" t="n">
        <x:f>'站点明细'!$D794</x:f>
        <x:v>6</x:v>
      </x:c>
      <x:c r="K351" s="10" t="n">
        <x:f>'站点明细'!$E1026</x:f>
        <x:v>148</x:v>
      </x:c>
      <x:c r="L351" s="10" t="n">
        <x:f>'站点明细'!$D1026</x:f>
        <x:v>136</x:v>
      </x:c>
      <x:c r="M351" s="10" t="n">
        <x:f>'站点明细'!$E1258</x:f>
        <x:v>88</x:v>
      </x:c>
      <x:c r="N351" s="10" t="n">
        <x:f>'站点明细'!$D1258</x:f>
        <x:v>72</x:v>
      </x:c>
      <x:c r="O351" s="10" t="n">
        <x:f>'站点明细'!$E1490</x:f>
        <x:v>14</x:v>
      </x:c>
      <x:c r="P351" s="10" t="n">
        <x:f>'站点明细'!$D1490</x:f>
        <x:v>13</x:v>
      </x:c>
      <x:c r="Q351" s="11" t="n">
        <x:f>'站点明细'!$F98</x:f>
        <x:v>64849.05</x:v>
      </x:c>
      <x:c r="R351" s="11" t="n">
        <x:f>'站点明细'!$F330</x:f>
        <x:v>13459.4</x:v>
      </x:c>
      <x:c r="S351" s="11" t="n">
        <x:f>'站点明细'!$F562</x:f>
        <x:v>3348.25</x:v>
      </x:c>
      <x:c r="T351" s="11" t="n">
        <x:f>'站点明细'!$F794</x:f>
        <x:v>86.51</x:v>
      </x:c>
      <x:c r="U351" s="11" t="n">
        <x:f>'站点明细'!$F1026</x:f>
        <x:v>1417.32</x:v>
      </x:c>
      <x:c r="V351" s="11" t="n">
        <x:f>'站点明细'!$F1258</x:f>
        <x:v>3145.17</x:v>
      </x:c>
      <x:c r="W351" s="11" t="n">
        <x:f>'站点明细'!$F1490</x:f>
        <x:v>819.08</x:v>
      </x:c>
    </x:row>
    <x:row r="352">
      <x:c r="A352" t="str">
        <x:f>TEXT($B352,"mm-dd")</x:f>
        <x:v>04-08</x:v>
      </x:c>
      <x:c r="B352" s="9" t="n">
        <x:f>'站点明细'!$C99</x:f>
        <x:v>46120</x:v>
      </x:c>
      <x:c r="C352" s="10" t="n">
        <x:f>'站点明细'!$E99</x:f>
        <x:v>5814</x:v>
      </x:c>
      <x:c r="D352" s="10" t="n">
        <x:f>'站点明细'!$D99</x:f>
        <x:v>5155</x:v>
      </x:c>
      <x:c r="E352" s="10" t="n">
        <x:f>'站点明细'!$E331</x:f>
        <x:v>1408</x:v>
      </x:c>
      <x:c r="F352" s="10" t="n">
        <x:f>'站点明细'!$D331</x:f>
        <x:v>640</x:v>
      </x:c>
      <x:c r="G352" s="10" t="n">
        <x:f>'站点明细'!$E563</x:f>
        <x:v>514</x:v>
      </x:c>
      <x:c r="H352" s="10" t="n">
        <x:f>'站点明细'!$D563</x:f>
        <x:v>272</x:v>
      </x:c>
      <x:c r="I352" s="10" t="n">
        <x:f>'站点明细'!$E795</x:f>
        <x:v>7</x:v>
      </x:c>
      <x:c r="J352" s="10" t="n">
        <x:f>'站点明细'!$D795</x:f>
        <x:v>6</x:v>
      </x:c>
      <x:c r="K352" s="10" t="n">
        <x:f>'站点明细'!$E1027</x:f>
        <x:v>150</x:v>
      </x:c>
      <x:c r="L352" s="10" t="n">
        <x:f>'站点明细'!$D1027</x:f>
        <x:v>123</x:v>
      </x:c>
      <x:c r="M352" s="10" t="n">
        <x:f>'站点明细'!$E1259</x:f>
        <x:v>73</x:v>
      </x:c>
      <x:c r="N352" s="10" t="n">
        <x:f>'站点明细'!$D1259</x:f>
        <x:v>53</x:v>
      </x:c>
      <x:c r="O352" s="10" t="n">
        <x:f>'站点明细'!$E1491</x:f>
        <x:v>1</x:v>
      </x:c>
      <x:c r="P352" s="10" t="n">
        <x:f>'站点明细'!$D1491</x:f>
        <x:v>1</x:v>
      </x:c>
      <x:c r="Q352" s="11" t="n">
        <x:f>'站点明细'!$F99</x:f>
        <x:v>52789.79</x:v>
      </x:c>
      <x:c r="R352" s="11" t="n">
        <x:f>'站点明细'!$F331</x:f>
        <x:v>13064.02</x:v>
      </x:c>
      <x:c r="S352" s="11" t="n">
        <x:f>'站点明细'!$F563</x:f>
        <x:v>3840.01</x:v>
      </x:c>
      <x:c r="T352" s="11" t="n">
        <x:f>'站点明细'!$F795</x:f>
        <x:v>37.71</x:v>
      </x:c>
      <x:c r="U352" s="11" t="n">
        <x:f>'站点明细'!$F1027</x:f>
        <x:v>1445.54</x:v>
      </x:c>
      <x:c r="V352" s="11" t="n">
        <x:f>'站点明细'!$F1259</x:f>
        <x:v>2284.69</x:v>
      </x:c>
      <x:c r="W352" s="11" t="n">
        <x:f>'站点明细'!$F1491</x:f>
        <x:v>94.99</x:v>
      </x:c>
    </x:row>
    <x:row r="353">
      <x:c r="A353" t="str">
        <x:f>TEXT($B353,"mm-dd")</x:f>
        <x:v>04-09</x:v>
      </x:c>
      <x:c r="B353" s="9" t="n">
        <x:f>'站点明细'!$C100</x:f>
        <x:v>46121</x:v>
      </x:c>
      <x:c r="C353" s="10" t="n">
        <x:f>'站点明细'!$E100</x:f>
        <x:v>8501</x:v>
      </x:c>
      <x:c r="D353" s="10" t="n">
        <x:f>'站点明细'!$D100</x:f>
        <x:v>6037</x:v>
      </x:c>
      <x:c r="E353" s="10" t="n">
        <x:f>'站点明细'!$E332</x:f>
        <x:v>1357</x:v>
      </x:c>
      <x:c r="F353" s="10" t="n">
        <x:f>'站点明细'!$D332</x:f>
        <x:v>643</x:v>
      </x:c>
      <x:c r="G353" s="10" t="n">
        <x:f>'站点明细'!$E564</x:f>
        <x:v>603</x:v>
      </x:c>
      <x:c r="H353" s="10" t="n">
        <x:f>'站点明细'!$D564</x:f>
        <x:v>318</x:v>
      </x:c>
      <x:c r="I353" s="10" t="n">
        <x:f>'站点明细'!$E796</x:f>
        <x:v>3</x:v>
      </x:c>
      <x:c r="J353" s="10" t="n">
        <x:f>'站点明细'!$D796</x:f>
        <x:v>2</x:v>
      </x:c>
      <x:c r="K353" s="10" t="n">
        <x:f>'站点明细'!$E1028</x:f>
        <x:v>124</x:v>
      </x:c>
      <x:c r="L353" s="10" t="n">
        <x:f>'站点明细'!$D1028</x:f>
        <x:v>102</x:v>
      </x:c>
      <x:c r="M353" s="10" t="n">
        <x:f>'站点明细'!$E1260</x:f>
        <x:v>36</x:v>
      </x:c>
      <x:c r="N353" s="10" t="n">
        <x:f>'站点明细'!$D1260</x:f>
        <x:v>33</x:v>
      </x:c>
      <x:c r="O353" s="10" t="n">
        <x:f>'站点明细'!$E1492</x:f>
        <x:v>7</x:v>
      </x:c>
      <x:c r="P353" s="10" t="n">
        <x:f>'站点明细'!$D1492</x:f>
        <x:v>7</x:v>
      </x:c>
      <x:c r="Q353" s="11" t="n">
        <x:f>'站点明细'!$F100</x:f>
        <x:v>66893.11</x:v>
      </x:c>
      <x:c r="R353" s="11" t="n">
        <x:f>'站点明细'!$F332</x:f>
        <x:v>12542.25</x:v>
      </x:c>
      <x:c r="S353" s="11" t="n">
        <x:f>'站点明细'!$F564</x:f>
        <x:v>4828.69</x:v>
      </x:c>
      <x:c r="T353" s="11" t="n">
        <x:f>'站点明细'!$F796</x:f>
        <x:v>70.42</x:v>
      </x:c>
      <x:c r="U353" s="11" t="n">
        <x:f>'站点明细'!$F1028</x:f>
        <x:v>1175.29</x:v>
      </x:c>
      <x:c r="V353" s="11" t="n">
        <x:f>'站点明细'!$F1260</x:f>
        <x:v>1048.89</x:v>
      </x:c>
      <x:c r="W353" s="11" t="n">
        <x:f>'站点明细'!$F1492</x:f>
        <x:v>387.84</x:v>
      </x:c>
    </x:row>
    <x:row r="354">
      <x:c r="A354" t="str">
        <x:f>TEXT($B354,"mm-dd")</x:f>
        <x:v>04-10</x:v>
      </x:c>
      <x:c r="B354" s="9" t="n">
        <x:f>'站点明细'!$C101</x:f>
        <x:v>46122</x:v>
      </x:c>
      <x:c r="C354" s="10" t="n">
        <x:f>'站点明细'!$E101</x:f>
        <x:v>10035</x:v>
      </x:c>
      <x:c r="D354" s="10" t="n">
        <x:f>'站点明细'!$D101</x:f>
        <x:v>7571</x:v>
      </x:c>
      <x:c r="E354" s="10" t="n">
        <x:f>'站点明细'!$E333</x:f>
        <x:v>1592</x:v>
      </x:c>
      <x:c r="F354" s="10" t="n">
        <x:f>'站点明细'!$D333</x:f>
        <x:v>749</x:v>
      </x:c>
      <x:c r="G354" s="10" t="n">
        <x:f>'站点明细'!$E565</x:f>
        <x:v>899</x:v>
      </x:c>
      <x:c r="H354" s="10" t="n">
        <x:f>'站点明细'!$D565</x:f>
        <x:v>481</x:v>
      </x:c>
      <x:c r="I354" s="10" t="n">
        <x:f>'站点明细'!$E797</x:f>
        <x:v>4</x:v>
      </x:c>
      <x:c r="J354" s="10" t="n">
        <x:f>'站点明细'!$D797</x:f>
        <x:v>2</x:v>
      </x:c>
      <x:c r="K354" s="10" t="n">
        <x:f>'站点明细'!$E1029</x:f>
        <x:v>128</x:v>
      </x:c>
      <x:c r="L354" s="10" t="n">
        <x:f>'站点明细'!$D1029</x:f>
        <x:v>103</x:v>
      </x:c>
      <x:c r="M354" s="10" t="n">
        <x:f>'站点明细'!$E1261</x:f>
        <x:v>64</x:v>
      </x:c>
      <x:c r="N354" s="10" t="n">
        <x:f>'站点明细'!$D1261</x:f>
        <x:v>49</x:v>
      </x:c>
      <x:c r="O354" s="10" t="n">
        <x:f>'站点明细'!$E1493</x:f>
        <x:v>1</x:v>
      </x:c>
      <x:c r="P354" s="10" t="n">
        <x:f>'站点明细'!$D1493</x:f>
        <x:v>1</x:v>
      </x:c>
      <x:c r="Q354" s="11" t="n">
        <x:f>'站点明细'!$F101</x:f>
        <x:v>78876.76</x:v>
      </x:c>
      <x:c r="R354" s="11" t="n">
        <x:f>'站点明细'!$F333</x:f>
        <x:v>14970.02</x:v>
      </x:c>
      <x:c r="S354" s="11" t="n">
        <x:f>'站点明细'!$F565</x:f>
        <x:v>7070.84</x:v>
      </x:c>
      <x:c r="T354" s="11" t="n">
        <x:f>'站点明细'!$F797</x:f>
        <x:v>83.2</x:v>
      </x:c>
      <x:c r="U354" s="11" t="n">
        <x:f>'站点明细'!$F1029</x:f>
        <x:v>1252.44</x:v>
      </x:c>
      <x:c r="V354" s="11" t="n">
        <x:f>'站点明细'!$F1261</x:f>
        <x:v>2267.49</x:v>
      </x:c>
      <x:c r="W354" s="11" t="n">
        <x:f>'站点明细'!$F1493</x:f>
        <x:v>94.99</x:v>
      </x:c>
    </x:row>
    <x:row r="355">
      <x:c r="A355" t="str">
        <x:f>TEXT($B355,"mm-dd")</x:f>
        <x:v>04-11</x:v>
      </x:c>
      <x:c r="B355" s="9" t="n">
        <x:f>'站点明细'!$C102</x:f>
        <x:v>46123</x:v>
      </x:c>
      <x:c r="C355" s="10" t="n">
        <x:f>'站点明细'!$E102</x:f>
        <x:v>6602</x:v>
      </x:c>
      <x:c r="D355" s="10" t="n">
        <x:f>'站点明细'!$D102</x:f>
        <x:v>5853</x:v>
      </x:c>
      <x:c r="E355" s="10" t="n">
        <x:f>'站点明细'!$E334</x:f>
        <x:v>1349</x:v>
      </x:c>
      <x:c r="F355" s="10" t="n">
        <x:f>'站点明细'!$D334</x:f>
        <x:v>645</x:v>
      </x:c>
      <x:c r="G355" s="10" t="n">
        <x:f>'站点明细'!$E566</x:f>
        <x:v>873</x:v>
      </x:c>
      <x:c r="H355" s="10" t="n">
        <x:f>'站点明细'!$D566</x:f>
        <x:v>467</x:v>
      </x:c>
      <x:c r="I355" s="10" t="n">
        <x:f>'站点明细'!$E798</x:f>
        <x:v>3</x:v>
      </x:c>
      <x:c r="J355" s="10" t="n">
        <x:f>'站点明细'!$D798</x:f>
        <x:v>1</x:v>
      </x:c>
      <x:c r="K355" s="10" t="n">
        <x:f>'站点明细'!$E1030</x:f>
        <x:v>117</x:v>
      </x:c>
      <x:c r="L355" s="10" t="n">
        <x:f>'站点明细'!$D1030</x:f>
        <x:v>93</x:v>
      </x:c>
      <x:c r="M355" s="10" t="n">
        <x:f>'站点明细'!$E1262</x:f>
        <x:v>46</x:v>
      </x:c>
      <x:c r="N355" s="10" t="n">
        <x:f>'站点明细'!$D1262</x:f>
        <x:v>37</x:v>
      </x:c>
      <x:c r="O355" s="10" t="n">
        <x:f>'站点明细'!$E1494</x:f>
        <x:v>0</x:v>
      </x:c>
      <x:c r="P355" s="10" t="n">
        <x:f>'站点明细'!$D1494</x:f>
        <x:v>0</x:v>
      </x:c>
      <x:c r="Q355" s="11" t="n">
        <x:f>'站点明细'!$F102</x:f>
        <x:v>58655.2</x:v>
      </x:c>
      <x:c r="R355" s="11" t="n">
        <x:f>'站点明细'!$F334</x:f>
        <x:v>13385.71</x:v>
      </x:c>
      <x:c r="S355" s="11" t="n">
        <x:f>'站点明细'!$F566</x:f>
        <x:v>6873.42</x:v>
      </x:c>
      <x:c r="T355" s="11" t="n">
        <x:f>'站点明细'!$F798</x:f>
        <x:v>54.82</x:v>
      </x:c>
      <x:c r="U355" s="11" t="n">
        <x:f>'站点明细'!$F1030</x:f>
        <x:v>1146.96</x:v>
      </x:c>
      <x:c r="V355" s="11" t="n">
        <x:f>'站点明细'!$F1262</x:f>
        <x:v>1572.02</x:v>
      </x:c>
      <x:c r="W355" s="11" t="n">
        <x:f>'站点明细'!$F1494</x:f>
        <x:v>0</x:v>
      </x:c>
    </x:row>
    <x:row r="356">
      <x:c r="A356" t="str">
        <x:f>TEXT($B356,"mm-dd")</x:f>
        <x:v>04-12</x:v>
      </x:c>
      <x:c r="B356" s="9" t="n">
        <x:f>'站点明细'!$C103</x:f>
        <x:v>46124</x:v>
      </x:c>
      <x:c r="C356" s="10" t="n">
        <x:f>'站点明细'!$E103</x:f>
        <x:v>3074</x:v>
      </x:c>
      <x:c r="D356" s="10" t="n">
        <x:f>'站点明细'!$D103</x:f>
        <x:v>2301</x:v>
      </x:c>
      <x:c r="E356" s="10" t="n">
        <x:f>'站点明细'!$E335</x:f>
        <x:v>1294</x:v>
      </x:c>
      <x:c r="F356" s="10" t="n">
        <x:f>'站点明细'!$D335</x:f>
        <x:v>621</x:v>
      </x:c>
      <x:c r="G356" s="10" t="n">
        <x:f>'站点明细'!$E567</x:f>
        <x:v>654</x:v>
      </x:c>
      <x:c r="H356" s="10" t="n">
        <x:f>'站点明细'!$D567</x:f>
        <x:v>429</x:v>
      </x:c>
      <x:c r="I356" s="10" t="n">
        <x:f>'站点明细'!$E799</x:f>
        <x:v>1</x:v>
      </x:c>
      <x:c r="J356" s="10" t="n">
        <x:f>'站点明细'!$D799</x:f>
        <x:v>1</x:v>
      </x:c>
      <x:c r="K356" s="10" t="n">
        <x:f>'站点明细'!$E1031</x:f>
        <x:v>150</x:v>
      </x:c>
      <x:c r="L356" s="10" t="n">
        <x:f>'站点明细'!$D1031</x:f>
        <x:v>113</x:v>
      </x:c>
      <x:c r="M356" s="10" t="n">
        <x:f>'站点明细'!$E1263</x:f>
        <x:v>21</x:v>
      </x:c>
      <x:c r="N356" s="10" t="n">
        <x:f>'站点明细'!$D1263</x:f>
        <x:v>20</x:v>
      </x:c>
      <x:c r="O356" s="10" t="n">
        <x:f>'站点明细'!$E1495</x:f>
        <x:v>0</x:v>
      </x:c>
      <x:c r="P356" s="10" t="n">
        <x:f>'站点明细'!$D1495</x:f>
        <x:v>0</x:v>
      </x:c>
      <x:c r="Q356" s="11" t="n">
        <x:f>'站点明细'!$F103</x:f>
        <x:v>26014.07</x:v>
      </x:c>
      <x:c r="R356" s="11" t="n">
        <x:f>'站点明细'!$F335</x:f>
        <x:v>12550.49</x:v>
      </x:c>
      <x:c r="S356" s="11" t="n">
        <x:f>'站点明细'!$F567</x:f>
        <x:v>5140.55</x:v>
      </x:c>
      <x:c r="T356" s="11" t="n">
        <x:f>'站点明细'!$F799</x:f>
        <x:v>28.38</x:v>
      </x:c>
      <x:c r="U356" s="11" t="n">
        <x:f>'站点明细'!$F1031</x:f>
        <x:v>1432.08</x:v>
      </x:c>
      <x:c r="V356" s="11" t="n">
        <x:f>'站点明细'!$F1263</x:f>
        <x:v>873.06</x:v>
      </x:c>
      <x:c r="W356" s="11" t="n">
        <x:f>'站点明细'!$F1495</x:f>
        <x:v>0</x:v>
      </x:c>
    </x:row>
    <x:row r="357">
      <x:c r="A357" t="str">
        <x:f>TEXT($B357,"mm-dd")</x:f>
        <x:v>04-13</x:v>
      </x:c>
      <x:c r="B357" s="9" t="n">
        <x:f>'站点明细'!$C104</x:f>
        <x:v>46125</x:v>
      </x:c>
      <x:c r="C357" s="10" t="n">
        <x:f>'站点明细'!$E104</x:f>
        <x:v>3764</x:v>
      </x:c>
      <x:c r="D357" s="10" t="n">
        <x:f>'站点明细'!$D104</x:f>
        <x:v>2964</x:v>
      </x:c>
      <x:c r="E357" s="10" t="n">
        <x:f>'站点明细'!$E336</x:f>
        <x:v>1452</x:v>
      </x:c>
      <x:c r="F357" s="10" t="n">
        <x:f>'站点明细'!$D336</x:f>
        <x:v>689</x:v>
      </x:c>
      <x:c r="G357" s="10" t="n">
        <x:f>'站点明细'!$E568</x:f>
        <x:v>1049</x:v>
      </x:c>
      <x:c r="H357" s="10" t="n">
        <x:f>'站点明细'!$D568</x:f>
        <x:v>521</x:v>
      </x:c>
      <x:c r="I357" s="10" t="n">
        <x:f>'站点明细'!$E800</x:f>
        <x:v>5</x:v>
      </x:c>
      <x:c r="J357" s="10" t="n">
        <x:f>'站点明细'!$D800</x:f>
        <x:v>4</x:v>
      </x:c>
      <x:c r="K357" s="10" t="n">
        <x:f>'站点明细'!$E1032</x:f>
        <x:v>106</x:v>
      </x:c>
      <x:c r="L357" s="10" t="n">
        <x:f>'站点明细'!$D1032</x:f>
        <x:v>93</x:v>
      </x:c>
      <x:c r="M357" s="10" t="n">
        <x:f>'站点明细'!$E1264</x:f>
        <x:v>23</x:v>
      </x:c>
      <x:c r="N357" s="10" t="n">
        <x:f>'站点明细'!$D1264</x:f>
        <x:v>22</x:v>
      </x:c>
      <x:c r="O357" s="10" t="n">
        <x:f>'站点明细'!$E1496</x:f>
        <x:v>1</x:v>
      </x:c>
      <x:c r="P357" s="10" t="n">
        <x:f>'站点明细'!$D1496</x:f>
        <x:v>1</x:v>
      </x:c>
      <x:c r="Q357" s="11" t="n">
        <x:f>'站点明细'!$F104</x:f>
        <x:v>33940.99</x:v>
      </x:c>
      <x:c r="R357" s="11" t="n">
        <x:f>'站点明细'!$F336</x:f>
        <x:v>11874.34</x:v>
      </x:c>
      <x:c r="S357" s="11" t="n">
        <x:f>'站点明细'!$F568</x:f>
        <x:v>7069.97</x:v>
      </x:c>
      <x:c r="T357" s="11" t="n">
        <x:f>'站点明细'!$F800</x:f>
        <x:v>29.74</x:v>
      </x:c>
      <x:c r="U357" s="11" t="n">
        <x:f>'站点明细'!$F1032</x:f>
        <x:v>1044.85</x:v>
      </x:c>
      <x:c r="V357" s="11" t="n">
        <x:f>'站点明细'!$F1264</x:f>
        <x:v>905.03</x:v>
      </x:c>
      <x:c r="W357" s="11" t="n">
        <x:f>'站点明细'!$F1496</x:f>
        <x:v>93.74</x:v>
      </x:c>
    </x:row>
    <x:row r="358">
      <x:c r="A358" t="str">
        <x:f>TEXT($B358,"mm-dd")</x:f>
        <x:v>04-14</x:v>
      </x:c>
      <x:c r="B358" s="9" t="n">
        <x:f>'站点明细'!$C105</x:f>
        <x:v>46126</x:v>
      </x:c>
      <x:c r="C358" s="10" t="n">
        <x:f>'站点明细'!$E105</x:f>
        <x:v>3082</x:v>
      </x:c>
      <x:c r="D358" s="10" t="n">
        <x:f>'站点明细'!$D105</x:f>
        <x:v>2205</x:v>
      </x:c>
      <x:c r="E358" s="10" t="n">
        <x:f>'站点明细'!$E337</x:f>
        <x:v>1570</x:v>
      </x:c>
      <x:c r="F358" s="10" t="n">
        <x:f>'站点明细'!$D337</x:f>
        <x:v>797</x:v>
      </x:c>
      <x:c r="G358" s="10" t="n">
        <x:f>'站点明细'!$E569</x:f>
        <x:v>887</x:v>
      </x:c>
      <x:c r="H358" s="10" t="n">
        <x:f>'站点明细'!$D569</x:f>
        <x:v>461</x:v>
      </x:c>
      <x:c r="I358" s="10" t="n">
        <x:f>'站点明细'!$E801</x:f>
        <x:v>10</x:v>
      </x:c>
      <x:c r="J358" s="10" t="n">
        <x:f>'站点明细'!$D801</x:f>
        <x:v>9</x:v>
      </x:c>
      <x:c r="K358" s="10" t="n">
        <x:f>'站点明细'!$E1033</x:f>
        <x:v>0</x:v>
      </x:c>
      <x:c r="L358" s="10" t="n">
        <x:f>'站点明细'!$D1033</x:f>
        <x:v>0</x:v>
      </x:c>
      <x:c r="M358" s="10" t="n">
        <x:f>'站点明细'!$E1265</x:f>
        <x:v>62</x:v>
      </x:c>
      <x:c r="N358" s="10" t="n">
        <x:f>'站点明细'!$D1265</x:f>
        <x:v>59</x:v>
      </x:c>
      <x:c r="O358" s="10" t="n">
        <x:f>'站点明细'!$E1497</x:f>
        <x:v>0</x:v>
      </x:c>
      <x:c r="P358" s="10" t="n">
        <x:f>'站点明细'!$D1497</x:f>
        <x:v>0</x:v>
      </x:c>
      <x:c r="Q358" s="11" t="n">
        <x:f>'站点明细'!$F105</x:f>
        <x:v>27676.08</x:v>
      </x:c>
      <x:c r="R358" s="11" t="n">
        <x:f>'站点明细'!$F337</x:f>
        <x:v>12626.92</x:v>
      </x:c>
      <x:c r="S358" s="11" t="n">
        <x:f>'站点明细'!$F569</x:f>
        <x:v>5386.3</x:v>
      </x:c>
      <x:c r="T358" s="11" t="n">
        <x:f>'站点明细'!$F801</x:f>
        <x:v>35.12</x:v>
      </x:c>
      <x:c r="U358" s="11" t="n">
        <x:f>'站点明细'!$F1033</x:f>
        <x:v>0</x:v>
      </x:c>
      <x:c r="V358" s="11" t="n">
        <x:f>'站点明细'!$F1265</x:f>
        <x:v>2463.64</x:v>
      </x:c>
      <x:c r="W358" s="11" t="n">
        <x:f>'站点明细'!$F1497</x:f>
        <x:v>0</x:v>
      </x:c>
    </x:row>
    <x:row r="359">
      <x:c r="A359" t="str">
        <x:f>TEXT($B359,"mm-dd")</x:f>
        <x:v>04-15</x:v>
      </x:c>
      <x:c r="B359" s="9" t="n">
        <x:f>'站点明细'!$C106</x:f>
        <x:v>46127</x:v>
      </x:c>
      <x:c r="C359" s="10" t="n">
        <x:f>'站点明细'!$E106</x:f>
        <x:v>3445</x:v>
      </x:c>
      <x:c r="D359" s="10" t="n">
        <x:f>'站点明细'!$D106</x:f>
        <x:v>2265</x:v>
      </x:c>
      <x:c r="E359" s="10" t="n">
        <x:f>'站点明细'!$E338</x:f>
        <x:v>1403</x:v>
      </x:c>
      <x:c r="F359" s="10" t="n">
        <x:f>'站点明细'!$D338</x:f>
        <x:v>661</x:v>
      </x:c>
      <x:c r="G359" s="10" t="n">
        <x:f>'站点明细'!$E570</x:f>
        <x:v>753</x:v>
      </x:c>
      <x:c r="H359" s="10" t="n">
        <x:f>'站点明细'!$D570</x:f>
        <x:v>493</x:v>
      </x:c>
      <x:c r="I359" s="10" t="n">
        <x:f>'站点明细'!$E802</x:f>
        <x:v>27</x:v>
      </x:c>
      <x:c r="J359" s="10" t="n">
        <x:f>'站点明细'!$D802</x:f>
        <x:v>25</x:v>
      </x:c>
      <x:c r="K359" s="10" t="n">
        <x:f>'站点明细'!$E1034</x:f>
        <x:v>182</x:v>
      </x:c>
      <x:c r="L359" s="10" t="n">
        <x:f>'站点明细'!$D1034</x:f>
        <x:v>152</x:v>
      </x:c>
      <x:c r="M359" s="10" t="n">
        <x:f>'站点明细'!$E1266</x:f>
        <x:v>37</x:v>
      </x:c>
      <x:c r="N359" s="10" t="n">
        <x:f>'站点明细'!$D1266</x:f>
        <x:v>33</x:v>
      </x:c>
      <x:c r="O359" s="10" t="n">
        <x:f>'站点明细'!$E1498</x:f>
        <x:v>0</x:v>
      </x:c>
      <x:c r="P359" s="10" t="n">
        <x:f>'站点明细'!$D1498</x:f>
        <x:v>0</x:v>
      </x:c>
      <x:c r="Q359" s="11" t="n">
        <x:f>'站点明细'!$F106</x:f>
        <x:v>29289.29</x:v>
      </x:c>
      <x:c r="R359" s="11" t="n">
        <x:f>'站点明细'!$F338</x:f>
        <x:v>14209.88</x:v>
      </x:c>
      <x:c r="S359" s="11" t="n">
        <x:f>'站点明细'!$F570</x:f>
        <x:v>5343.12</x:v>
      </x:c>
      <x:c r="T359" s="11" t="n">
        <x:f>'站点明细'!$F802</x:f>
        <x:v>21.3</x:v>
      </x:c>
      <x:c r="U359" s="11" t="n">
        <x:f>'站点明细'!$F1034</x:f>
        <x:v>1864.62</x:v>
      </x:c>
      <x:c r="V359" s="11" t="n">
        <x:f>'站点明细'!$F1266</x:f>
        <x:v>1328.52</x:v>
      </x:c>
      <x:c r="W359" s="11" t="n">
        <x:f>'站点明细'!$F1498</x:f>
        <x:v>0</x:v>
      </x:c>
    </x:row>
    <x:row r="360">
      <x:c r="A360" t="str">
        <x:f>TEXT($B360,"mm-dd")</x:f>
        <x:v>04-16</x:v>
      </x:c>
      <x:c r="B360" s="9" t="n">
        <x:f>'站点明细'!$C107</x:f>
        <x:v>46128</x:v>
      </x:c>
      <x:c r="C360" s="10" t="n">
        <x:f>'站点明细'!$E107</x:f>
        <x:v>3500</x:v>
      </x:c>
      <x:c r="D360" s="10" t="n">
        <x:f>'站点明细'!$D107</x:f>
        <x:v>2259</x:v>
      </x:c>
      <x:c r="E360" s="10" t="n">
        <x:f>'站点明细'!$E339</x:f>
        <x:v>1456</x:v>
      </x:c>
      <x:c r="F360" s="10" t="n">
        <x:f>'站点明细'!$D339</x:f>
        <x:v>736</x:v>
      </x:c>
      <x:c r="G360" s="10" t="n">
        <x:f>'站点明细'!$E571</x:f>
        <x:v>275</x:v>
      </x:c>
      <x:c r="H360" s="10" t="n">
        <x:f>'站点明细'!$D571</x:f>
        <x:v>158</x:v>
      </x:c>
      <x:c r="I360" s="10" t="n">
        <x:f>'站点明细'!$E803</x:f>
        <x:v>9</x:v>
      </x:c>
      <x:c r="J360" s="10" t="n">
        <x:f>'站点明细'!$D803</x:f>
        <x:v>8</x:v>
      </x:c>
      <x:c r="K360" s="10" t="n">
        <x:f>'站点明细'!$E1035</x:f>
        <x:v>107</x:v>
      </x:c>
      <x:c r="L360" s="10" t="n">
        <x:f>'站点明细'!$D1035</x:f>
        <x:v>89</x:v>
      </x:c>
      <x:c r="M360" s="10" t="n">
        <x:f>'站点明细'!$E1267</x:f>
        <x:v>42</x:v>
      </x:c>
      <x:c r="N360" s="10" t="n">
        <x:f>'站点明细'!$D1267</x:f>
        <x:v>35</x:v>
      </x:c>
      <x:c r="O360" s="10" t="n">
        <x:f>'站点明细'!$E1499</x:f>
        <x:v>0</x:v>
      </x:c>
      <x:c r="P360" s="10" t="n">
        <x:f>'站点明细'!$D1499</x:f>
        <x:v>0</x:v>
      </x:c>
      <x:c r="Q360" s="11" t="n">
        <x:f>'站点明细'!$F107</x:f>
        <x:v>29568.78</x:v>
      </x:c>
      <x:c r="R360" s="11" t="n">
        <x:f>'站点明细'!$F339</x:f>
        <x:v>14464.19</x:v>
      </x:c>
      <x:c r="S360" s="11" t="n">
        <x:f>'站点明细'!$F571</x:f>
        <x:v>2563.34</x:v>
      </x:c>
      <x:c r="T360" s="11" t="n">
        <x:f>'站点明细'!$F803</x:f>
        <x:v>123.73</x:v>
      </x:c>
      <x:c r="U360" s="11" t="n">
        <x:f>'站点明细'!$F1035</x:f>
        <x:v>1116.44</x:v>
      </x:c>
      <x:c r="V360" s="11" t="n">
        <x:f>'站点明细'!$F1267</x:f>
        <x:v>1633.36</x:v>
      </x:c>
      <x:c r="W360" s="11" t="n">
        <x:f>'站点明细'!$F1499</x:f>
        <x:v>0</x:v>
      </x:c>
    </x:row>
    <x:row r="361">
      <x:c r="A361" t="str">
        <x:f>TEXT($B361,"mm-dd")</x:f>
        <x:v>04-17</x:v>
      </x:c>
      <x:c r="B361" s="9" t="n">
        <x:f>'站点明细'!$C108</x:f>
        <x:v>46129</x:v>
      </x:c>
      <x:c r="C361" s="10" t="n">
        <x:f>'站点明细'!$E108</x:f>
        <x:v>3954</x:v>
      </x:c>
      <x:c r="D361" s="10" t="n">
        <x:f>'站点明细'!$D108</x:f>
        <x:v>2701</x:v>
      </x:c>
      <x:c r="E361" s="10" t="n">
        <x:f>'站点明细'!$E340</x:f>
        <x:v>1451</x:v>
      </x:c>
      <x:c r="F361" s="10" t="n">
        <x:f>'站点明细'!$D340</x:f>
        <x:v>710</x:v>
      </x:c>
      <x:c r="G361" s="10" t="n">
        <x:f>'站点明细'!$E572</x:f>
        <x:v>307</x:v>
      </x:c>
      <x:c r="H361" s="10" t="n">
        <x:f>'站点明细'!$D572</x:f>
        <x:v>178</x:v>
      </x:c>
      <x:c r="I361" s="10" t="n">
        <x:f>'站点明细'!$E804</x:f>
        <x:v>7</x:v>
      </x:c>
      <x:c r="J361" s="10" t="n">
        <x:f>'站点明细'!$D804</x:f>
        <x:v>7</x:v>
      </x:c>
      <x:c r="K361" s="10" t="n">
        <x:f>'站点明细'!$E1036</x:f>
        <x:v>147</x:v>
      </x:c>
      <x:c r="L361" s="10" t="n">
        <x:f>'站点明细'!$D1036</x:f>
        <x:v>117</x:v>
      </x:c>
      <x:c r="M361" s="10" t="n">
        <x:f>'站点明细'!$E1268</x:f>
        <x:v>60</x:v>
      </x:c>
      <x:c r="N361" s="10" t="n">
        <x:f>'站点明细'!$D1268</x:f>
        <x:v>51</x:v>
      </x:c>
      <x:c r="O361" s="10" t="n">
        <x:f>'站点明细'!$E1500</x:f>
        <x:v>0</x:v>
      </x:c>
      <x:c r="P361" s="10" t="n">
        <x:f>'站点明细'!$D1500</x:f>
        <x:v>0</x:v>
      </x:c>
      <x:c r="Q361" s="11" t="n">
        <x:f>'站点明细'!$F108</x:f>
        <x:v>32086.69</x:v>
      </x:c>
      <x:c r="R361" s="11" t="n">
        <x:f>'站点明细'!$F340</x:f>
        <x:v>13151.33</x:v>
      </x:c>
      <x:c r="S361" s="11" t="n">
        <x:f>'站点明细'!$F572</x:f>
        <x:v>2909.99</x:v>
      </x:c>
      <x:c r="T361" s="11" t="n">
        <x:f>'站点明细'!$F804</x:f>
        <x:v>-6.05</x:v>
      </x:c>
      <x:c r="U361" s="11" t="n">
        <x:f>'站点明细'!$F1036</x:f>
        <x:v>1386.02</x:v>
      </x:c>
      <x:c r="V361" s="11" t="n">
        <x:f>'站点明细'!$F1268</x:f>
        <x:v>2546.57</x:v>
      </x:c>
      <x:c r="W361" s="11" t="n">
        <x:f>'站点明细'!$F1500</x:f>
        <x:v>0</x:v>
      </x:c>
    </x:row>
    <x:row r="362">
      <x:c r="A362" t="str">
        <x:f>TEXT($B362,"mm-dd")</x:f>
        <x:v>04-18</x:v>
      </x:c>
      <x:c r="B362" s="9" t="n">
        <x:f>'站点明细'!$C109</x:f>
        <x:v>46130</x:v>
      </x:c>
      <x:c r="C362" s="10" t="n">
        <x:f>'站点明细'!$E109</x:f>
        <x:v>3630</x:v>
      </x:c>
      <x:c r="D362" s="10" t="n">
        <x:f>'站点明细'!$D109</x:f>
        <x:v>2268</x:v>
      </x:c>
      <x:c r="E362" s="10" t="n">
        <x:f>'站点明细'!$E341</x:f>
        <x:v>1334</x:v>
      </x:c>
      <x:c r="F362" s="10" t="n">
        <x:f>'站点明细'!$D341</x:f>
        <x:v>617</x:v>
      </x:c>
      <x:c r="G362" s="10" t="n">
        <x:f>'站点明细'!$E573</x:f>
        <x:v>338</x:v>
      </x:c>
      <x:c r="H362" s="10" t="n">
        <x:f>'站点明细'!$D573</x:f>
        <x:v>190</x:v>
      </x:c>
      <x:c r="I362" s="10" t="n">
        <x:f>'站点明细'!$E805</x:f>
        <x:v>6</x:v>
      </x:c>
      <x:c r="J362" s="10" t="n">
        <x:f>'站点明细'!$D805</x:f>
        <x:v>4</x:v>
      </x:c>
      <x:c r="K362" s="10" t="n">
        <x:f>'站点明细'!$E1037</x:f>
        <x:v>134</x:v>
      </x:c>
      <x:c r="L362" s="10" t="n">
        <x:f>'站点明细'!$D1037</x:f>
        <x:v>120</x:v>
      </x:c>
      <x:c r="M362" s="10" t="n">
        <x:f>'站点明细'!$E1269</x:f>
        <x:v>77</x:v>
      </x:c>
      <x:c r="N362" s="10" t="n">
        <x:f>'站点明细'!$D1269</x:f>
        <x:v>69</x:v>
      </x:c>
      <x:c r="O362" s="10" t="n">
        <x:f>'站点明细'!$E1501</x:f>
        <x:v>0</x:v>
      </x:c>
      <x:c r="P362" s="10" t="n">
        <x:f>'站点明细'!$D1501</x:f>
        <x:v>0</x:v>
      </x:c>
      <x:c r="Q362" s="11" t="n">
        <x:f>'站点明细'!$F109</x:f>
        <x:v>28424.01</x:v>
      </x:c>
      <x:c r="R362" s="11" t="n">
        <x:f>'站点明细'!$F341</x:f>
        <x:v>12376.98</x:v>
      </x:c>
      <x:c r="S362" s="11" t="n">
        <x:f>'站点明细'!$F573</x:f>
        <x:v>3107.05</x:v>
      </x:c>
      <x:c r="T362" s="11" t="n">
        <x:f>'站点明细'!$F805</x:f>
        <x:v>81.47</x:v>
      </x:c>
      <x:c r="U362" s="11" t="n">
        <x:f>'站点明细'!$F1037</x:f>
        <x:v>1380.51</x:v>
      </x:c>
      <x:c r="V362" s="11" t="n">
        <x:f>'站点明细'!$F1269</x:f>
        <x:v>2457.1</x:v>
      </x:c>
      <x:c r="W362" s="11" t="n">
        <x:f>'站点明细'!$F1501</x:f>
        <x:v>0</x:v>
      </x:c>
    </x:row>
    <x:row r="363">
      <x:c r="A363" t="str">
        <x:f>TEXT($B363,"mm-dd")</x:f>
        <x:v>04-19</x:v>
      </x:c>
      <x:c r="B363" s="9" t="n">
        <x:f>'站点明细'!$C110</x:f>
        <x:v>46131</x:v>
      </x:c>
      <x:c r="C363" s="10" t="n">
        <x:f>'站点明细'!$E110</x:f>
        <x:v>3890</x:v>
      </x:c>
      <x:c r="D363" s="10" t="n">
        <x:f>'站点明细'!$D110</x:f>
        <x:v>2436</x:v>
      </x:c>
      <x:c r="E363" s="10" t="n">
        <x:f>'站点明细'!$E342</x:f>
        <x:v>1144</x:v>
      </x:c>
      <x:c r="F363" s="10" t="n">
        <x:f>'站点明细'!$D342</x:f>
        <x:v>545</x:v>
      </x:c>
      <x:c r="G363" s="10" t="n">
        <x:f>'站点明细'!$E574</x:f>
        <x:v>391</x:v>
      </x:c>
      <x:c r="H363" s="10" t="n">
        <x:f>'站点明细'!$D574</x:f>
        <x:v>212</x:v>
      </x:c>
      <x:c r="I363" s="10" t="n">
        <x:f>'站点明细'!$E806</x:f>
        <x:v>0</x:v>
      </x:c>
      <x:c r="J363" s="10" t="n">
        <x:f>'站点明细'!$D806</x:f>
        <x:v>0</x:v>
      </x:c>
      <x:c r="K363" s="10" t="n">
        <x:f>'站点明细'!$E1038</x:f>
        <x:v>159</x:v>
      </x:c>
      <x:c r="L363" s="10" t="n">
        <x:f>'站点明细'!$D1038</x:f>
        <x:v>122</x:v>
      </x:c>
      <x:c r="M363" s="10" t="n">
        <x:f>'站点明细'!$E1270</x:f>
        <x:v>105</x:v>
      </x:c>
      <x:c r="N363" s="10" t="n">
        <x:f>'站点明细'!$D1270</x:f>
        <x:v>88</x:v>
      </x:c>
      <x:c r="O363" s="10" t="n">
        <x:f>'站点明细'!$E1502</x:f>
        <x:v>0</x:v>
      </x:c>
      <x:c r="P363" s="10" t="n">
        <x:f>'站点明细'!$D1502</x:f>
        <x:v>0</x:v>
      </x:c>
      <x:c r="Q363" s="11" t="n">
        <x:f>'站点明细'!$F110</x:f>
        <x:v>29442.69</x:v>
      </x:c>
      <x:c r="R363" s="11" t="n">
        <x:f>'站点明细'!$F342</x:f>
        <x:v>10047.01</x:v>
      </x:c>
      <x:c r="S363" s="11" t="n">
        <x:f>'站点明细'!$F574</x:f>
        <x:v>3383.59</x:v>
      </x:c>
      <x:c r="T363" s="11" t="n">
        <x:f>'站点明细'!$F806</x:f>
        <x:v>0</x:v>
      </x:c>
      <x:c r="U363" s="11" t="n">
        <x:f>'站点明细'!$F1038</x:f>
        <x:v>1505.43</x:v>
      </x:c>
      <x:c r="V363" s="11" t="n">
        <x:f>'站点明细'!$F1270</x:f>
        <x:v>3714.99</x:v>
      </x:c>
      <x:c r="W363" s="11" t="n">
        <x:f>'站点明细'!$F1502</x:f>
        <x:v>0</x:v>
      </x:c>
    </x:row>
    <x:row r="364">
      <x:c r="A364" t="str">
        <x:f>TEXT($B364,"mm-dd")</x:f>
        <x:v>04-20</x:v>
      </x:c>
      <x:c r="B364" s="9" t="n">
        <x:f>'站点明细'!$C111</x:f>
        <x:v>46132</x:v>
      </x:c>
      <x:c r="C364" s="10" t="n">
        <x:f>'站点明细'!$E111</x:f>
        <x:v>3480</x:v>
      </x:c>
      <x:c r="D364" s="10" t="n">
        <x:f>'站点明细'!$D111</x:f>
        <x:v>2193</x:v>
      </x:c>
      <x:c r="E364" s="10" t="n">
        <x:f>'站点明细'!$E343</x:f>
        <x:v>1277</x:v>
      </x:c>
      <x:c r="F364" s="10" t="n">
        <x:f>'站点明细'!$D343</x:f>
        <x:v>610</x:v>
      </x:c>
      <x:c r="G364" s="10" t="n">
        <x:f>'站点明细'!$E575</x:f>
        <x:v>366</x:v>
      </x:c>
      <x:c r="H364" s="10" t="n">
        <x:f>'站点明细'!$D575</x:f>
        <x:v>181</x:v>
      </x:c>
      <x:c r="I364" s="10" t="n">
        <x:f>'站点明细'!$E807</x:f>
        <x:v>1</x:v>
      </x:c>
      <x:c r="J364" s="10" t="n">
        <x:f>'站点明细'!$D807</x:f>
        <x:v>1</x:v>
      </x:c>
      <x:c r="K364" s="10" t="n">
        <x:f>'站点明细'!$E1039</x:f>
        <x:v>137</x:v>
      </x:c>
      <x:c r="L364" s="10" t="n">
        <x:f>'站点明细'!$D1039</x:f>
        <x:v>122</x:v>
      </x:c>
      <x:c r="M364" s="10" t="n">
        <x:f>'站点明细'!$E1271</x:f>
        <x:v>21</x:v>
      </x:c>
      <x:c r="N364" s="10" t="n">
        <x:f>'站点明细'!$D1271</x:f>
        <x:v>18</x:v>
      </x:c>
      <x:c r="O364" s="10" t="n">
        <x:f>'站点明细'!$E1503</x:f>
        <x:v>0</x:v>
      </x:c>
      <x:c r="P364" s="10" t="n">
        <x:f>'站点明细'!$D1503</x:f>
        <x:v>0</x:v>
      </x:c>
      <x:c r="Q364" s="11" t="n">
        <x:f>'站点明细'!$F111</x:f>
        <x:v>26303.45</x:v>
      </x:c>
      <x:c r="R364" s="11" t="n">
        <x:f>'站点明细'!$F343</x:f>
        <x:v>11503</x:v>
      </x:c>
      <x:c r="S364" s="11" t="n">
        <x:f>'站点明细'!$F575</x:f>
        <x:v>2977.94</x:v>
      </x:c>
      <x:c r="T364" s="11" t="n">
        <x:f>'站点明细'!$F807</x:f>
        <x:v>28.38</x:v>
      </x:c>
      <x:c r="U364" s="11" t="n">
        <x:f>'站点明细'!$F1039</x:f>
        <x:v>1389.79</x:v>
      </x:c>
      <x:c r="V364" s="11" t="n">
        <x:f>'站点明细'!$F1271</x:f>
        <x:v>1004.74</x:v>
      </x:c>
      <x:c r="W364" s="11" t="n">
        <x:f>'站点明细'!$F1503</x:f>
        <x:v>0</x:v>
      </x:c>
    </x:row>
    <x:row r="365">
      <x:c r="A365" t="str">
        <x:f>TEXT($B365,"mm-dd")</x:f>
        <x:v>04-21</x:v>
      </x:c>
      <x:c r="B365" s="9" t="n">
        <x:f>'站点明细'!$C112</x:f>
        <x:v>46133</x:v>
      </x:c>
      <x:c r="C365" s="10" t="n">
        <x:f>'站点明细'!$E112</x:f>
        <x:v>3712</x:v>
      </x:c>
      <x:c r="D365" s="10" t="n">
        <x:f>'站点明细'!$D112</x:f>
        <x:v>2183</x:v>
      </x:c>
      <x:c r="E365" s="10" t="n">
        <x:f>'站点明细'!$E344</x:f>
        <x:v>1359</x:v>
      </x:c>
      <x:c r="F365" s="10" t="n">
        <x:f>'站点明细'!$D344</x:f>
        <x:v>637</x:v>
      </x:c>
      <x:c r="G365" s="10" t="n">
        <x:f>'站点明细'!$E576</x:f>
        <x:v>431</x:v>
      </x:c>
      <x:c r="H365" s="10" t="n">
        <x:f>'站点明细'!$D576</x:f>
        <x:v>216</x:v>
      </x:c>
      <x:c r="I365" s="10" t="n">
        <x:f>'站点明细'!$E808</x:f>
        <x:v>6</x:v>
      </x:c>
      <x:c r="J365" s="10" t="n">
        <x:f>'站点明细'!$D808</x:f>
        <x:v>5</x:v>
      </x:c>
      <x:c r="K365" s="10" t="n">
        <x:f>'站点明细'!$E1040</x:f>
        <x:v>122</x:v>
      </x:c>
      <x:c r="L365" s="10" t="n">
        <x:f>'站点明细'!$D1040</x:f>
        <x:v>101</x:v>
      </x:c>
      <x:c r="M365" s="10" t="n">
        <x:f>'站点明细'!$E1272</x:f>
        <x:v>211</x:v>
      </x:c>
      <x:c r="N365" s="10" t="n">
        <x:f>'站点明细'!$D1272</x:f>
        <x:v>180</x:v>
      </x:c>
      <x:c r="O365" s="10" t="n">
        <x:f>'站点明细'!$E1504</x:f>
        <x:v>0</x:v>
      </x:c>
      <x:c r="P365" s="10" t="n">
        <x:f>'站点明细'!$D1504</x:f>
        <x:v>0</x:v>
      </x:c>
      <x:c r="Q365" s="11" t="n">
        <x:f>'站点明细'!$F112</x:f>
        <x:v>28043.4</x:v>
      </x:c>
      <x:c r="R365" s="11" t="n">
        <x:f>'站点明细'!$F344</x:f>
        <x:v>12057.55</x:v>
      </x:c>
      <x:c r="S365" s="11" t="n">
        <x:f>'站点明细'!$F576</x:f>
        <x:v>3819.24</x:v>
      </x:c>
      <x:c r="T365" s="11" t="n">
        <x:f>'站点明细'!$F808</x:f>
        <x:v>28.88</x:v>
      </x:c>
      <x:c r="U365" s="11" t="n">
        <x:f>'站点明细'!$F1040</x:f>
        <x:v>1244.81</x:v>
      </x:c>
      <x:c r="V365" s="11" t="n">
        <x:f>'站点明细'!$F1272</x:f>
        <x:v>7475.58</x:v>
      </x:c>
      <x:c r="W365" s="11" t="n">
        <x:f>'站点明细'!$F1504</x:f>
        <x:v>0</x:v>
      </x:c>
    </x:row>
    <x:row r="366">
      <x:c r="A366" t="str">
        <x:f>TEXT($B366,"mm-dd")</x:f>
        <x:v>04-22</x:v>
      </x:c>
      <x:c r="B366" s="9" t="n">
        <x:f>'站点明细'!$C113</x:f>
        <x:v>46134</x:v>
      </x:c>
      <x:c r="C366" s="10" t="n">
        <x:f>'站点明细'!$E113</x:f>
        <x:v>3417</x:v>
      </x:c>
      <x:c r="D366" s="10" t="n">
        <x:f>'站点明细'!$D113</x:f>
        <x:v>1912</x:v>
      </x:c>
      <x:c r="E366" s="10" t="n">
        <x:f>'站点明细'!$E345</x:f>
        <x:v>1432</x:v>
      </x:c>
      <x:c r="F366" s="10" t="n">
        <x:f>'站点明细'!$D345</x:f>
        <x:v>656</x:v>
      </x:c>
      <x:c r="G366" s="10" t="n">
        <x:f>'站点明细'!$E577</x:f>
        <x:v>438</x:v>
      </x:c>
      <x:c r="H366" s="10" t="n">
        <x:f>'站点明细'!$D577</x:f>
        <x:v>218</x:v>
      </x:c>
      <x:c r="I366" s="10" t="n">
        <x:f>'站点明细'!$E809</x:f>
        <x:v>4</x:v>
      </x:c>
      <x:c r="J366" s="10" t="n">
        <x:f>'站点明细'!$D809</x:f>
        <x:v>3</x:v>
      </x:c>
      <x:c r="K366" s="10" t="n">
        <x:f>'站点明细'!$E1041</x:f>
        <x:v>101</x:v>
      </x:c>
      <x:c r="L366" s="10" t="n">
        <x:f>'站点明细'!$D1041</x:f>
        <x:v>81</x:v>
      </x:c>
      <x:c r="M366" s="10" t="n">
        <x:f>'站点明细'!$E1273</x:f>
        <x:v>84</x:v>
      </x:c>
      <x:c r="N366" s="10" t="n">
        <x:f>'站点明细'!$D1273</x:f>
        <x:v>71</x:v>
      </x:c>
      <x:c r="O366" s="10" t="n">
        <x:f>'站点明细'!$E1505</x:f>
        <x:v>0</x:v>
      </x:c>
      <x:c r="P366" s="10" t="n">
        <x:f>'站点明细'!$D1505</x:f>
        <x:v>0</x:v>
      </x:c>
      <x:c r="Q366" s="11" t="n">
        <x:f>'站点明细'!$F113</x:f>
        <x:v>26033.96</x:v>
      </x:c>
      <x:c r="R366" s="11" t="n">
        <x:f>'站点明细'!$F345</x:f>
        <x:v>12600.44</x:v>
      </x:c>
      <x:c r="S366" s="11" t="n">
        <x:f>'站点明细'!$F577</x:f>
        <x:v>3655.32</x:v>
      </x:c>
      <x:c r="T366" s="11" t="n">
        <x:f>'站点明细'!$F809</x:f>
        <x:v>30.61</x:v>
      </x:c>
      <x:c r="U366" s="11" t="n">
        <x:f>'站点明细'!$F1041</x:f>
        <x:v>1030.37</x:v>
      </x:c>
      <x:c r="V366" s="11" t="n">
        <x:f>'站点明细'!$F1273</x:f>
        <x:v>2693.61</x:v>
      </x:c>
      <x:c r="W366" s="11" t="n">
        <x:f>'站点明细'!$F1505</x:f>
        <x:v>0</x:v>
      </x:c>
    </x:row>
    <x:row r="367">
      <x:c r="A367" t="str">
        <x:f>TEXT($B367,"mm-dd")</x:f>
        <x:v>04-23</x:v>
      </x:c>
      <x:c r="B367" s="9" t="n">
        <x:f>'站点明细'!$C114</x:f>
        <x:v>46135</x:v>
      </x:c>
      <x:c r="C367" s="10" t="n">
        <x:f>'站点明细'!$E114</x:f>
        <x:v>4562</x:v>
      </x:c>
      <x:c r="D367" s="10" t="n">
        <x:f>'站点明细'!$D114</x:f>
        <x:v>2665</x:v>
      </x:c>
      <x:c r="E367" s="10" t="n">
        <x:f>'站点明细'!$E346</x:f>
        <x:v>1405</x:v>
      </x:c>
      <x:c r="F367" s="10" t="n">
        <x:f>'站点明细'!$D346</x:f>
        <x:v>663</x:v>
      </x:c>
      <x:c r="G367" s="10" t="n">
        <x:f>'站点明细'!$E578</x:f>
        <x:v>310</x:v>
      </x:c>
      <x:c r="H367" s="10" t="n">
        <x:f>'站点明细'!$D578</x:f>
        <x:v>160</x:v>
      </x:c>
      <x:c r="I367" s="10" t="n">
        <x:f>'站点明细'!$E810</x:f>
        <x:v>1</x:v>
      </x:c>
      <x:c r="J367" s="10" t="n">
        <x:f>'站点明细'!$D810</x:f>
        <x:v>1</x:v>
      </x:c>
      <x:c r="K367" s="10" t="n">
        <x:f>'站点明细'!$E1042</x:f>
        <x:v>135</x:v>
      </x:c>
      <x:c r="L367" s="10" t="n">
        <x:f>'站点明细'!$D1042</x:f>
        <x:v>110</x:v>
      </x:c>
      <x:c r="M367" s="10" t="n">
        <x:f>'站点明细'!$E1274</x:f>
        <x:v>90</x:v>
      </x:c>
      <x:c r="N367" s="10" t="n">
        <x:f>'站点明细'!$D1274</x:f>
        <x:v>77</x:v>
      </x:c>
      <x:c r="O367" s="10" t="n">
        <x:f>'站点明细'!$E1506</x:f>
        <x:v>1</x:v>
      </x:c>
      <x:c r="P367" s="10" t="n">
        <x:f>'站点明细'!$D1506</x:f>
        <x:v>1</x:v>
      </x:c>
      <x:c r="Q367" s="11" t="n">
        <x:f>'站点明细'!$F114</x:f>
        <x:v>33657.75</x:v>
      </x:c>
      <x:c r="R367" s="11" t="n">
        <x:f>'站点明细'!$F346</x:f>
        <x:v>11839.25</x:v>
      </x:c>
      <x:c r="S367" s="11" t="n">
        <x:f>'站点明细'!$F578</x:f>
        <x:v>2908.65</x:v>
      </x:c>
      <x:c r="T367" s="11" t="n">
        <x:f>'站点明细'!$F810</x:f>
        <x:v>28.38</x:v>
      </x:c>
      <x:c r="U367" s="11" t="n">
        <x:f>'站点明细'!$F1042</x:f>
        <x:v>1310.11</x:v>
      </x:c>
      <x:c r="V367" s="11" t="n">
        <x:f>'站点明细'!$F1274</x:f>
        <x:v>3271.82</x:v>
      </x:c>
      <x:c r="W367" s="11" t="n">
        <x:f>'站点明细'!$F1506</x:f>
        <x:v>68.74</x:v>
      </x:c>
    </x:row>
    <x:row r="368">
      <x:c r="A368" t="str">
        <x:f>TEXT($B368,"mm-dd")</x:f>
        <x:v>04-24</x:v>
      </x:c>
      <x:c r="B368" s="9" t="n">
        <x:f>'站点明细'!$C115</x:f>
        <x:v>46136</x:v>
      </x:c>
      <x:c r="C368" s="10" t="n">
        <x:f>'站点明细'!$E115</x:f>
        <x:v>2815</x:v>
      </x:c>
      <x:c r="D368" s="10" t="n">
        <x:f>'站点明细'!$D115</x:f>
        <x:v>1832</x:v>
      </x:c>
      <x:c r="E368" s="10" t="n">
        <x:f>'站点明细'!$E347</x:f>
        <x:v>1328</x:v>
      </x:c>
      <x:c r="F368" s="10" t="n">
        <x:f>'站点明细'!$D347</x:f>
        <x:v>627</x:v>
      </x:c>
      <x:c r="G368" s="10" t="n">
        <x:f>'站点明细'!$E579</x:f>
        <x:v>365</x:v>
      </x:c>
      <x:c r="H368" s="10" t="n">
        <x:f>'站点明细'!$D579</x:f>
        <x:v>175</x:v>
      </x:c>
      <x:c r="I368" s="10" t="n">
        <x:f>'站点明细'!$E811</x:f>
        <x:v>14</x:v>
      </x:c>
      <x:c r="J368" s="10" t="n">
        <x:f>'站点明细'!$D811</x:f>
        <x:v>13</x:v>
      </x:c>
      <x:c r="K368" s="10" t="n">
        <x:f>'站点明细'!$E1043</x:f>
        <x:v>262</x:v>
      </x:c>
      <x:c r="L368" s="10" t="n">
        <x:f>'站点明细'!$D1043</x:f>
        <x:v>134</x:v>
      </x:c>
      <x:c r="M368" s="10" t="n">
        <x:f>'站点明细'!$E1275</x:f>
        <x:v>57</x:v>
      </x:c>
      <x:c r="N368" s="10" t="n">
        <x:f>'站点明细'!$D1275</x:f>
        <x:v>51</x:v>
      </x:c>
      <x:c r="O368" s="10" t="n">
        <x:f>'站点明细'!$E1507</x:f>
        <x:v>0</x:v>
      </x:c>
      <x:c r="P368" s="10" t="n">
        <x:f>'站点明细'!$D1507</x:f>
        <x:v>0</x:v>
      </x:c>
      <x:c r="Q368" s="11" t="n">
        <x:f>'站点明细'!$F115</x:f>
        <x:v>23322.66</x:v>
      </x:c>
      <x:c r="R368" s="11" t="n">
        <x:f>'站点明细'!$F347</x:f>
        <x:v>12003.44</x:v>
      </x:c>
      <x:c r="S368" s="11" t="n">
        <x:f>'站点明细'!$F579</x:f>
        <x:v>3459.38</x:v>
      </x:c>
      <x:c r="T368" s="11" t="n">
        <x:f>'站点明细'!$F811</x:f>
        <x:v>80.46</x:v>
      </x:c>
      <x:c r="U368" s="11" t="n">
        <x:f>'站点明细'!$F1043</x:f>
        <x:v>1613.71</x:v>
      </x:c>
      <x:c r="V368" s="11" t="n">
        <x:f>'站点明细'!$F1275</x:f>
        <x:v>2138.31</x:v>
      </x:c>
      <x:c r="W368" s="11" t="n">
        <x:f>'站点明细'!$F1507</x:f>
        <x:v>0</x:v>
      </x:c>
    </x:row>
    <x:row r="369">
      <x:c r="A369" t="str">
        <x:f>TEXT($B369,"mm-dd")</x:f>
        <x:v>04-25</x:v>
      </x:c>
      <x:c r="B369" s="9" t="n">
        <x:f>'站点明细'!$C116</x:f>
        <x:v>46137</x:v>
      </x:c>
      <x:c r="C369" s="10" t="n">
        <x:f>'站点明细'!$E116</x:f>
        <x:v>3343</x:v>
      </x:c>
      <x:c r="D369" s="10" t="n">
        <x:f>'站点明细'!$D116</x:f>
        <x:v>2108</x:v>
      </x:c>
      <x:c r="E369" s="10" t="n">
        <x:f>'站点明细'!$E348</x:f>
        <x:v>1314</x:v>
      </x:c>
      <x:c r="F369" s="10" t="n">
        <x:f>'站点明细'!$D348</x:f>
        <x:v>586</x:v>
      </x:c>
      <x:c r="G369" s="10" t="n">
        <x:f>'站点明细'!$E580</x:f>
        <x:v>353</x:v>
      </x:c>
      <x:c r="H369" s="10" t="n">
        <x:f>'站点明细'!$D580</x:f>
        <x:v>192</x:v>
      </x:c>
      <x:c r="I369" s="10" t="n">
        <x:f>'站点明细'!$E812</x:f>
        <x:v>7</x:v>
      </x:c>
      <x:c r="J369" s="10" t="n">
        <x:f>'站点明细'!$D812</x:f>
        <x:v>7</x:v>
      </x:c>
      <x:c r="K369" s="10" t="n">
        <x:f>'站点明细'!$E1044</x:f>
        <x:v>274</x:v>
      </x:c>
      <x:c r="L369" s="10" t="n">
        <x:f>'站点明细'!$D1044</x:f>
        <x:v>137</x:v>
      </x:c>
      <x:c r="M369" s="10" t="n">
        <x:f>'站点明细'!$E1276</x:f>
        <x:v>62</x:v>
      </x:c>
      <x:c r="N369" s="10" t="n">
        <x:f>'站点明细'!$D1276</x:f>
        <x:v>51</x:v>
      </x:c>
      <x:c r="O369" s="10" t="n">
        <x:f>'站点明细'!$E1508</x:f>
        <x:v>0</x:v>
      </x:c>
      <x:c r="P369" s="10" t="n">
        <x:f>'站点明细'!$D1508</x:f>
        <x:v>0</x:v>
      </x:c>
      <x:c r="Q369" s="11" t="n">
        <x:f>'站点明细'!$F116</x:f>
        <x:v>27827.01</x:v>
      </x:c>
      <x:c r="R369" s="11" t="n">
        <x:f>'站点明细'!$F348</x:f>
        <x:v>10848.06</x:v>
      </x:c>
      <x:c r="S369" s="11" t="n">
        <x:f>'站点明细'!$F580</x:f>
        <x:v>3272.86</x:v>
      </x:c>
      <x:c r="T369" s="11" t="n">
        <x:f>'站点明细'!$F812</x:f>
        <x:v>84.24</x:v>
      </x:c>
      <x:c r="U369" s="11" t="n">
        <x:f>'站点明细'!$F1044</x:f>
        <x:v>1606.02</x:v>
      </x:c>
      <x:c r="V369" s="11" t="n">
        <x:f>'站点明细'!$F1276</x:f>
        <x:v>2434.96</x:v>
      </x:c>
      <x:c r="W369" s="11" t="n">
        <x:f>'站点明细'!$F1508</x:f>
        <x:v>0</x:v>
      </x:c>
    </x:row>
    <x:row r="370">
      <x:c r="A370" t="str">
        <x:f>TEXT($B370,"mm-dd")</x:f>
        <x:v>04-26</x:v>
      </x:c>
      <x:c r="B370" s="9" t="n">
        <x:f>'站点明细'!$C117</x:f>
        <x:v>46138</x:v>
      </x:c>
      <x:c r="C370" s="10" t="n">
        <x:f>'站点明细'!$E117</x:f>
        <x:v>2676</x:v>
      </x:c>
      <x:c r="D370" s="10" t="n">
        <x:f>'站点明细'!$D117</x:f>
        <x:v>1745</x:v>
      </x:c>
      <x:c r="E370" s="10" t="n">
        <x:f>'站点明细'!$E349</x:f>
        <x:v>1019</x:v>
      </x:c>
      <x:c r="F370" s="10" t="n">
        <x:f>'站点明细'!$D349</x:f>
        <x:v>537</x:v>
      </x:c>
      <x:c r="G370" s="10" t="n">
        <x:f>'站点明细'!$E581</x:f>
        <x:v>0</x:v>
      </x:c>
      <x:c r="H370" s="10" t="n">
        <x:f>'站点明细'!$D581</x:f>
        <x:v>0</x:v>
      </x:c>
      <x:c r="I370" s="10" t="n">
        <x:f>'站点明细'!$E813</x:f>
        <x:v>8</x:v>
      </x:c>
      <x:c r="J370" s="10" t="n">
        <x:f>'站点明细'!$D813</x:f>
        <x:v>4</x:v>
      </x:c>
      <x:c r="K370" s="10" t="n">
        <x:f>'站点明细'!$E1045</x:f>
        <x:v>195</x:v>
      </x:c>
      <x:c r="L370" s="10" t="n">
        <x:f>'站点明细'!$D1045</x:f>
        <x:v>98</x:v>
      </x:c>
      <x:c r="M370" s="10" t="n">
        <x:f>'站点明细'!$E1277</x:f>
        <x:v>37</x:v>
      </x:c>
      <x:c r="N370" s="10" t="n">
        <x:f>'站点明细'!$D1277</x:f>
        <x:v>32</x:v>
      </x:c>
      <x:c r="O370" s="10" t="n">
        <x:f>'站点明细'!$E1509</x:f>
        <x:v>0</x:v>
      </x:c>
      <x:c r="P370" s="10" t="n">
        <x:f>'站点明细'!$D1509</x:f>
        <x:v>0</x:v>
      </x:c>
      <x:c r="Q370" s="11" t="n">
        <x:f>'站点明细'!$F117</x:f>
        <x:v>22207.28</x:v>
      </x:c>
      <x:c r="R370" s="11" t="n">
        <x:f>'站点明细'!$F349</x:f>
        <x:v>9887.67</x:v>
      </x:c>
      <x:c r="S370" s="11" t="n">
        <x:f>'站点明细'!$F581</x:f>
        <x:v>0</x:v>
      </x:c>
      <x:c r="T370" s="11" t="n">
        <x:f>'站点明细'!$F813</x:f>
        <x:v>180.06</x:v>
      </x:c>
      <x:c r="U370" s="11" t="n">
        <x:f>'站点明细'!$F1045</x:f>
        <x:v>1110.36</x:v>
      </x:c>
      <x:c r="V370" s="11" t="n">
        <x:f>'站点明细'!$F1277</x:f>
        <x:v>1556.93</x:v>
      </x:c>
      <x:c r="W370" s="11" t="n">
        <x:f>'站点明细'!$F1509</x:f>
        <x:v>0</x:v>
      </x:c>
    </x:row>
    <x:row r="371">
      <x:c r="A371" t="str">
        <x:f>TEXT($B371,"mm-dd")</x:f>
        <x:v>04-27</x:v>
      </x:c>
      <x:c r="B371" s="9" t="n">
        <x:f>'站点明细'!$C118</x:f>
        <x:v>46139</x:v>
      </x:c>
      <x:c r="C371" s="10" t="n">
        <x:f>'站点明细'!$E118</x:f>
        <x:v>2630</x:v>
      </x:c>
      <x:c r="D371" s="10" t="n">
        <x:f>'站点明细'!$D118</x:f>
        <x:v>1861</x:v>
      </x:c>
      <x:c r="E371" s="10" t="n">
        <x:f>'站点明细'!$E350</x:f>
        <x:v>1058</x:v>
      </x:c>
      <x:c r="F371" s="10" t="n">
        <x:f>'站点明细'!$D350</x:f>
        <x:v>546</x:v>
      </x:c>
      <x:c r="G371" s="10" t="n">
        <x:f>'站点明细'!$E582</x:f>
        <x:v>528</x:v>
      </x:c>
      <x:c r="H371" s="10" t="n">
        <x:f>'站点明细'!$D582</x:f>
        <x:v>289</x:v>
      </x:c>
      <x:c r="I371" s="10" t="n">
        <x:f>'站点明细'!$E814</x:f>
        <x:v>6</x:v>
      </x:c>
      <x:c r="J371" s="10" t="n">
        <x:f>'站点明细'!$D814</x:f>
        <x:v>6</x:v>
      </x:c>
      <x:c r="K371" s="10" t="n">
        <x:f>'站点明细'!$E1046</x:f>
        <x:v>170</x:v>
      </x:c>
      <x:c r="L371" s="10" t="n">
        <x:f>'站点明细'!$D1046</x:f>
        <x:v>85</x:v>
      </x:c>
      <x:c r="M371" s="10" t="n">
        <x:f>'站点明细'!$E1278</x:f>
        <x:v>51</x:v>
      </x:c>
      <x:c r="N371" s="10" t="n">
        <x:f>'站点明细'!$D1278</x:f>
        <x:v>48</x:v>
      </x:c>
      <x:c r="O371" s="10" t="n">
        <x:f>'站点明细'!$E1510</x:f>
        <x:v>0</x:v>
      </x:c>
      <x:c r="P371" s="10" t="n">
        <x:f>'站点明细'!$D1510</x:f>
        <x:v>0</x:v>
      </x:c>
      <x:c r="Q371" s="11" t="n">
        <x:f>'站点明细'!$F118</x:f>
        <x:v>22969.82</x:v>
      </x:c>
      <x:c r="R371" s="11" t="n">
        <x:f>'站点明细'!$F350</x:f>
        <x:v>11155.72</x:v>
      </x:c>
      <x:c r="S371" s="11" t="n">
        <x:f>'站点明细'!$F582</x:f>
        <x:v>4809.23</x:v>
      </x:c>
      <x:c r="T371" s="11" t="n">
        <x:f>'站点明细'!$F814</x:f>
        <x:v>53.31</x:v>
      </x:c>
      <x:c r="U371" s="11" t="n">
        <x:f>'站点明细'!$F1046</x:f>
        <x:v>1007.8</x:v>
      </x:c>
      <x:c r="V371" s="11" t="n">
        <x:f>'站点明细'!$F1278</x:f>
        <x:v>2392.1</x:v>
      </x:c>
      <x:c r="W371" s="11" t="n">
        <x:f>'站点明细'!$F1510</x:f>
        <x:v>0</x:v>
      </x:c>
    </x:row>
    <x:row r="372">
      <x:c r="A372" t="str">
        <x:f>TEXT($B372,"mm-dd")</x:f>
        <x:v>04-28</x:v>
      </x:c>
      <x:c r="B372" s="9" t="n">
        <x:f>'站点明细'!$C119</x:f>
        <x:v>46140</x:v>
      </x:c>
      <x:c r="C372" s="10" t="n">
        <x:f>'站点明细'!$E119</x:f>
        <x:v>3510</x:v>
      </x:c>
      <x:c r="D372" s="10" t="n">
        <x:f>'站点明细'!$D119</x:f>
        <x:v>1914</x:v>
      </x:c>
      <x:c r="E372" s="10" t="n">
        <x:f>'站点明细'!$E351</x:f>
        <x:v>960</x:v>
      </x:c>
      <x:c r="F372" s="10" t="n">
        <x:f>'站点明细'!$D351</x:f>
        <x:v>482</x:v>
      </x:c>
      <x:c r="G372" s="10" t="n">
        <x:f>'站点明细'!$E583</x:f>
        <x:v>552</x:v>
      </x:c>
      <x:c r="H372" s="10" t="n">
        <x:f>'站点明细'!$D583</x:f>
        <x:v>319</x:v>
      </x:c>
      <x:c r="I372" s="10" t="n">
        <x:f>'站点明细'!$E815</x:f>
        <x:v>10</x:v>
      </x:c>
      <x:c r="J372" s="10" t="n">
        <x:f>'站点明细'!$D815</x:f>
        <x:v>10</x:v>
      </x:c>
      <x:c r="K372" s="10" t="n">
        <x:f>'站点明细'!$E1047</x:f>
        <x:v>181</x:v>
      </x:c>
      <x:c r="L372" s="10" t="n">
        <x:f>'站点明细'!$D1047</x:f>
        <x:v>90</x:v>
      </x:c>
      <x:c r="M372" s="10" t="n">
        <x:f>'站点明细'!$E1279</x:f>
        <x:v>71</x:v>
      </x:c>
      <x:c r="N372" s="10" t="n">
        <x:f>'站点明细'!$D1279</x:f>
        <x:v>68</x:v>
      </x:c>
      <x:c r="O372" s="10" t="n">
        <x:f>'站点明细'!$E1511</x:f>
        <x:v>0</x:v>
      </x:c>
      <x:c r="P372" s="10" t="n">
        <x:f>'站点明细'!$D1511</x:f>
        <x:v>0</x:v>
      </x:c>
      <x:c r="Q372" s="11" t="n">
        <x:f>'站点明细'!$F119</x:f>
        <x:v>29091.72</x:v>
      </x:c>
      <x:c r="R372" s="11" t="n">
        <x:f>'站点明细'!$F351</x:f>
        <x:v>9981.44</x:v>
      </x:c>
      <x:c r="S372" s="11" t="n">
        <x:f>'站点明细'!$F583</x:f>
        <x:v>4483.2</x:v>
      </x:c>
      <x:c r="T372" s="11" t="n">
        <x:f>'站点明细'!$F815</x:f>
        <x:v>-8.64</x:v>
      </x:c>
      <x:c r="U372" s="11" t="n">
        <x:f>'站点明细'!$F1047</x:f>
        <x:v>993.36</x:v>
      </x:c>
      <x:c r="V372" s="11" t="n">
        <x:f>'站点明细'!$F1279</x:f>
        <x:v>2572.3</x:v>
      </x:c>
      <x:c r="W372" s="11" t="n">
        <x:f>'站点明细'!$F1511</x:f>
        <x:v>0</x:v>
      </x:c>
    </x:row>
    <x:row r="373">
      <x:c r="A373" t="str">
        <x:f>TEXT($B373,"mm-dd")</x:f>
        <x:v>04-29</x:v>
      </x:c>
      <x:c r="B373" s="9" t="n">
        <x:f>'站点明细'!$C120</x:f>
        <x:v>46141</x:v>
      </x:c>
      <x:c r="C373" s="10" t="n">
        <x:f>'站点明细'!$E120</x:f>
        <x:v>2818</x:v>
      </x:c>
      <x:c r="D373" s="10" t="n">
        <x:f>'站点明细'!$D120</x:f>
        <x:v>1833</x:v>
      </x:c>
      <x:c r="E373" s="10" t="n">
        <x:f>'站点明细'!$E352</x:f>
        <x:v>1359</x:v>
      </x:c>
      <x:c r="F373" s="10" t="n">
        <x:f>'站点明细'!$D352</x:f>
        <x:v>795</x:v>
      </x:c>
      <x:c r="G373" s="10" t="n">
        <x:f>'站点明细'!$E584</x:f>
        <x:v>493</x:v>
      </x:c>
      <x:c r="H373" s="10" t="n">
        <x:f>'站点明细'!$D584</x:f>
        <x:v>297</x:v>
      </x:c>
      <x:c r="I373" s="10" t="n">
        <x:f>'站点明细'!$E816</x:f>
        <x:v>24</x:v>
      </x:c>
      <x:c r="J373" s="10" t="n">
        <x:f>'站点明细'!$D816</x:f>
        <x:v>24</x:v>
      </x:c>
      <x:c r="K373" s="10" t="n">
        <x:f>'站点明细'!$E1048</x:f>
        <x:v>212</x:v>
      </x:c>
      <x:c r="L373" s="10" t="n">
        <x:f>'站点明细'!$D1048</x:f>
        <x:v>106</x:v>
      </x:c>
      <x:c r="M373" s="10" t="n">
        <x:f>'站点明细'!$E1280</x:f>
        <x:v>70</x:v>
      </x:c>
      <x:c r="N373" s="10" t="n">
        <x:f>'站点明细'!$D1280</x:f>
        <x:v>62</x:v>
      </x:c>
      <x:c r="O373" s="10" t="n">
        <x:f>'站点明细'!$E1512</x:f>
        <x:v>0</x:v>
      </x:c>
      <x:c r="P373" s="10" t="n">
        <x:f>'站点明细'!$D1512</x:f>
        <x:v>0</x:v>
      </x:c>
      <x:c r="Q373" s="11" t="n">
        <x:f>'站点明细'!$F120</x:f>
        <x:v>23711.33</x:v>
      </x:c>
      <x:c r="R373" s="11" t="n">
        <x:f>'站点明细'!$F352</x:f>
        <x:v>14104.17</x:v>
      </x:c>
      <x:c r="S373" s="11" t="n">
        <x:f>'站点明细'!$F584</x:f>
        <x:v>3905.59</x:v>
      </x:c>
      <x:c r="T373" s="11" t="n">
        <x:f>'站点明细'!$F816</x:f>
        <x:v>8.51</x:v>
      </x:c>
      <x:c r="U373" s="11" t="n">
        <x:f>'站点明细'!$F1048</x:f>
        <x:v>1199.97</x:v>
      </x:c>
      <x:c r="V373" s="11" t="n">
        <x:f>'站点明细'!$F1280</x:f>
        <x:v>2627.96</x:v>
      </x:c>
      <x:c r="W373" s="11" t="n">
        <x:f>'站点明细'!$F1512</x:f>
        <x:v>0</x:v>
      </x:c>
    </x:row>
    <x:row r="374">
      <x:c r="A374" t="str">
        <x:f>TEXT($B374,"mm-dd")</x:f>
        <x:v>04-30</x:v>
      </x:c>
      <x:c r="B374" s="9" t="n">
        <x:f>'站点明细'!$C121</x:f>
        <x:v>46142</x:v>
      </x:c>
      <x:c r="C374" s="10" t="n">
        <x:f>'站点明细'!$E121</x:f>
        <x:v>2680</x:v>
      </x:c>
      <x:c r="D374" s="10" t="n">
        <x:f>'站点明细'!$D121</x:f>
        <x:v>1681</x:v>
      </x:c>
      <x:c r="E374" s="10" t="n">
        <x:f>'站点明细'!$E353</x:f>
        <x:v>1026</x:v>
      </x:c>
      <x:c r="F374" s="10" t="n">
        <x:f>'站点明细'!$D353</x:f>
        <x:v>568</x:v>
      </x:c>
      <x:c r="G374" s="10" t="n">
        <x:f>'站点明细'!$E585</x:f>
        <x:v>16</x:v>
      </x:c>
      <x:c r="H374" s="10" t="n">
        <x:f>'站点明细'!$D585</x:f>
        <x:v>3</x:v>
      </x:c>
      <x:c r="I374" s="10" t="n">
        <x:f>'站点明细'!$E817</x:f>
        <x:v>7</x:v>
      </x:c>
      <x:c r="J374" s="10" t="n">
        <x:f>'站点明细'!$D817</x:f>
        <x:v>7</x:v>
      </x:c>
      <x:c r="K374" s="10" t="n">
        <x:f>'站点明细'!$E1049</x:f>
        <x:v>166</x:v>
      </x:c>
      <x:c r="L374" s="10" t="n">
        <x:f>'站点明细'!$D1049</x:f>
        <x:v>79</x:v>
      </x:c>
      <x:c r="M374" s="10" t="n">
        <x:f>'站点明细'!$E1281</x:f>
        <x:v>64</x:v>
      </x:c>
      <x:c r="N374" s="10" t="n">
        <x:f>'站点明细'!$D1281</x:f>
        <x:v>58</x:v>
      </x:c>
      <x:c r="O374" s="10" t="n">
        <x:f>'站点明细'!$E1513</x:f>
        <x:v>0</x:v>
      </x:c>
      <x:c r="P374" s="10" t="n">
        <x:f>'站点明细'!$D1513</x:f>
        <x:v>0</x:v>
      </x:c>
      <x:c r="Q374" s="11" t="n">
        <x:f>'站点明细'!$F121</x:f>
        <x:v>23838.95</x:v>
      </x:c>
      <x:c r="R374" s="11" t="n">
        <x:f>'站点明细'!$F353</x:f>
        <x:v>11348.11</x:v>
      </x:c>
      <x:c r="S374" s="11" t="n">
        <x:f>'站点明细'!$F585</x:f>
        <x:v>35.54</x:v>
      </x:c>
      <x:c r="T374" s="11" t="n">
        <x:f>'站点明细'!$F817</x:f>
        <x:v>23.2</x:v>
      </x:c>
      <x:c r="U374" s="11" t="n">
        <x:f>'站点明细'!$F1049</x:f>
        <x:v>1137.79</x:v>
      </x:c>
      <x:c r="V374" s="11" t="n">
        <x:f>'站点明细'!$F1281</x:f>
        <x:v>2262.5</x:v>
      </x:c>
      <x:c r="W374" s="11" t="n">
        <x:f>'站点明细'!$F1513</x:f>
        <x:v>-0.03</x:v>
      </x:c>
    </x:row>
    <x:row r="375">
      <x:c r="A375" t="str">
        <x:f>TEXT($B375,"mm-dd")</x:f>
        <x:v>05-01</x:v>
      </x:c>
      <x:c r="B375" s="9" t="n">
        <x:f>'站点明细'!$C122</x:f>
        <x:v>46143</x:v>
      </x:c>
      <x:c r="C375" s="10" t="n">
        <x:f>'站点明细'!$E122</x:f>
        <x:v>4103</x:v>
      </x:c>
      <x:c r="D375" s="10" t="n">
        <x:f>'站点明细'!$D122</x:f>
        <x:v>2243</x:v>
      </x:c>
      <x:c r="E375" s="10" t="n">
        <x:f>'站点明细'!$E354</x:f>
        <x:v>969</x:v>
      </x:c>
      <x:c r="F375" s="10" t="n">
        <x:f>'站点明细'!$D354</x:f>
        <x:v>554</x:v>
      </x:c>
      <x:c r="G375" s="10" t="n">
        <x:f>'站点明细'!$E586</x:f>
        <x:v>1300</x:v>
      </x:c>
      <x:c r="H375" s="10" t="n">
        <x:f>'站点明细'!$D586</x:f>
        <x:v>734</x:v>
      </x:c>
      <x:c r="I375" s="10" t="n">
        <x:f>'站点明细'!$E818</x:f>
        <x:v>3</x:v>
      </x:c>
      <x:c r="J375" s="10" t="n">
        <x:f>'站点明细'!$D818</x:f>
        <x:v>2</x:v>
      </x:c>
      <x:c r="K375" s="10" t="n">
        <x:f>'站点明细'!$E1050</x:f>
        <x:v>121</x:v>
      </x:c>
      <x:c r="L375" s="10" t="n">
        <x:f>'站点明细'!$D1050</x:f>
        <x:v>61</x:v>
      </x:c>
      <x:c r="M375" s="10" t="n">
        <x:f>'站点明细'!$E1282</x:f>
        <x:v>68</x:v>
      </x:c>
      <x:c r="N375" s="10" t="n">
        <x:f>'站点明细'!$D1282</x:f>
        <x:v>62</x:v>
      </x:c>
      <x:c r="O375" s="10" t="n">
        <x:f>'站点明细'!$E1514</x:f>
        <x:v>0</x:v>
      </x:c>
      <x:c r="P375" s="10" t="n">
        <x:f>'站点明细'!$D1514</x:f>
        <x:v>0</x:v>
      </x:c>
      <x:c r="Q375" s="11" t="n">
        <x:f>'站点明细'!$F122</x:f>
        <x:v>35054.66</x:v>
      </x:c>
      <x:c r="R375" s="11" t="n">
        <x:f>'站点明细'!$F354</x:f>
        <x:v>11093.8</x:v>
      </x:c>
      <x:c r="S375" s="11" t="n">
        <x:f>'站点明细'!$F586</x:f>
        <x:v>8485.01</x:v>
      </x:c>
      <x:c r="T375" s="11" t="n">
        <x:f>'站点明细'!$F818</x:f>
        <x:v>27.74</x:v>
      </x:c>
      <x:c r="U375" s="11" t="n">
        <x:f>'站点明细'!$F1050</x:f>
        <x:v>799.69</x:v>
      </x:c>
      <x:c r="V375" s="11" t="n">
        <x:f>'站点明细'!$F1282</x:f>
        <x:v>3095.16</x:v>
      </x:c>
      <x:c r="W375" s="11" t="n">
        <x:f>'站点明细'!$F1514</x:f>
        <x:v>0</x:v>
      </x:c>
    </x:row>
    <x:row r="376">
      <x:c r="A376" t="str">
        <x:f>TEXT($B376,"mm-dd")</x:f>
        <x:v>05-02</x:v>
      </x:c>
      <x:c r="B376" s="9" t="n">
        <x:f>'站点明细'!$C123</x:f>
        <x:v>46144</x:v>
      </x:c>
      <x:c r="C376" s="10" t="n">
        <x:f>'站点明细'!$E123</x:f>
        <x:v>3441</x:v>
      </x:c>
      <x:c r="D376" s="10" t="n">
        <x:f>'站点明细'!$D123</x:f>
        <x:v>2237</x:v>
      </x:c>
      <x:c r="E376" s="10" t="n">
        <x:f>'站点明细'!$E355</x:f>
        <x:v>1119</x:v>
      </x:c>
      <x:c r="F376" s="10" t="n">
        <x:f>'站点明细'!$D355</x:f>
        <x:v>634</x:v>
      </x:c>
      <x:c r="G376" s="10" t="n">
        <x:f>'站点明细'!$E587</x:f>
        <x:v>1001</x:v>
      </x:c>
      <x:c r="H376" s="10" t="n">
        <x:f>'站点明细'!$D587</x:f>
        <x:v>462</x:v>
      </x:c>
      <x:c r="I376" s="10" t="n">
        <x:f>'站点明细'!$E819</x:f>
        <x:v>3</x:v>
      </x:c>
      <x:c r="J376" s="10" t="n">
        <x:f>'站点明细'!$D819</x:f>
        <x:v>3</x:v>
      </x:c>
      <x:c r="K376" s="10" t="n">
        <x:f>'站点明细'!$E1051</x:f>
        <x:v>212</x:v>
      </x:c>
      <x:c r="L376" s="10" t="n">
        <x:f>'站点明细'!$D1051</x:f>
        <x:v>101</x:v>
      </x:c>
      <x:c r="M376" s="10" t="n">
        <x:f>'站点明细'!$E1283</x:f>
        <x:v>44</x:v>
      </x:c>
      <x:c r="N376" s="10" t="n">
        <x:f>'站点明细'!$D1283</x:f>
        <x:v>41</x:v>
      </x:c>
      <x:c r="O376" s="10" t="n">
        <x:f>'站点明细'!$E1515</x:f>
        <x:v>0</x:v>
      </x:c>
      <x:c r="P376" s="10" t="n">
        <x:f>'站点明细'!$D1515</x:f>
        <x:v>0</x:v>
      </x:c>
      <x:c r="Q376" s="11" t="n">
        <x:f>'站点明细'!$F123</x:f>
        <x:v>28679.24</x:v>
      </x:c>
      <x:c r="R376" s="11" t="n">
        <x:f>'站点明细'!$F355</x:f>
        <x:v>12225.04</x:v>
      </x:c>
      <x:c r="S376" s="11" t="n">
        <x:f>'站点明细'!$F587</x:f>
        <x:v>6837.32</x:v>
      </x:c>
      <x:c r="T376" s="11" t="n">
        <x:f>'站点明细'!$F819</x:f>
        <x:v>55.9</x:v>
      </x:c>
      <x:c r="U376" s="11" t="n">
        <x:f>'站点明细'!$F1051</x:f>
        <x:v>1342.83</x:v>
      </x:c>
      <x:c r="V376" s="11" t="n">
        <x:f>'站点明细'!$F1283</x:f>
        <x:v>1475.94</x:v>
      </x:c>
      <x:c r="W376" s="11" t="n">
        <x:f>'站点明细'!$F1515</x:f>
        <x:v>0</x:v>
      </x:c>
    </x:row>
    <x:row r="377">
      <x:c r="A377" t="str">
        <x:f>TEXT($B377,"mm-dd")</x:f>
        <x:v>05-03</x:v>
      </x:c>
      <x:c r="B377" s="9" t="n">
        <x:f>'站点明细'!$C124</x:f>
        <x:v>46145</x:v>
      </x:c>
      <x:c r="C377" s="10" t="n">
        <x:f>'站点明细'!$E124</x:f>
        <x:v>2517</x:v>
      </x:c>
      <x:c r="D377" s="10" t="n">
        <x:f>'站点明细'!$D124</x:f>
        <x:v>1678</x:v>
      </x:c>
      <x:c r="E377" s="10" t="n">
        <x:f>'站点明细'!$E356</x:f>
        <x:v>930</x:v>
      </x:c>
      <x:c r="F377" s="10" t="n">
        <x:f>'站点明细'!$D356</x:f>
        <x:v>502</x:v>
      </x:c>
      <x:c r="G377" s="10" t="n">
        <x:f>'站点明细'!$E588</x:f>
        <x:v>698</x:v>
      </x:c>
      <x:c r="H377" s="10" t="n">
        <x:f>'站点明细'!$D588</x:f>
        <x:v>374</x:v>
      </x:c>
      <x:c r="I377" s="10" t="n">
        <x:f>'站点明细'!$E820</x:f>
        <x:v>2</x:v>
      </x:c>
      <x:c r="J377" s="10" t="n">
        <x:f>'站点明细'!$D820</x:f>
        <x:v>2</x:v>
      </x:c>
      <x:c r="K377" s="10" t="n">
        <x:f>'站点明细'!$E1052</x:f>
        <x:v>182</x:v>
      </x:c>
      <x:c r="L377" s="10" t="n">
        <x:f>'站点明细'!$D1052</x:f>
        <x:v>87</x:v>
      </x:c>
      <x:c r="M377" s="10" t="n">
        <x:f>'站点明细'!$E1284</x:f>
        <x:v>131</x:v>
      </x:c>
      <x:c r="N377" s="10" t="n">
        <x:f>'站点明细'!$D1284</x:f>
        <x:v>105</x:v>
      </x:c>
      <x:c r="O377" s="10" t="n">
        <x:f>'站点明细'!$E1516</x:f>
        <x:v>0</x:v>
      </x:c>
      <x:c r="P377" s="10" t="n">
        <x:f>'站点明细'!$D1516</x:f>
        <x:v>0</x:v>
      </x:c>
      <x:c r="Q377" s="11" t="n">
        <x:f>'站点明细'!$F124</x:f>
        <x:v>21262.42</x:v>
      </x:c>
      <x:c r="R377" s="11" t="n">
        <x:f>'站点明细'!$F356</x:f>
        <x:v>9387.91</x:v>
      </x:c>
      <x:c r="S377" s="11" t="n">
        <x:f>'站点明细'!$F588</x:f>
        <x:v>4517.37</x:v>
      </x:c>
      <x:c r="T377" s="11" t="n">
        <x:f>'站点明细'!$F820</x:f>
        <x:v>27.52</x:v>
      </x:c>
      <x:c r="U377" s="11" t="n">
        <x:f>'站点明细'!$F1052</x:f>
        <x:v>1140.22</x:v>
      </x:c>
      <x:c r="V377" s="11" t="n">
        <x:f>'站点明细'!$F1284</x:f>
        <x:v>4558.71</x:v>
      </x:c>
      <x:c r="W377" s="11" t="n">
        <x:f>'站点明细'!$F1516</x:f>
        <x:v>0</x:v>
      </x:c>
    </x:row>
    <x:row r="378">
      <x:c r="A378" t="str">
        <x:f>TEXT($B378,"mm-dd")</x:f>
        <x:v>05-04</x:v>
      </x:c>
      <x:c r="B378" s="9" t="n">
        <x:f>'站点明细'!$C125</x:f>
        <x:v>46146</x:v>
      </x:c>
      <x:c r="C378" s="10" t="n">
        <x:f>'站点明细'!$E125</x:f>
        <x:v>2742</x:v>
      </x:c>
      <x:c r="D378" s="10" t="n">
        <x:f>'站点明细'!$D125</x:f>
        <x:v>1723</x:v>
      </x:c>
      <x:c r="E378" s="10" t="n">
        <x:f>'站点明细'!$E357</x:f>
        <x:v>1072</x:v>
      </x:c>
      <x:c r="F378" s="10" t="n">
        <x:f>'站点明细'!$D357</x:f>
        <x:v>601</x:v>
      </x:c>
      <x:c r="G378" s="10" t="n">
        <x:f>'站点明细'!$E589</x:f>
        <x:v>772</x:v>
      </x:c>
      <x:c r="H378" s="10" t="n">
        <x:f>'站点明细'!$D589</x:f>
        <x:v>396</x:v>
      </x:c>
      <x:c r="I378" s="10" t="n">
        <x:f>'站点明细'!$E821</x:f>
        <x:v>2</x:v>
      </x:c>
      <x:c r="J378" s="10" t="n">
        <x:f>'站点明细'!$D821</x:f>
        <x:v>1</x:v>
      </x:c>
      <x:c r="K378" s="10" t="n">
        <x:f>'站点明细'!$E1053</x:f>
        <x:v>171</x:v>
      </x:c>
      <x:c r="L378" s="10" t="n">
        <x:f>'站点明细'!$D1053</x:f>
        <x:v>75</x:v>
      </x:c>
      <x:c r="M378" s="10" t="n">
        <x:f>'站点明细'!$E1285</x:f>
        <x:v>103</x:v>
      </x:c>
      <x:c r="N378" s="10" t="n">
        <x:f>'站点明细'!$D1285</x:f>
        <x:v>83</x:v>
      </x:c>
      <x:c r="O378" s="10" t="n">
        <x:f>'站点明细'!$E1517</x:f>
        <x:v>0</x:v>
      </x:c>
      <x:c r="P378" s="10" t="n">
        <x:f>'站点明细'!$D1517</x:f>
        <x:v>0</x:v>
      </x:c>
      <x:c r="Q378" s="11" t="n">
        <x:f>'站点明细'!$F125</x:f>
        <x:v>21373.28</x:v>
      </x:c>
      <x:c r="R378" s="11" t="n">
        <x:f>'站点明细'!$F357</x:f>
        <x:v>11716.9</x:v>
      </x:c>
      <x:c r="S378" s="11" t="n">
        <x:f>'站点明细'!$F589</x:f>
        <x:v>5130.99</x:v>
      </x:c>
      <x:c r="T378" s="11" t="n">
        <x:f>'站点明细'!$F821</x:f>
        <x:v>42.03</x:v>
      </x:c>
      <x:c r="U378" s="11" t="n">
        <x:f>'站点明细'!$F1053</x:f>
        <x:v>1111.19</x:v>
      </x:c>
      <x:c r="V378" s="11" t="n">
        <x:f>'站点明细'!$F1285</x:f>
        <x:v>3279.09</x:v>
      </x:c>
      <x:c r="W378" s="11" t="n">
        <x:f>'站点明细'!$F1517</x:f>
        <x:v>0</x:v>
      </x:c>
    </x:row>
    <x:row r="379">
      <x:c r="A379" t="str">
        <x:f>TEXT($B379,"mm-dd")</x:f>
        <x:v>05-05</x:v>
      </x:c>
      <x:c r="B379" s="9" t="n">
        <x:f>'站点明细'!$C126</x:f>
        <x:v>46147</x:v>
      </x:c>
      <x:c r="C379" s="10" t="n">
        <x:f>'站点明细'!$E126</x:f>
        <x:v>3325</x:v>
      </x:c>
      <x:c r="D379" s="10" t="n">
        <x:f>'站点明细'!$D126</x:f>
        <x:v>2153</x:v>
      </x:c>
      <x:c r="E379" s="10" t="n">
        <x:f>'站点明细'!$E358</x:f>
        <x:v>1480</x:v>
      </x:c>
      <x:c r="F379" s="10" t="n">
        <x:f>'站点明细'!$D358</x:f>
        <x:v>871</x:v>
      </x:c>
      <x:c r="G379" s="10" t="n">
        <x:f>'站点明细'!$E590</x:f>
        <x:v>651</x:v>
      </x:c>
      <x:c r="H379" s="10" t="n">
        <x:f>'站点明细'!$D590</x:f>
        <x:v>331</x:v>
      </x:c>
      <x:c r="I379" s="10" t="n">
        <x:f>'站点明细'!$E822</x:f>
        <x:v>4</x:v>
      </x:c>
      <x:c r="J379" s="10" t="n">
        <x:f>'站点明细'!$D822</x:f>
        <x:v>2</x:v>
      </x:c>
      <x:c r="K379" s="10" t="n">
        <x:f>'站点明细'!$E1054</x:f>
        <x:v>120</x:v>
      </x:c>
      <x:c r="L379" s="10" t="n">
        <x:f>'站点明细'!$D1054</x:f>
        <x:v>63</x:v>
      </x:c>
      <x:c r="M379" s="10" t="n">
        <x:f>'站点明细'!$E1286</x:f>
        <x:v>299</x:v>
      </x:c>
      <x:c r="N379" s="10" t="n">
        <x:f>'站点明细'!$D1286</x:f>
        <x:v>246</x:v>
      </x:c>
      <x:c r="O379" s="10" t="n">
        <x:f>'站点明细'!$E1518</x:f>
        <x:v>0</x:v>
      </x:c>
      <x:c r="P379" s="10" t="n">
        <x:f>'站点明细'!$D1518</x:f>
        <x:v>0</x:v>
      </x:c>
      <x:c r="Q379" s="11" t="n">
        <x:f>'站点明细'!$F126</x:f>
        <x:v>29045.34</x:v>
      </x:c>
      <x:c r="R379" s="11" t="n">
        <x:f>'站点明细'!$F358</x:f>
        <x:v>16094.24</x:v>
      </x:c>
      <x:c r="S379" s="11" t="n">
        <x:f>'站点明细'!$F590</x:f>
        <x:v>4491.12</x:v>
      </x:c>
      <x:c r="T379" s="11" t="n">
        <x:f>'站点明细'!$F822</x:f>
        <x:v>100.05</x:v>
      </x:c>
      <x:c r="U379" s="11" t="n">
        <x:f>'站点明细'!$F1054</x:f>
        <x:v>721.02</x:v>
      </x:c>
      <x:c r="V379" s="11" t="n">
        <x:f>'站点明细'!$F1286</x:f>
        <x:v>10669.6</x:v>
      </x:c>
      <x:c r="W379" s="11" t="n">
        <x:f>'站点明细'!$F1518</x:f>
        <x:v>0</x:v>
      </x:c>
    </x:row>
    <x:row r="380">
      <x:c r="A380" t="str">
        <x:f>TEXT($B380,"mm-dd")</x:f>
        <x:v>05-06</x:v>
      </x:c>
      <x:c r="B380" s="9" t="n">
        <x:f>'站点明细'!$C127</x:f>
        <x:v>46148</x:v>
      </x:c>
      <x:c r="C380" s="10" t="n">
        <x:f>'站点明细'!$E127</x:f>
        <x:v>3722</x:v>
      </x:c>
      <x:c r="D380" s="10" t="n">
        <x:f>'站点明细'!$D127</x:f>
        <x:v>2416</x:v>
      </x:c>
      <x:c r="E380" s="10" t="n">
        <x:f>'站点明细'!$E359</x:f>
        <x:v>1498</x:v>
      </x:c>
      <x:c r="F380" s="10" t="n">
        <x:f>'站点明细'!$D359</x:f>
        <x:v>757</x:v>
      </x:c>
      <x:c r="G380" s="10" t="n">
        <x:f>'站点明细'!$E591</x:f>
        <x:v>723</x:v>
      </x:c>
      <x:c r="H380" s="10" t="n">
        <x:f>'站点明细'!$D591</x:f>
        <x:v>376</x:v>
      </x:c>
      <x:c r="I380" s="10" t="n">
        <x:f>'站点明细'!$E823</x:f>
        <x:v>11</x:v>
      </x:c>
      <x:c r="J380" s="10" t="n">
        <x:f>'站点明细'!$D823</x:f>
        <x:v>11</x:v>
      </x:c>
      <x:c r="K380" s="10" t="n">
        <x:f>'站点明细'!$E1055</x:f>
        <x:v>101</x:v>
      </x:c>
      <x:c r="L380" s="10" t="n">
        <x:f>'站点明细'!$D1055</x:f>
        <x:v>90</x:v>
      </x:c>
      <x:c r="M380" s="10" t="n">
        <x:f>'站点明细'!$E1287</x:f>
        <x:v>200</x:v>
      </x:c>
      <x:c r="N380" s="10" t="n">
        <x:f>'站点明细'!$D1287</x:f>
        <x:v>169</x:v>
      </x:c>
      <x:c r="O380" s="10" t="n">
        <x:f>'站点明细'!$E1519</x:f>
        <x:v>0</x:v>
      </x:c>
      <x:c r="P380" s="10" t="n">
        <x:f>'站点明细'!$D1519</x:f>
        <x:v>0</x:v>
      </x:c>
      <x:c r="Q380" s="11" t="n">
        <x:f>'站点明细'!$F127</x:f>
        <x:v>30779.28</x:v>
      </x:c>
      <x:c r="R380" s="11" t="n">
        <x:f>'站点明细'!$F359</x:f>
        <x:v>14238.3</x:v>
      </x:c>
      <x:c r="S380" s="11" t="n">
        <x:f>'站点明细'!$F591</x:f>
        <x:v>4502.37</x:v>
      </x:c>
      <x:c r="T380" s="11" t="n">
        <x:f>'站点明细'!$F823</x:f>
        <x:v>48.99</x:v>
      </x:c>
      <x:c r="U380" s="11" t="n">
        <x:f>'站点明细'!$F1055</x:f>
        <x:v>1113.85</x:v>
      </x:c>
      <x:c r="V380" s="11" t="n">
        <x:f>'站点明细'!$F1287</x:f>
        <x:v>7055.41</x:v>
      </x:c>
      <x:c r="W380" s="11" t="n">
        <x:f>'站点明细'!$F1519</x:f>
        <x:v>0</x:v>
      </x:c>
    </x:row>
    <x:row r="381">
      <x:c r="A381" t="str">
        <x:f>TEXT($B381,"mm-dd")</x:f>
        <x:v>05-07</x:v>
      </x:c>
      <x:c r="B381" s="9" t="n">
        <x:f>'站点明细'!$C128</x:f>
        <x:v>46149</x:v>
      </x:c>
      <x:c r="C381" s="10" t="n">
        <x:f>'站点明细'!$E128</x:f>
        <x:v>2991</x:v>
      </x:c>
      <x:c r="D381" s="10" t="n">
        <x:f>'站点明细'!$D128</x:f>
        <x:v>1994</x:v>
      </x:c>
      <x:c r="E381" s="10" t="n">
        <x:f>'站点明细'!$E360</x:f>
        <x:v>1186</x:v>
      </x:c>
      <x:c r="F381" s="10" t="n">
        <x:f>'站点明细'!$D360</x:f>
        <x:v>613</x:v>
      </x:c>
      <x:c r="G381" s="10" t="n">
        <x:f>'站点明细'!$E592</x:f>
        <x:v>625</x:v>
      </x:c>
      <x:c r="H381" s="10" t="n">
        <x:f>'站点明细'!$D592</x:f>
        <x:v>373</x:v>
      </x:c>
      <x:c r="I381" s="10" t="n">
        <x:f>'站点明细'!$E824</x:f>
        <x:v>30</x:v>
      </x:c>
      <x:c r="J381" s="10" t="n">
        <x:f>'站点明细'!$D824</x:f>
        <x:v>27</x:v>
      </x:c>
      <x:c r="K381" s="10" t="n">
        <x:f>'站点明细'!$E1056</x:f>
        <x:v>52</x:v>
      </x:c>
      <x:c r="L381" s="10" t="n">
        <x:f>'站点明细'!$D1056</x:f>
        <x:v>40</x:v>
      </x:c>
      <x:c r="M381" s="10" t="n">
        <x:f>'站点明细'!$E1288</x:f>
        <x:v>140</x:v>
      </x:c>
      <x:c r="N381" s="10" t="n">
        <x:f>'站点明细'!$D1288</x:f>
        <x:v>117</x:v>
      </x:c>
      <x:c r="O381" s="10" t="n">
        <x:f>'站点明细'!$E1520</x:f>
        <x:v>0</x:v>
      </x:c>
      <x:c r="P381" s="10" t="n">
        <x:f>'站点明细'!$D1520</x:f>
        <x:v>0</x:v>
      </x:c>
      <x:c r="Q381" s="11" t="n">
        <x:f>'站点明细'!$F128</x:f>
        <x:v>24931.8</x:v>
      </x:c>
      <x:c r="R381" s="11" t="n">
        <x:f>'站点明细'!$F360</x:f>
        <x:v>11814.5</x:v>
      </x:c>
      <x:c r="S381" s="11" t="n">
        <x:f>'站点明细'!$F592</x:f>
        <x:v>5146.18</x:v>
      </x:c>
      <x:c r="T381" s="11" t="n">
        <x:f>'站点明细'!$F824</x:f>
        <x:v>161.82</x:v>
      </x:c>
      <x:c r="U381" s="11" t="n">
        <x:f>'站点明细'!$F1056</x:f>
        <x:v>516.83</x:v>
      </x:c>
      <x:c r="V381" s="11" t="n">
        <x:f>'站点明细'!$F1288</x:f>
        <x:v>5388.08</x:v>
      </x:c>
      <x:c r="W381" s="11" t="n">
        <x:f>'站点明细'!$F1520</x:f>
        <x:v>0</x:v>
      </x:c>
    </x:row>
    <x:row r="382">
      <x:c r="A382" t="str">
        <x:f>TEXT($B382,"mm-dd")</x:f>
        <x:v>05-08</x:v>
      </x:c>
      <x:c r="B382" s="9" t="n">
        <x:f>'站点明细'!$C129</x:f>
        <x:v>46150</x:v>
      </x:c>
      <x:c r="C382" s="10" t="n">
        <x:f>'站点明细'!$E129</x:f>
        <x:v>3013</x:v>
      </x:c>
      <x:c r="D382" s="10" t="n">
        <x:f>'站点明细'!$D129</x:f>
        <x:v>1833</x:v>
      </x:c>
      <x:c r="E382" s="10" t="n">
        <x:f>'站点明细'!$E361</x:f>
        <x:v>1155</x:v>
      </x:c>
      <x:c r="F382" s="10" t="n">
        <x:f>'站点明细'!$D361</x:f>
        <x:v>618</x:v>
      </x:c>
      <x:c r="G382" s="10" t="n">
        <x:f>'站点明细'!$E593</x:f>
        <x:v>692</x:v>
      </x:c>
      <x:c r="H382" s="10" t="n">
        <x:f>'站点明细'!$D593</x:f>
        <x:v>363</x:v>
      </x:c>
      <x:c r="I382" s="10" t="n">
        <x:f>'站点明细'!$E825</x:f>
        <x:v>20</x:v>
      </x:c>
      <x:c r="J382" s="10" t="n">
        <x:f>'站点明细'!$D825</x:f>
        <x:v>16</x:v>
      </x:c>
      <x:c r="K382" s="10" t="n">
        <x:f>'站点明细'!$E1057</x:f>
        <x:v>101</x:v>
      </x:c>
      <x:c r="L382" s="10" t="n">
        <x:f>'站点明细'!$D1057</x:f>
        <x:v>74</x:v>
      </x:c>
      <x:c r="M382" s="10" t="n">
        <x:f>'站点明细'!$E1289</x:f>
        <x:v>98</x:v>
      </x:c>
      <x:c r="N382" s="10" t="n">
        <x:f>'站点明细'!$D1289</x:f>
        <x:v>72</x:v>
      </x:c>
      <x:c r="O382" s="10" t="n">
        <x:f>'站点明细'!$E1521</x:f>
        <x:v>0</x:v>
      </x:c>
      <x:c r="P382" s="10" t="n">
        <x:f>'站点明细'!$D1521</x:f>
        <x:v>0</x:v>
      </x:c>
      <x:c r="Q382" s="11" t="n">
        <x:f>'站点明细'!$F129</x:f>
        <x:v>24843.05</x:v>
      </x:c>
      <x:c r="R382" s="11" t="n">
        <x:f>'站点明细'!$F361</x:f>
        <x:v>11560.65</x:v>
      </x:c>
      <x:c r="S382" s="11" t="n">
        <x:f>'站点明细'!$F593</x:f>
        <x:v>4456.36</x:v>
      </x:c>
      <x:c r="T382" s="11" t="n">
        <x:f>'站点明细'!$F825</x:f>
        <x:v>107.79</x:v>
      </x:c>
      <x:c r="U382" s="11" t="n">
        <x:f>'站点明细'!$F1057</x:f>
        <x:v>879.49</x:v>
      </x:c>
      <x:c r="V382" s="11" t="n">
        <x:f>'站点明细'!$F1289</x:f>
        <x:v>3312.32</x:v>
      </x:c>
      <x:c r="W382" s="11" t="n">
        <x:f>'站点明细'!$F1521</x:f>
        <x:v>0</x:v>
      </x:c>
    </x:row>
    <x:row r="383">
      <x:c r="A383" t="str">
        <x:f>TEXT($B383,"mm-dd")</x:f>
        <x:v>05-09</x:v>
      </x:c>
      <x:c r="B383" s="9" t="n">
        <x:f>'站点明细'!$C130</x:f>
        <x:v>46151</x:v>
      </x:c>
      <x:c r="C383" s="10" t="n">
        <x:f>'站点明细'!$E130</x:f>
        <x:v>2918</x:v>
      </x:c>
      <x:c r="D383" s="10" t="n">
        <x:f>'站点明细'!$D130</x:f>
        <x:v>1894</x:v>
      </x:c>
      <x:c r="E383" s="10" t="n">
        <x:f>'站点明细'!$E362</x:f>
        <x:v>1354</x:v>
      </x:c>
      <x:c r="F383" s="10" t="n">
        <x:f>'站点明细'!$D362</x:f>
        <x:v>684</x:v>
      </x:c>
      <x:c r="G383" s="10" t="n">
        <x:f>'站点明细'!$E594</x:f>
        <x:v>895</x:v>
      </x:c>
      <x:c r="H383" s="10" t="n">
        <x:f>'站点明细'!$D594</x:f>
        <x:v>556</x:v>
      </x:c>
      <x:c r="I383" s="10" t="n">
        <x:f>'站点明细'!$E826</x:f>
        <x:v>13</x:v>
      </x:c>
      <x:c r="J383" s="10" t="n">
        <x:f>'站点明细'!$D826</x:f>
        <x:v>8</x:v>
      </x:c>
      <x:c r="K383" s="10" t="n">
        <x:f>'站点明细'!$E1058</x:f>
        <x:v>131</x:v>
      </x:c>
      <x:c r="L383" s="10" t="n">
        <x:f>'站点明细'!$D1058</x:f>
        <x:v>123</x:v>
      </x:c>
      <x:c r="M383" s="10" t="n">
        <x:f>'站点明细'!$E1290</x:f>
        <x:v>90</x:v>
      </x:c>
      <x:c r="N383" s="10" t="n">
        <x:f>'站点明细'!$D1290</x:f>
        <x:v>61</x:v>
      </x:c>
      <x:c r="O383" s="10" t="n">
        <x:f>'站点明细'!$E1522</x:f>
        <x:v>0</x:v>
      </x:c>
      <x:c r="P383" s="10" t="n">
        <x:f>'站点明细'!$D1522</x:f>
        <x:v>0</x:v>
      </x:c>
      <x:c r="Q383" s="11" t="n">
        <x:f>'站点明细'!$F130</x:f>
        <x:v>24850.42</x:v>
      </x:c>
      <x:c r="R383" s="11" t="n">
        <x:f>'站点明细'!$F362</x:f>
        <x:v>12781.13</x:v>
      </x:c>
      <x:c r="S383" s="11" t="n">
        <x:f>'站点明细'!$F594</x:f>
        <x:v>6561.81</x:v>
      </x:c>
      <x:c r="T383" s="11" t="n">
        <x:f>'站点明细'!$F826</x:f>
        <x:v>123.73</x:v>
      </x:c>
      <x:c r="U383" s="11" t="n">
        <x:f>'站点明细'!$F1058</x:f>
        <x:v>1483.37</x:v>
      </x:c>
      <x:c r="V383" s="11" t="n">
        <x:f>'站点明细'!$F1290</x:f>
        <x:v>2867.95</x:v>
      </x:c>
      <x:c r="W383" s="11" t="n">
        <x:f>'站点明细'!$F1522</x:f>
        <x:v>0</x:v>
      </x:c>
    </x:row>
    <x:row r="384">
      <x:c r="A384" t="str">
        <x:f>TEXT($B384,"mm-dd")</x:f>
        <x:v>05-10</x:v>
      </x:c>
      <x:c r="B384" s="9" t="n">
        <x:f>'站点明细'!$C131</x:f>
        <x:v>46152</x:v>
      </x:c>
      <x:c r="C384" s="10" t="n">
        <x:f>'站点明细'!$E131</x:f>
        <x:v>2157</x:v>
      </x:c>
      <x:c r="D384" s="10" t="n">
        <x:f>'站点明细'!$D131</x:f>
        <x:v>1515</x:v>
      </x:c>
      <x:c r="E384" s="10" t="n">
        <x:f>'站点明细'!$E363</x:f>
        <x:v>1073</x:v>
      </x:c>
      <x:c r="F384" s="10" t="n">
        <x:f>'站点明细'!$D363</x:f>
        <x:v>530</x:v>
      </x:c>
      <x:c r="G384" s="10" t="n">
        <x:f>'站点明细'!$E595</x:f>
        <x:v>944</x:v>
      </x:c>
      <x:c r="H384" s="10" t="n">
        <x:f>'站点明细'!$D595</x:f>
        <x:v>509</x:v>
      </x:c>
      <x:c r="I384" s="10" t="n">
        <x:f>'站点明细'!$E827</x:f>
        <x:v>5</x:v>
      </x:c>
      <x:c r="J384" s="10" t="n">
        <x:f>'站点明细'!$D827</x:f>
        <x:v>5</x:v>
      </x:c>
      <x:c r="K384" s="10" t="n">
        <x:f>'站点明细'!$E1059</x:f>
        <x:v>67</x:v>
      </x:c>
      <x:c r="L384" s="10" t="n">
        <x:f>'站点明细'!$D1059</x:f>
        <x:v>61</x:v>
      </x:c>
      <x:c r="M384" s="10" t="n">
        <x:f>'站点明细'!$E1291</x:f>
        <x:v>44</x:v>
      </x:c>
      <x:c r="N384" s="10" t="n">
        <x:f>'站点明细'!$D1291</x:f>
        <x:v>40</x:v>
      </x:c>
      <x:c r="O384" s="10" t="n">
        <x:f>'站点明细'!$E1523</x:f>
        <x:v>0</x:v>
      </x:c>
      <x:c r="P384" s="10" t="n">
        <x:f>'站点明细'!$D1523</x:f>
        <x:v>0</x:v>
      </x:c>
      <x:c r="Q384" s="11" t="n">
        <x:f>'站点明细'!$F131</x:f>
        <x:v>18500.16</x:v>
      </x:c>
      <x:c r="R384" s="11" t="n">
        <x:f>'站点明细'!$F363</x:f>
        <x:v>9507.68</x:v>
      </x:c>
      <x:c r="S384" s="11" t="n">
        <x:f>'站点明细'!$F595</x:f>
        <x:v>6526.92</x:v>
      </x:c>
      <x:c r="T384" s="11" t="n">
        <x:f>'站点明细'!$F827</x:f>
        <x:v>55.66</x:v>
      </x:c>
      <x:c r="U384" s="11" t="n">
        <x:f>'站点明细'!$F1059</x:f>
        <x:v>777.23</x:v>
      </x:c>
      <x:c r="V384" s="11" t="n">
        <x:f>'站点明细'!$F1291</x:f>
        <x:v>1519.36</x:v>
      </x:c>
      <x:c r="W384" s="11" t="n">
        <x:f>'站点明细'!$F1523</x:f>
        <x:v>0</x:v>
      </x:c>
    </x:row>
    <x:row r="385">
      <x:c r="A385" t="str">
        <x:f>TEXT($B385,"mm-dd")</x:f>
        <x:v>05-11</x:v>
      </x:c>
      <x:c r="B385" s="9" t="n">
        <x:f>'站点明细'!$C132</x:f>
        <x:v>46153</x:v>
      </x:c>
      <x:c r="C385" s="10" t="n">
        <x:f>'站点明细'!$E132</x:f>
        <x:v>2638</x:v>
      </x:c>
      <x:c r="D385" s="10" t="n">
        <x:f>'站点明细'!$D132</x:f>
        <x:v>1792</x:v>
      </x:c>
      <x:c r="E385" s="10" t="n">
        <x:f>'站点明细'!$E364</x:f>
        <x:v>1239</x:v>
      </x:c>
      <x:c r="F385" s="10" t="n">
        <x:f>'站点明细'!$D364</x:f>
        <x:v>622</x:v>
      </x:c>
      <x:c r="G385" s="10" t="n">
        <x:f>'站点明细'!$E596</x:f>
        <x:v>984</x:v>
      </x:c>
      <x:c r="H385" s="10" t="n">
        <x:f>'站点明细'!$D596</x:f>
        <x:v>548</x:v>
      </x:c>
      <x:c r="I385" s="10" t="n">
        <x:f>'站点明细'!$E828</x:f>
        <x:v>6</x:v>
      </x:c>
      <x:c r="J385" s="10" t="n">
        <x:f>'站点明细'!$D828</x:f>
        <x:v>4</x:v>
      </x:c>
      <x:c r="K385" s="10" t="n">
        <x:f>'站点明细'!$E1060</x:f>
        <x:v>56</x:v>
      </x:c>
      <x:c r="L385" s="10" t="n">
        <x:f>'站点明细'!$D1060</x:f>
        <x:v>51</x:v>
      </x:c>
      <x:c r="M385" s="10" t="n">
        <x:f>'站点明细'!$E1292</x:f>
        <x:v>48</x:v>
      </x:c>
      <x:c r="N385" s="10" t="n">
        <x:f>'站点明细'!$D1292</x:f>
        <x:v>42</x:v>
      </x:c>
      <x:c r="O385" s="10" t="n">
        <x:f>'站点明细'!$E1524</x:f>
        <x:v>0</x:v>
      </x:c>
      <x:c r="P385" s="10" t="n">
        <x:f>'站点明细'!$D1524</x:f>
        <x:v>0</x:v>
      </x:c>
      <x:c r="Q385" s="11" t="n">
        <x:f>'站点明细'!$F132</x:f>
        <x:v>22663.67</x:v>
      </x:c>
      <x:c r="R385" s="11" t="n">
        <x:f>'站点明细'!$F364</x:f>
        <x:v>11436.37</x:v>
      </x:c>
      <x:c r="S385" s="11" t="n">
        <x:f>'站点明细'!$F596</x:f>
        <x:v>6926.85</x:v>
      </x:c>
      <x:c r="T385" s="11" t="n">
        <x:f>'站点明细'!$F828</x:f>
        <x:v>95.66</x:v>
      </x:c>
      <x:c r="U385" s="11" t="n">
        <x:f>'站点明细'!$F1060</x:f>
        <x:v>671.55</x:v>
      </x:c>
      <x:c r="V385" s="11" t="n">
        <x:f>'站点明细'!$F1292</x:f>
        <x:v>1733.88</x:v>
      </x:c>
      <x:c r="W385" s="11" t="n">
        <x:f>'站点明细'!$F1524</x:f>
        <x:v>0</x:v>
      </x:c>
    </x:row>
    <x:row r="386">
      <x:c r="A386" t="str">
        <x:f>TEXT($B386,"mm-dd")</x:f>
        <x:v>05-12</x:v>
      </x:c>
      <x:c r="B386" s="9" t="n">
        <x:f>'站点明细'!$C133</x:f>
        <x:v>46154</x:v>
      </x:c>
      <x:c r="C386" s="10" t="n">
        <x:f>'站点明细'!$E133</x:f>
        <x:v>2433</x:v>
      </x:c>
      <x:c r="D386" s="10" t="n">
        <x:f>'站点明细'!$D133</x:f>
        <x:v>1655</x:v>
      </x:c>
      <x:c r="E386" s="10" t="n">
        <x:f>'站点明细'!$E365</x:f>
        <x:v>1170</x:v>
      </x:c>
      <x:c r="F386" s="10" t="n">
        <x:f>'站点明细'!$D365</x:f>
        <x:v>574</x:v>
      </x:c>
      <x:c r="G386" s="10" t="n">
        <x:f>'站点明细'!$E597</x:f>
        <x:v>1023</x:v>
      </x:c>
      <x:c r="H386" s="10" t="n">
        <x:f>'站点明细'!$D597</x:f>
        <x:v>544</x:v>
      </x:c>
      <x:c r="I386" s="10" t="n">
        <x:f>'站点明细'!$E829</x:f>
        <x:v>7</x:v>
      </x:c>
      <x:c r="J386" s="10" t="n">
        <x:f>'站点明细'!$D829</x:f>
        <x:v>6</x:v>
      </x:c>
      <x:c r="K386" s="10" t="n">
        <x:f>'站点明细'!$E1061</x:f>
        <x:v>70</x:v>
      </x:c>
      <x:c r="L386" s="10" t="n">
        <x:f>'站点明细'!$D1061</x:f>
        <x:v>61</x:v>
      </x:c>
      <x:c r="M386" s="10" t="n">
        <x:f>'站点明细'!$E1293</x:f>
        <x:v>42</x:v>
      </x:c>
      <x:c r="N386" s="10" t="n">
        <x:f>'站点明细'!$D1293</x:f>
        <x:v>36</x:v>
      </x:c>
      <x:c r="O386" s="10" t="n">
        <x:f>'站点明细'!$E1525</x:f>
        <x:v>0</x:v>
      </x:c>
      <x:c r="P386" s="10" t="n">
        <x:f>'站点明细'!$D1525</x:f>
        <x:v>0</x:v>
      </x:c>
      <x:c r="Q386" s="11" t="n">
        <x:f>'站点明细'!$F133</x:f>
        <x:v>20786.5</x:v>
      </x:c>
      <x:c r="R386" s="11" t="n">
        <x:f>'站点明细'!$F365</x:f>
        <x:v>11238.69</x:v>
      </x:c>
      <x:c r="S386" s="11" t="n">
        <x:f>'站点明细'!$F597</x:f>
        <x:v>7131.67</x:v>
      </x:c>
      <x:c r="T386" s="11" t="n">
        <x:f>'站点明细'!$F829</x:f>
        <x:v>26.61</x:v>
      </x:c>
      <x:c r="U386" s="11" t="n">
        <x:f>'站点明细'!$F1061</x:f>
        <x:v>898.59</x:v>
      </x:c>
      <x:c r="V386" s="11" t="n">
        <x:f>'站点明细'!$F1293</x:f>
        <x:v>1744.15</x:v>
      </x:c>
      <x:c r="W386" s="11" t="n">
        <x:f>'站点明细'!$F1525</x:f>
        <x:v>0</x:v>
      </x:c>
    </x:row>
    <x:row r="387">
      <x:c r="A387" t="str">
        <x:f>TEXT($B387,"mm-dd")</x:f>
        <x:v>05-13</x:v>
      </x:c>
      <x:c r="B387" s="9" t="n">
        <x:f>'站点明细'!$C134</x:f>
        <x:v>46155</x:v>
      </x:c>
      <x:c r="C387" s="10" t="n">
        <x:f>'站点明细'!$E134</x:f>
        <x:v>2498</x:v>
      </x:c>
      <x:c r="D387" s="10" t="n">
        <x:f>'站点明细'!$D134</x:f>
        <x:v>1712</x:v>
      </x:c>
      <x:c r="E387" s="10" t="n">
        <x:f>'站点明细'!$E366</x:f>
        <x:v>1332</x:v>
      </x:c>
      <x:c r="F387" s="10" t="n">
        <x:f>'站点明细'!$D366</x:f>
        <x:v>610</x:v>
      </x:c>
      <x:c r="G387" s="10" t="n">
        <x:f>'站点明细'!$E598</x:f>
        <x:v>1023</x:v>
      </x:c>
      <x:c r="H387" s="10" t="n">
        <x:f>'站点明细'!$D598</x:f>
        <x:v>589</x:v>
      </x:c>
      <x:c r="I387" s="10" t="n">
        <x:f>'站点明细'!$E830</x:f>
        <x:v>10</x:v>
      </x:c>
      <x:c r="J387" s="10" t="n">
        <x:f>'站点明细'!$D830</x:f>
        <x:v>9</x:v>
      </x:c>
      <x:c r="K387" s="10" t="n">
        <x:f>'站点明细'!$E1062</x:f>
        <x:v>64</x:v>
      </x:c>
      <x:c r="L387" s="10" t="n">
        <x:f>'站点明细'!$D1062</x:f>
        <x:v>57</x:v>
      </x:c>
      <x:c r="M387" s="10" t="n">
        <x:f>'站点明细'!$E1294</x:f>
        <x:v>57</x:v>
      </x:c>
      <x:c r="N387" s="10" t="n">
        <x:f>'站点明细'!$D1294</x:f>
        <x:v>49</x:v>
      </x:c>
      <x:c r="O387" s="10" t="n">
        <x:f>'站点明细'!$E1526</x:f>
        <x:v>0</x:v>
      </x:c>
      <x:c r="P387" s="10" t="n">
        <x:f>'站点明细'!$D1526</x:f>
        <x:v>0</x:v>
      </x:c>
      <x:c r="Q387" s="11" t="n">
        <x:f>'站点明细'!$F134</x:f>
        <x:v>20821.04</x:v>
      </x:c>
      <x:c r="R387" s="11" t="n">
        <x:f>'站点明细'!$F366</x:f>
        <x:v>12228.83</x:v>
      </x:c>
      <x:c r="S387" s="11" t="n">
        <x:f>'站点明细'!$F598</x:f>
        <x:v>6912.68</x:v>
      </x:c>
      <x:c r="T387" s="11" t="n">
        <x:f>'站点明细'!$F830</x:f>
        <x:v>21.47</x:v>
      </x:c>
      <x:c r="U387" s="11" t="n">
        <x:f>'站点明细'!$F1062</x:f>
        <x:v>766.94</x:v>
      </x:c>
      <x:c r="V387" s="11" t="n">
        <x:f>'站点明细'!$F1294</x:f>
        <x:v>2179.7</x:v>
      </x:c>
      <x:c r="W387" s="11" t="n">
        <x:f>'站点明细'!$F1526</x:f>
        <x:v>0</x:v>
      </x:c>
    </x:row>
    <x:row r="388">
      <x:c r="A388" t="str">
        <x:f>TEXT($B388,"mm-dd")</x:f>
        <x:v>05-14</x:v>
      </x:c>
      <x:c r="B388" s="9" t="n">
        <x:f>'站点明细'!$C135</x:f>
        <x:v>46156</x:v>
      </x:c>
      <x:c r="C388" s="10" t="n">
        <x:f>'站点明细'!$E135</x:f>
        <x:v>2561</x:v>
      </x:c>
      <x:c r="D388" s="10" t="n">
        <x:f>'站点明细'!$D135</x:f>
        <x:v>1800</x:v>
      </x:c>
      <x:c r="E388" s="10" t="n">
        <x:f>'站点明细'!$E367</x:f>
        <x:v>1253</x:v>
      </x:c>
      <x:c r="F388" s="10" t="n">
        <x:f>'站点明细'!$D367</x:f>
        <x:v>606</x:v>
      </x:c>
      <x:c r="G388" s="10" t="n">
        <x:f>'站点明细'!$E599</x:f>
        <x:v>1107</x:v>
      </x:c>
      <x:c r="H388" s="10" t="n">
        <x:f>'站点明细'!$D599</x:f>
        <x:v>585</x:v>
      </x:c>
      <x:c r="I388" s="10" t="n">
        <x:f>'站点明细'!$E831</x:f>
        <x:v>17</x:v>
      </x:c>
      <x:c r="J388" s="10" t="n">
        <x:f>'站点明细'!$D831</x:f>
        <x:v>12</x:v>
      </x:c>
      <x:c r="K388" s="10" t="n">
        <x:f>'站点明细'!$E1063</x:f>
        <x:v>69</x:v>
      </x:c>
      <x:c r="L388" s="10" t="n">
        <x:f>'站点明细'!$D1063</x:f>
        <x:v>59</x:v>
      </x:c>
      <x:c r="M388" s="10" t="n">
        <x:f>'站点明细'!$E1295</x:f>
        <x:v>97</x:v>
      </x:c>
      <x:c r="N388" s="10" t="n">
        <x:f>'站点明细'!$D1295</x:f>
        <x:v>36</x:v>
      </x:c>
      <x:c r="O388" s="10" t="n">
        <x:f>'站点明细'!$E1527</x:f>
        <x:v>0</x:v>
      </x:c>
      <x:c r="P388" s="10" t="n">
        <x:f>'站点明细'!$D1527</x:f>
        <x:v>0</x:v>
      </x:c>
      <x:c r="Q388" s="11" t="n">
        <x:f>'站点明细'!$F135</x:f>
        <x:v>21916.35</x:v>
      </x:c>
      <x:c r="R388" s="11" t="n">
        <x:f>'站点明细'!$F367</x:f>
        <x:v>11217.18</x:v>
      </x:c>
      <x:c r="S388" s="11" t="n">
        <x:f>'站点明细'!$F599</x:f>
        <x:v>7445.58</x:v>
      </x:c>
      <x:c r="T388" s="11" t="n">
        <x:f>'站点明细'!$F831</x:f>
        <x:v>91.02</x:v>
      </x:c>
      <x:c r="U388" s="11" t="n">
        <x:f>'站点明细'!$F1063</x:f>
        <x:v>793.09</x:v>
      </x:c>
      <x:c r="V388" s="11" t="n">
        <x:f>'站点明细'!$F1295</x:f>
        <x:v>2978.53</x:v>
      </x:c>
      <x:c r="W388" s="11" t="n">
        <x:f>'站点明细'!$F1527</x:f>
        <x:v>0</x:v>
      </x:c>
    </x:row>
    <x:row r="389">
      <x:c r="A389" t="str">
        <x:f>TEXT($B389,"mm-dd")</x:f>
        <x:v>05-15</x:v>
      </x:c>
      <x:c r="B389" s="9" t="n">
        <x:f>'站点明细'!$C136</x:f>
        <x:v>46157</x:v>
      </x:c>
      <x:c r="C389" s="10" t="n">
        <x:f>'站点明细'!$E136</x:f>
        <x:v>2588</x:v>
      </x:c>
      <x:c r="D389" s="10" t="n">
        <x:f>'站点明细'!$D136</x:f>
        <x:v>1843</x:v>
      </x:c>
      <x:c r="E389" s="10" t="n">
        <x:f>'站点明细'!$E368</x:f>
        <x:v>1684</x:v>
      </x:c>
      <x:c r="F389" s="10" t="n">
        <x:f>'站点明细'!$D368</x:f>
        <x:v>843</x:v>
      </x:c>
      <x:c r="G389" s="10" t="n">
        <x:f>'站点明细'!$E600</x:f>
        <x:v>1094</x:v>
      </x:c>
      <x:c r="H389" s="10" t="n">
        <x:f>'站点明细'!$D600</x:f>
        <x:v>544</x:v>
      </x:c>
      <x:c r="I389" s="10" t="n">
        <x:f>'站点明细'!$E832</x:f>
        <x:v>6</x:v>
      </x:c>
      <x:c r="J389" s="10" t="n">
        <x:f>'站点明细'!$D832</x:f>
        <x:v>6</x:v>
      </x:c>
      <x:c r="K389" s="10" t="n">
        <x:f>'站点明细'!$E1064</x:f>
        <x:v>50</x:v>
      </x:c>
      <x:c r="L389" s="10" t="n">
        <x:f>'站点明细'!$D1064</x:f>
        <x:v>46</x:v>
      </x:c>
      <x:c r="M389" s="10" t="n">
        <x:f>'站点明细'!$E1296</x:f>
        <x:v>40</x:v>
      </x:c>
      <x:c r="N389" s="10" t="n">
        <x:f>'站点明细'!$D1296</x:f>
        <x:v>35</x:v>
      </x:c>
      <x:c r="O389" s="10" t="n">
        <x:f>'站点明细'!$E1528</x:f>
        <x:v>0</x:v>
      </x:c>
      <x:c r="P389" s="10" t="n">
        <x:f>'站点明细'!$D1528</x:f>
        <x:v>0</x:v>
      </x:c>
      <x:c r="Q389" s="11" t="n">
        <x:f>'站点明细'!$F136</x:f>
        <x:v>22327.8</x:v>
      </x:c>
      <x:c r="R389" s="11" t="n">
        <x:f>'站点明细'!$F368</x:f>
        <x:v>14010.83</x:v>
      </x:c>
      <x:c r="S389" s="11" t="n">
        <x:f>'站点明细'!$F600</x:f>
        <x:v>7587.82</x:v>
      </x:c>
      <x:c r="T389" s="11" t="n">
        <x:f>'站点明细'!$F832</x:f>
        <x:v>-5.18</x:v>
      </x:c>
      <x:c r="U389" s="11" t="n">
        <x:f>'站点明细'!$F1064</x:f>
        <x:v>550.36</x:v>
      </x:c>
      <x:c r="V389" s="11" t="n">
        <x:f>'站点明细'!$F1296</x:f>
        <x:v>1715.07</x:v>
      </x:c>
      <x:c r="W389" s="11" t="n">
        <x:f>'站点明细'!$F1528</x:f>
        <x:v>0</x:v>
      </x:c>
    </x:row>
    <x:row r="390">
      <x:c r="A390" t="str">
        <x:f>TEXT($B390,"mm-dd")</x:f>
        <x:v>05-16</x:v>
      </x:c>
      <x:c r="B390" s="9" t="n">
        <x:f>'站点明细'!$C137</x:f>
        <x:v>46158</x:v>
      </x:c>
      <x:c r="C390" s="10" t="n">
        <x:f>'站点明细'!$E137</x:f>
        <x:v>2073</x:v>
      </x:c>
      <x:c r="D390" s="10" t="n">
        <x:f>'站点明细'!$D137</x:f>
        <x:v>1527</x:v>
      </x:c>
      <x:c r="E390" s="10" t="n">
        <x:f>'站点明细'!$E369</x:f>
        <x:v>1385</x:v>
      </x:c>
      <x:c r="F390" s="10" t="n">
        <x:f>'站点明细'!$D369</x:f>
        <x:v>651</x:v>
      </x:c>
      <x:c r="G390" s="10" t="n">
        <x:f>'站点明细'!$E601</x:f>
        <x:v>1074</x:v>
      </x:c>
      <x:c r="H390" s="10" t="n">
        <x:f>'站点明细'!$D601</x:f>
        <x:v>589</x:v>
      </x:c>
      <x:c r="I390" s="10" t="n">
        <x:f>'站点明细'!$E833</x:f>
        <x:v>3</x:v>
      </x:c>
      <x:c r="J390" s="10" t="n">
        <x:f>'站点明细'!$D833</x:f>
        <x:v>2</x:v>
      </x:c>
      <x:c r="K390" s="10" t="n">
        <x:f>'站点明细'!$E1065</x:f>
        <x:v>76</x:v>
      </x:c>
      <x:c r="L390" s="10" t="n">
        <x:f>'站点明细'!$D1065</x:f>
        <x:v>71</x:v>
      </x:c>
      <x:c r="M390" s="10" t="n">
        <x:f>'站点明细'!$E1297</x:f>
        <x:v>29</x:v>
      </x:c>
      <x:c r="N390" s="10" t="n">
        <x:f>'站点明细'!$D1297</x:f>
        <x:v>27</x:v>
      </x:c>
      <x:c r="O390" s="10" t="n">
        <x:f>'站点明细'!$E1529</x:f>
        <x:v>0</x:v>
      </x:c>
      <x:c r="P390" s="10" t="n">
        <x:f>'站点明细'!$D1529</x:f>
        <x:v>0</x:v>
      </x:c>
      <x:c r="Q390" s="11" t="n">
        <x:f>'站点明细'!$F137</x:f>
        <x:v>18604.64</x:v>
      </x:c>
      <x:c r="R390" s="11" t="n">
        <x:f>'站点明细'!$F369</x:f>
        <x:v>13418.81</x:v>
      </x:c>
      <x:c r="S390" s="11" t="n">
        <x:f>'站点明细'!$F601</x:f>
        <x:v>8217.01</x:v>
      </x:c>
      <x:c r="T390" s="11" t="n">
        <x:f>'站点明细'!$F833</x:f>
        <x:v>41.18</x:v>
      </x:c>
      <x:c r="U390" s="11" t="n">
        <x:f>'站点明细'!$F1065</x:f>
        <x:v>833.49</x:v>
      </x:c>
      <x:c r="V390" s="11" t="n">
        <x:f>'站点明细'!$F1297</x:f>
        <x:v>1212.43</x:v>
      </x:c>
      <x:c r="W390" s="11" t="n">
        <x:f>'站点明细'!$F1529</x:f>
        <x:v>0</x:v>
      </x:c>
    </x:row>
    <x:row r="391">
      <x:c r="A391" t="str">
        <x:f>TEXT($B391,"mm-dd")</x:f>
        <x:v>05-17</x:v>
      </x:c>
      <x:c r="B391" s="9" t="n">
        <x:f>'站点明细'!$C138</x:f>
        <x:v>46159</x:v>
      </x:c>
      <x:c r="C391" s="10" t="n">
        <x:f>'站点明细'!$E138</x:f>
        <x:v>2920</x:v>
      </x:c>
      <x:c r="D391" s="10" t="n">
        <x:f>'站点明细'!$D138</x:f>
        <x:v>1957</x:v>
      </x:c>
      <x:c r="E391" s="10" t="n">
        <x:f>'站点明细'!$E370</x:f>
        <x:v>1316</x:v>
      </x:c>
      <x:c r="F391" s="10" t="n">
        <x:f>'站点明细'!$D370</x:f>
        <x:v>645</x:v>
      </x:c>
      <x:c r="G391" s="10" t="n">
        <x:f>'站点明细'!$E602</x:f>
        <x:v>1009</x:v>
      </x:c>
      <x:c r="H391" s="10" t="n">
        <x:f>'站点明细'!$D602</x:f>
        <x:v>572</x:v>
      </x:c>
      <x:c r="I391" s="10" t="n">
        <x:f>'站点明细'!$E834</x:f>
        <x:v>4</x:v>
      </x:c>
      <x:c r="J391" s="10" t="n">
        <x:f>'站点明细'!$D834</x:f>
        <x:v>1</x:v>
      </x:c>
      <x:c r="K391" s="10" t="n">
        <x:f>'站点明细'!$E1066</x:f>
        <x:v>67</x:v>
      </x:c>
      <x:c r="L391" s="10" t="n">
        <x:f>'站点明细'!$D1066</x:f>
        <x:v>58</x:v>
      </x:c>
      <x:c r="M391" s="10" t="n">
        <x:f>'站点明细'!$E1298</x:f>
        <x:v>27</x:v>
      </x:c>
      <x:c r="N391" s="10" t="n">
        <x:f>'站点明细'!$D1298</x:f>
        <x:v>16</x:v>
      </x:c>
      <x:c r="O391" s="10" t="n">
        <x:f>'站点明细'!$E1530</x:f>
        <x:v>0</x:v>
      </x:c>
      <x:c r="P391" s="10" t="n">
        <x:f>'站点明细'!$D1530</x:f>
        <x:v>0</x:v>
      </x:c>
      <x:c r="Q391" s="11" t="n">
        <x:f>'站点明细'!$F138</x:f>
        <x:v>24376.3</x:v>
      </x:c>
      <x:c r="R391" s="11" t="n">
        <x:f>'站点明细'!$F370</x:f>
        <x:v>12813.98</x:v>
      </x:c>
      <x:c r="S391" s="11" t="n">
        <x:f>'站点明细'!$F602</x:f>
        <x:v>8181.42</x:v>
      </x:c>
      <x:c r="T391" s="11" t="n">
        <x:f>'站点明细'!$F834</x:f>
        <x:v>54.82</x:v>
      </x:c>
      <x:c r="U391" s="11" t="n">
        <x:f>'站点明细'!$F1066</x:f>
        <x:v>723.5</x:v>
      </x:c>
      <x:c r="V391" s="11" t="n">
        <x:f>'站点明细'!$F1298</x:f>
        <x:v>980.87</x:v>
      </x:c>
      <x:c r="W391" s="11" t="n">
        <x:f>'站点明细'!$F1530</x:f>
        <x:v>0</x:v>
      </x:c>
    </x:row>
    <x:row r="392">
      <x:c r="A392" t="str">
        <x:f>TEXT($B392,"mm-dd")</x:f>
        <x:v>05-18</x:v>
      </x:c>
      <x:c r="B392" s="9" t="n">
        <x:f>'站点明细'!$C139</x:f>
        <x:v>46160</x:v>
      </x:c>
      <x:c r="C392" s="10" t="n">
        <x:f>'站点明细'!$E139</x:f>
        <x:v>1983</x:v>
      </x:c>
      <x:c r="D392" s="10" t="n">
        <x:f>'站点明细'!$D139</x:f>
        <x:v>1377</x:v>
      </x:c>
      <x:c r="E392" s="10" t="n">
        <x:f>'站点明细'!$E371</x:f>
        <x:v>1564</x:v>
      </x:c>
      <x:c r="F392" s="10" t="n">
        <x:f>'站点明细'!$D371</x:f>
        <x:v>719</x:v>
      </x:c>
      <x:c r="G392" s="10" t="n">
        <x:f>'站点明细'!$E603</x:f>
        <x:v>984</x:v>
      </x:c>
      <x:c r="H392" s="10" t="n">
        <x:f>'站点明细'!$D603</x:f>
        <x:v>583</x:v>
      </x:c>
      <x:c r="I392" s="10" t="n">
        <x:f>'站点明细'!$E835</x:f>
        <x:v>4</x:v>
      </x:c>
      <x:c r="J392" s="10" t="n">
        <x:f>'站点明细'!$D835</x:f>
        <x:v>2</x:v>
      </x:c>
      <x:c r="K392" s="10" t="n">
        <x:f>'站点明细'!$E1067</x:f>
        <x:v>92</x:v>
      </x:c>
      <x:c r="L392" s="10" t="n">
        <x:f>'站点明细'!$D1067</x:f>
        <x:v>78</x:v>
      </x:c>
      <x:c r="M392" s="10" t="n">
        <x:f>'站点明细'!$E1299</x:f>
        <x:v>1</x:v>
      </x:c>
      <x:c r="N392" s="10" t="n">
        <x:f>'站点明细'!$D1299</x:f>
        <x:v>1</x:v>
      </x:c>
      <x:c r="O392" s="10" t="n">
        <x:f>'站点明细'!$E1531</x:f>
        <x:v>0</x:v>
      </x:c>
      <x:c r="P392" s="10" t="n">
        <x:f>'站点明细'!$D1531</x:f>
        <x:v>0</x:v>
      </x:c>
      <x:c r="Q392" s="11" t="n">
        <x:f>'站点明细'!$F139</x:f>
        <x:v>17224.22</x:v>
      </x:c>
      <x:c r="R392" s="11" t="n">
        <x:f>'站点明细'!$F371</x:f>
        <x:v>15006.7</x:v>
      </x:c>
      <x:c r="S392" s="11" t="n">
        <x:f>'站点明细'!$F603</x:f>
        <x:v>7910.81</x:v>
      </x:c>
      <x:c r="T392" s="11" t="n">
        <x:f>'站点明细'!$F835</x:f>
        <x:v>56.77</x:v>
      </x:c>
      <x:c r="U392" s="11" t="n">
        <x:f>'站点明细'!$F1067</x:f>
        <x:v>1000.91</x:v>
      </x:c>
      <x:c r="V392" s="11" t="n">
        <x:f>'站点明细'!$F1299</x:f>
        <x:v>43.4</x:v>
      </x:c>
      <x:c r="W392" s="11" t="n">
        <x:f>'站点明细'!$F1531</x:f>
        <x:v>0</x:v>
      </x:c>
    </x:row>
    <x:row r="393">
      <x:c r="A393" t="str">
        <x:f>TEXT($B393,"mm-dd")</x:f>
        <x:v>05-19</x:v>
      </x:c>
      <x:c r="B393" s="9" t="n">
        <x:f>'站点明细'!$C140</x:f>
        <x:v>46161</x:v>
      </x:c>
      <x:c r="C393" s="10" t="n">
        <x:f>'站点明细'!$E140</x:f>
        <x:v>2702</x:v>
      </x:c>
      <x:c r="D393" s="10" t="n">
        <x:f>'站点明细'!$D140</x:f>
        <x:v>1908</x:v>
      </x:c>
      <x:c r="E393" s="10" t="n">
        <x:f>'站点明细'!$E372</x:f>
        <x:v>1478</x:v>
      </x:c>
      <x:c r="F393" s="10" t="n">
        <x:f>'站点明细'!$D372</x:f>
        <x:v>684</x:v>
      </x:c>
      <x:c r="G393" s="10" t="n">
        <x:f>'站点明细'!$E604</x:f>
        <x:v>835</x:v>
      </x:c>
      <x:c r="H393" s="10" t="n">
        <x:f>'站点明细'!$D604</x:f>
        <x:v>517</x:v>
      </x:c>
      <x:c r="I393" s="10" t="n">
        <x:f>'站点明细'!$E836</x:f>
        <x:v>19</x:v>
      </x:c>
      <x:c r="J393" s="10" t="n">
        <x:f>'站点明细'!$D836</x:f>
        <x:v>8</x:v>
      </x:c>
      <x:c r="K393" s="10" t="n">
        <x:f>'站点明细'!$E1068</x:f>
        <x:v>66</x:v>
      </x:c>
      <x:c r="L393" s="10" t="n">
        <x:f>'站点明细'!$D1068</x:f>
        <x:v>56</x:v>
      </x:c>
      <x:c r="M393" s="10" t="n">
        <x:f>'站点明细'!$E1300</x:f>
        <x:v>38</x:v>
      </x:c>
      <x:c r="N393" s="10" t="n">
        <x:f>'站点明细'!$D1300</x:f>
        <x:v>37</x:v>
      </x:c>
      <x:c r="O393" s="10" t="n">
        <x:f>'站点明细'!$E1532</x:f>
        <x:v>0</x:v>
      </x:c>
      <x:c r="P393" s="10" t="n">
        <x:f>'站点明细'!$D1532</x:f>
        <x:v>0</x:v>
      </x:c>
      <x:c r="Q393" s="11" t="n">
        <x:f>'站点明细'!$F140</x:f>
        <x:v>23239.8</x:v>
      </x:c>
      <x:c r="R393" s="11" t="n">
        <x:f>'站点明细'!$F372</x:f>
        <x:v>13220.57</x:v>
      </x:c>
      <x:c r="S393" s="11" t="n">
        <x:f>'站点明细'!$F604</x:f>
        <x:v>6753.64</x:v>
      </x:c>
      <x:c r="T393" s="11" t="n">
        <x:f>'站点明细'!$F836</x:f>
        <x:v>251.55</x:v>
      </x:c>
      <x:c r="U393" s="11" t="n">
        <x:f>'站点明细'!$F1068</x:f>
        <x:v>711.34</x:v>
      </x:c>
      <x:c r="V393" s="11" t="n">
        <x:f>'站点明细'!$F1300</x:f>
        <x:v>1634.28</x:v>
      </x:c>
      <x:c r="W393" s="11" t="n">
        <x:f>'站点明细'!$F1532</x:f>
        <x:v>0</x:v>
      </x:c>
    </x:row>
    <x:row r="394">
      <x:c r="A394" t="str">
        <x:f>TEXT($B394,"mm-dd")</x:f>
        <x:v>05-20</x:v>
      </x:c>
      <x:c r="B394" s="9" t="n">
        <x:f>'站点明细'!$C141</x:f>
        <x:v>46162</x:v>
      </x:c>
      <x:c r="C394" s="10" t="n">
        <x:f>'站点明细'!$E141</x:f>
        <x:v>3047</x:v>
      </x:c>
      <x:c r="D394" s="10" t="n">
        <x:f>'站点明细'!$D141</x:f>
        <x:v>1812</x:v>
      </x:c>
      <x:c r="E394" s="10" t="n">
        <x:f>'站点明细'!$E373</x:f>
        <x:v>1387</x:v>
      </x:c>
      <x:c r="F394" s="10" t="n">
        <x:f>'站点明细'!$D373</x:f>
        <x:v>654</x:v>
      </x:c>
      <x:c r="G394" s="10" t="n">
        <x:f>'站点明细'!$E605</x:f>
        <x:v>950</x:v>
      </x:c>
      <x:c r="H394" s="10" t="n">
        <x:f>'站点明细'!$D605</x:f>
        <x:v>562</x:v>
      </x:c>
      <x:c r="I394" s="10" t="n">
        <x:f>'站点明细'!$E837</x:f>
        <x:v>15</x:v>
      </x:c>
      <x:c r="J394" s="10" t="n">
        <x:f>'站点明细'!$D837</x:f>
        <x:v>14</x:v>
      </x:c>
      <x:c r="K394" s="10" t="n">
        <x:f>'站点明细'!$E1069</x:f>
        <x:v>45</x:v>
      </x:c>
      <x:c r="L394" s="10" t="n">
        <x:f>'站点明细'!$D1069</x:f>
        <x:v>41</x:v>
      </x:c>
      <x:c r="M394" s="10" t="n">
        <x:f>'站点明细'!$E1301</x:f>
        <x:v>34</x:v>
      </x:c>
      <x:c r="N394" s="10" t="n">
        <x:f>'站点明细'!$D1301</x:f>
        <x:v>32</x:v>
      </x:c>
      <x:c r="O394" s="10" t="n">
        <x:f>'站点明细'!$E1533</x:f>
        <x:v>0</x:v>
      </x:c>
      <x:c r="P394" s="10" t="n">
        <x:f>'站点明细'!$D1533</x:f>
        <x:v>0</x:v>
      </x:c>
      <x:c r="Q394" s="11" t="n">
        <x:f>'站点明细'!$F141</x:f>
        <x:v>24070.31</x:v>
      </x:c>
      <x:c r="R394" s="11" t="n">
        <x:f>'站点明细'!$F373</x:f>
        <x:v>13031.64</x:v>
      </x:c>
      <x:c r="S394" s="11" t="n">
        <x:f>'站点明细'!$F605</x:f>
        <x:v>7330.45</x:v>
      </x:c>
      <x:c r="T394" s="11" t="n">
        <x:f>'站点明细'!$F837</x:f>
        <x:v>115.74</x:v>
      </x:c>
      <x:c r="U394" s="11" t="n">
        <x:f>'站点明细'!$F1069</x:f>
        <x:v>537.82</x:v>
      </x:c>
      <x:c r="V394" s="11" t="n">
        <x:f>'站点明细'!$F1301</x:f>
        <x:v>1573.11</x:v>
      </x:c>
      <x:c r="W394" s="11" t="n">
        <x:f>'站点明细'!$F1533</x:f>
        <x:v>0</x:v>
      </x:c>
    </x:row>
    <x:row r="395">
      <x:c r="A395" t="str">
        <x:f>TEXT($B395,"mm-dd")</x:f>
        <x:v>05-21</x:v>
      </x:c>
      <x:c r="B395" s="9" t="n">
        <x:f>'站点明细'!$C142</x:f>
        <x:v>46163</x:v>
      </x:c>
      <x:c r="C395" s="10" t="n">
        <x:f>'站点明细'!$E142</x:f>
        <x:v>2386</x:v>
      </x:c>
      <x:c r="D395" s="10" t="n">
        <x:f>'站点明细'!$D142</x:f>
        <x:v>1724</x:v>
      </x:c>
      <x:c r="E395" s="10" t="n">
        <x:f>'站点明细'!$E374</x:f>
        <x:v>1380</x:v>
      </x:c>
      <x:c r="F395" s="10" t="n">
        <x:f>'站点明细'!$D374</x:f>
        <x:v>666</x:v>
      </x:c>
      <x:c r="G395" s="10" t="n">
        <x:f>'站点明细'!$E606</x:f>
        <x:v>927</x:v>
      </x:c>
      <x:c r="H395" s="10" t="n">
        <x:f>'站点明细'!$D606</x:f>
        <x:v>491</x:v>
      </x:c>
      <x:c r="I395" s="10" t="n">
        <x:f>'站点明细'!$E838</x:f>
        <x:v>4</x:v>
      </x:c>
      <x:c r="J395" s="10" t="n">
        <x:f>'站点明细'!$D838</x:f>
        <x:v>2</x:v>
      </x:c>
      <x:c r="K395" s="10" t="n">
        <x:f>'站点明细'!$E1070</x:f>
        <x:v>65</x:v>
      </x:c>
      <x:c r="L395" s="10" t="n">
        <x:f>'站点明细'!$D1070</x:f>
        <x:v>49</x:v>
      </x:c>
      <x:c r="M395" s="10" t="n">
        <x:f>'站点明细'!$E1302</x:f>
        <x:v>26</x:v>
      </x:c>
      <x:c r="N395" s="10" t="n">
        <x:f>'站点明细'!$D1302</x:f>
        <x:v>24</x:v>
      </x:c>
      <x:c r="O395" s="10" t="n">
        <x:f>'站点明细'!$E1534</x:f>
        <x:v>0</x:v>
      </x:c>
      <x:c r="P395" s="10" t="n">
        <x:f>'站点明细'!$D1534</x:f>
        <x:v>0</x:v>
      </x:c>
      <x:c r="Q395" s="11" t="n">
        <x:f>'站点明细'!$F142</x:f>
        <x:v>20102.91</x:v>
      </x:c>
      <x:c r="R395" s="11" t="n">
        <x:f>'站点明细'!$F374</x:f>
        <x:v>13514.25</x:v>
      </x:c>
      <x:c r="S395" s="11" t="n">
        <x:f>'站点明细'!$F606</x:f>
        <x:v>6767.86</x:v>
      </x:c>
      <x:c r="T395" s="11" t="n">
        <x:f>'站点明细'!$F838</x:f>
        <x:v>74.37</x:v>
      </x:c>
      <x:c r="U395" s="11" t="n">
        <x:f>'站点明细'!$F1070</x:f>
        <x:v>659.68</x:v>
      </x:c>
      <x:c r="V395" s="11" t="n">
        <x:f>'站点明细'!$F1302</x:f>
        <x:v>986.21</x:v>
      </x:c>
      <x:c r="W395" s="11" t="n">
        <x:f>'站点明细'!$F1534</x:f>
        <x:v>0</x:v>
      </x:c>
    </x:row>
    <x:row r="396">
      <x:c r="A396" t="str">
        <x:f>TEXT($B396,"mm-dd")</x:f>
        <x:v>05-22</x:v>
      </x:c>
      <x:c r="B396" s="9" t="n">
        <x:f>'站点明细'!$C143</x:f>
        <x:v>46164</x:v>
      </x:c>
      <x:c r="C396" s="10" t="n">
        <x:f>'站点明细'!$E143</x:f>
        <x:v>2542</x:v>
      </x:c>
      <x:c r="D396" s="10" t="n">
        <x:f>'站点明细'!$D143</x:f>
        <x:v>1781</x:v>
      </x:c>
      <x:c r="E396" s="10" t="n">
        <x:f>'站点明细'!$E375</x:f>
        <x:v>1517</x:v>
      </x:c>
      <x:c r="F396" s="10" t="n">
        <x:f>'站点明细'!$D375</x:f>
        <x:v>728</x:v>
      </x:c>
      <x:c r="G396" s="10" t="n">
        <x:f>'站点明细'!$E607</x:f>
        <x:v>1128</x:v>
      </x:c>
      <x:c r="H396" s="10" t="n">
        <x:f>'站点明细'!$D607</x:f>
        <x:v>585</x:v>
      </x:c>
      <x:c r="I396" s="10" t="n">
        <x:f>'站点明细'!$E839</x:f>
        <x:v>0</x:v>
      </x:c>
      <x:c r="J396" s="10" t="n">
        <x:f>'站点明细'!$D839</x:f>
        <x:v>0</x:v>
      </x:c>
      <x:c r="K396" s="10" t="n">
        <x:f>'站点明细'!$E1071</x:f>
        <x:v>57</x:v>
      </x:c>
      <x:c r="L396" s="10" t="n">
        <x:f>'站点明细'!$D1071</x:f>
        <x:v>49</x:v>
      </x:c>
      <x:c r="M396" s="10" t="n">
        <x:f>'站点明细'!$E1303</x:f>
        <x:v>81</x:v>
      </x:c>
      <x:c r="N396" s="10" t="n">
        <x:f>'站点明细'!$D1303</x:f>
        <x:v>79</x:v>
      </x:c>
      <x:c r="O396" s="10" t="n">
        <x:f>'站点明细'!$E1535</x:f>
        <x:v>0</x:v>
      </x:c>
      <x:c r="P396" s="10" t="n">
        <x:f>'站点明细'!$D1535</x:f>
        <x:v>0</x:v>
      </x:c>
      <x:c r="Q396" s="11" t="n">
        <x:f>'站点明细'!$F143</x:f>
        <x:v>21725.14</x:v>
      </x:c>
      <x:c r="R396" s="11" t="n">
        <x:f>'站点明细'!$F375</x:f>
        <x:v>13621.79</x:v>
      </x:c>
      <x:c r="S396" s="11" t="n">
        <x:f>'站点明细'!$F607</x:f>
        <x:v>8005.17</x:v>
      </x:c>
      <x:c r="T396" s="11" t="n">
        <x:f>'站点明细'!$F839</x:f>
        <x:v>0</x:v>
      </x:c>
      <x:c r="U396" s="11" t="n">
        <x:f>'站点明细'!$F1071</x:f>
        <x:v>603.01</x:v>
      </x:c>
      <x:c r="V396" s="11" t="n">
        <x:f>'站点明细'!$F1303</x:f>
        <x:v>2234.43</x:v>
      </x:c>
      <x:c r="W396" s="11" t="n">
        <x:f>'站点明细'!$F1535</x:f>
        <x:v>0</x:v>
      </x:c>
    </x:row>
    <x:row r="397">
      <x:c r="A397" t="str">
        <x:f>TEXT($B397,"mm-dd")</x:f>
        <x:v>05-23</x:v>
      </x:c>
      <x:c r="B397" s="9" t="n">
        <x:f>'站点明细'!$C144</x:f>
        <x:v>46165</x:v>
      </x:c>
      <x:c r="C397" s="10" t="n">
        <x:f>'站点明细'!$E144</x:f>
        <x:v>2522</x:v>
      </x:c>
      <x:c r="D397" s="10" t="n">
        <x:f>'站点明细'!$D144</x:f>
        <x:v>1840</x:v>
      </x:c>
      <x:c r="E397" s="10" t="n">
        <x:f>'站点明细'!$E376</x:f>
        <x:v>1677</x:v>
      </x:c>
      <x:c r="F397" s="10" t="n">
        <x:f>'站点明细'!$D376</x:f>
        <x:v>920</x:v>
      </x:c>
      <x:c r="G397" s="10" t="n">
        <x:f>'站点明细'!$E608</x:f>
        <x:v>1074</x:v>
      </x:c>
      <x:c r="H397" s="10" t="n">
        <x:f>'站点明细'!$D608</x:f>
        <x:v>625</x:v>
      </x:c>
      <x:c r="I397" s="10" t="n">
        <x:f>'站点明细'!$E840</x:f>
        <x:v>6</x:v>
      </x:c>
      <x:c r="J397" s="10" t="n">
        <x:f>'站点明细'!$D840</x:f>
        <x:v>3</x:v>
      </x:c>
      <x:c r="K397" s="10" t="n">
        <x:f>'站点明细'!$E1072</x:f>
        <x:v>92</x:v>
      </x:c>
      <x:c r="L397" s="10" t="n">
        <x:f>'站点明细'!$D1072</x:f>
        <x:v>76</x:v>
      </x:c>
      <x:c r="M397" s="10" t="n">
        <x:f>'站点明细'!$E1304</x:f>
        <x:v>35</x:v>
      </x:c>
      <x:c r="N397" s="10" t="n">
        <x:f>'站点明细'!$D1304</x:f>
        <x:v>32</x:v>
      </x:c>
      <x:c r="O397" s="10" t="n">
        <x:f>'站点明细'!$E1536</x:f>
        <x:v>0</x:v>
      </x:c>
      <x:c r="P397" s="10" t="n">
        <x:f>'站点明细'!$D1536</x:f>
        <x:v>0</x:v>
      </x:c>
      <x:c r="Q397" s="11" t="n">
        <x:f>'站点明细'!$F144</x:f>
        <x:v>21818.56</x:v>
      </x:c>
      <x:c r="R397" s="11" t="n">
        <x:f>'站点明细'!$F376</x:f>
        <x:v>16531.58</x:v>
      </x:c>
      <x:c r="S397" s="11" t="n">
        <x:f>'站点明细'!$F608</x:f>
        <x:v>8838.41</x:v>
      </x:c>
      <x:c r="T397" s="11" t="n">
        <x:f>'站点明细'!$F840</x:f>
        <x:v>98.82</x:v>
      </x:c>
      <x:c r="U397" s="11" t="n">
        <x:f>'站点明细'!$F1072</x:f>
        <x:v>1065.57</x:v>
      </x:c>
      <x:c r="V397" s="11" t="n">
        <x:f>'站点明细'!$F1304</x:f>
        <x:v>1440.79</x:v>
      </x:c>
      <x:c r="W397" s="11" t="n">
        <x:f>'站点明细'!$F1536</x:f>
        <x:v>0</x:v>
      </x:c>
    </x:row>
    <x:row r="398">
      <x:c r="A398" t="str">
        <x:f>TEXT($B398,"mm-dd")</x:f>
        <x:v>05-24</x:v>
      </x:c>
      <x:c r="B398" s="9" t="n">
        <x:f>'站点明细'!$C145</x:f>
        <x:v>46166</x:v>
      </x:c>
      <x:c r="C398" s="10" t="n">
        <x:f>'站点明细'!$E145</x:f>
        <x:v>2447</x:v>
      </x:c>
      <x:c r="D398" s="10" t="n">
        <x:f>'站点明细'!$D145</x:f>
        <x:v>1720</x:v>
      </x:c>
      <x:c r="E398" s="10" t="n">
        <x:f>'站点明细'!$E377</x:f>
        <x:v>1292</x:v>
      </x:c>
      <x:c r="F398" s="10" t="n">
        <x:f>'站点明细'!$D377</x:f>
        <x:v>598</x:v>
      </x:c>
      <x:c r="G398" s="10" t="n">
        <x:f>'站点明细'!$E609</x:f>
        <x:v>933</x:v>
      </x:c>
      <x:c r="H398" s="10" t="n">
        <x:f>'站点明细'!$D609</x:f>
        <x:v>571</x:v>
      </x:c>
      <x:c r="I398" s="10" t="n">
        <x:f>'站点明细'!$E841</x:f>
        <x:v>6</x:v>
      </x:c>
      <x:c r="J398" s="10" t="n">
        <x:f>'站点明细'!$D841</x:f>
        <x:v>1</x:v>
      </x:c>
      <x:c r="K398" s="10" t="n">
        <x:f>'站点明细'!$E1073</x:f>
        <x:v>72</x:v>
      </x:c>
      <x:c r="L398" s="10" t="n">
        <x:f>'站点明细'!$D1073</x:f>
        <x:v>65</x:v>
      </x:c>
      <x:c r="M398" s="10" t="n">
        <x:f>'站点明细'!$E1305</x:f>
        <x:v>33</x:v>
      </x:c>
      <x:c r="N398" s="10" t="n">
        <x:f>'站点明细'!$D1305</x:f>
        <x:v>30</x:v>
      </x:c>
      <x:c r="O398" s="10" t="n">
        <x:f>'站点明细'!$E1537</x:f>
        <x:v>0</x:v>
      </x:c>
      <x:c r="P398" s="10" t="n">
        <x:f>'站点明细'!$D1537</x:f>
        <x:v>0</x:v>
      </x:c>
      <x:c r="Q398" s="11" t="n">
        <x:f>'站点明细'!$F145</x:f>
        <x:v>20264.62</x:v>
      </x:c>
      <x:c r="R398" s="11" t="n">
        <x:f>'站点明细'!$F377</x:f>
        <x:v>11759.88</x:v>
      </x:c>
      <x:c r="S398" s="11" t="n">
        <x:f>'站点明细'!$F609</x:f>
        <x:v>8121.51</x:v>
      </x:c>
      <x:c r="T398" s="11" t="n">
        <x:f>'站点明细'!$F841</x:f>
        <x:v>80.42</x:v>
      </x:c>
      <x:c r="U398" s="11" t="n">
        <x:f>'站点明细'!$F1073</x:f>
        <x:v>826.83</x:v>
      </x:c>
      <x:c r="V398" s="11" t="n">
        <x:f>'站点明细'!$F1305</x:f>
        <x:v>1503.48</x:v>
      </x:c>
      <x:c r="W398" s="11" t="n">
        <x:f>'站点明细'!$F1537</x:f>
        <x:v>0</x:v>
      </x:c>
    </x:row>
    <x:row r="399">
      <x:c r="A399" t="str">
        <x:f>TEXT($B399,"mm-dd")</x:f>
        <x:v>05-25</x:v>
      </x:c>
      <x:c r="B399" s="9" t="n">
        <x:f>'站点明细'!$C146</x:f>
        <x:v>46167</x:v>
      </x:c>
      <x:c r="C399" s="10" t="n">
        <x:f>'站点明细'!$E146</x:f>
        <x:v>2913</x:v>
      </x:c>
      <x:c r="D399" s="10" t="n">
        <x:f>'站点明细'!$D146</x:f>
        <x:v>2180</x:v>
      </x:c>
      <x:c r="E399" s="10" t="n">
        <x:f>'站点明细'!$E378</x:f>
        <x:v>1425</x:v>
      </x:c>
      <x:c r="F399" s="10" t="n">
        <x:f>'站点明细'!$D378</x:f>
        <x:v>709</x:v>
      </x:c>
      <x:c r="G399" s="10" t="n">
        <x:f>'站点明细'!$E610</x:f>
        <x:v>1239</x:v>
      </x:c>
      <x:c r="H399" s="10" t="n">
        <x:f>'站点明细'!$D610</x:f>
        <x:v>719</x:v>
      </x:c>
      <x:c r="I399" s="10" t="n">
        <x:f>'站点明细'!$E842</x:f>
        <x:v>0</x:v>
      </x:c>
      <x:c r="J399" s="10" t="n">
        <x:f>'站点明细'!$D842</x:f>
        <x:v>0</x:v>
      </x:c>
      <x:c r="K399" s="10" t="n">
        <x:f>'站点明细'!$E1074</x:f>
        <x:v>62</x:v>
      </x:c>
      <x:c r="L399" s="10" t="n">
        <x:f>'站点明细'!$D1074</x:f>
        <x:v>52</x:v>
      </x:c>
      <x:c r="M399" s="10" t="n">
        <x:f>'站点明细'!$E1306</x:f>
        <x:v>15</x:v>
      </x:c>
      <x:c r="N399" s="10" t="n">
        <x:f>'站点明细'!$D1306</x:f>
        <x:v>14</x:v>
      </x:c>
      <x:c r="O399" s="10" t="n">
        <x:f>'站点明细'!$E1538</x:f>
        <x:v>0</x:v>
      </x:c>
      <x:c r="P399" s="10" t="n">
        <x:f>'站点明细'!$D1538</x:f>
        <x:v>0</x:v>
      </x:c>
      <x:c r="Q399" s="11" t="n">
        <x:f>'站点明细'!$F146</x:f>
        <x:v>25102.88</x:v>
      </x:c>
      <x:c r="R399" s="11" t="n">
        <x:f>'站点明细'!$F378</x:f>
        <x:v>13748.53</x:v>
      </x:c>
      <x:c r="S399" s="11" t="n">
        <x:f>'站点明细'!$F610</x:f>
        <x:v>11023.11</x:v>
      </x:c>
      <x:c r="T399" s="11" t="n">
        <x:f>'站点明细'!$F842</x:f>
        <x:v>0</x:v>
      </x:c>
      <x:c r="U399" s="11" t="n">
        <x:f>'站点明细'!$F1074</x:f>
        <x:v>657.07</x:v>
      </x:c>
      <x:c r="V399" s="11" t="n">
        <x:f>'站点明细'!$F1306</x:f>
        <x:v>728.73</x:v>
      </x:c>
      <x:c r="W399" s="11" t="n">
        <x:f>'站点明细'!$F1538</x:f>
        <x:v>0</x:v>
      </x:c>
    </x:row>
    <x:row r="400">
      <x:c r="A400" t="str">
        <x:f>TEXT($B400,"mm-dd")</x:f>
        <x:v>05-26</x:v>
      </x:c>
      <x:c r="B400" s="9" t="n">
        <x:f>'站点明细'!$C147</x:f>
        <x:v>46168</x:v>
      </x:c>
      <x:c r="C400" s="10" t="n">
        <x:f>'站点明细'!$E147</x:f>
        <x:v>3343</x:v>
      </x:c>
      <x:c r="D400" s="10" t="n">
        <x:f>'站点明细'!$D147</x:f>
        <x:v>2073</x:v>
      </x:c>
      <x:c r="E400" s="10" t="n">
        <x:f>'站点明细'!$E379</x:f>
        <x:v>1440</x:v>
      </x:c>
      <x:c r="F400" s="10" t="n">
        <x:f>'站点明细'!$D379</x:f>
        <x:v>707</x:v>
      </x:c>
      <x:c r="G400" s="10" t="n">
        <x:f>'站点明细'!$E611</x:f>
        <x:v>1048</x:v>
      </x:c>
      <x:c r="H400" s="10" t="n">
        <x:f>'站点明细'!$D611</x:f>
        <x:v>609</x:v>
      </x:c>
      <x:c r="I400" s="10" t="n">
        <x:f>'站点明细'!$E843</x:f>
        <x:v>3</x:v>
      </x:c>
      <x:c r="J400" s="10" t="n">
        <x:f>'站点明细'!$D843</x:f>
        <x:v>1</x:v>
      </x:c>
      <x:c r="K400" s="10" t="n">
        <x:f>'站点明细'!$E1075</x:f>
        <x:v>81</x:v>
      </x:c>
      <x:c r="L400" s="10" t="n">
        <x:f>'站点明细'!$D1075</x:f>
        <x:v>66</x:v>
      </x:c>
      <x:c r="M400" s="10" t="n">
        <x:f>'站点明细'!$E1307</x:f>
        <x:v>19</x:v>
      </x:c>
      <x:c r="N400" s="10" t="n">
        <x:f>'站点明细'!$D1307</x:f>
        <x:v>18</x:v>
      </x:c>
      <x:c r="O400" s="10" t="n">
        <x:f>'站点明细'!$E1539</x:f>
        <x:v>0</x:v>
      </x:c>
      <x:c r="P400" s="10" t="n">
        <x:f>'站点明细'!$D1539</x:f>
        <x:v>0</x:v>
      </x:c>
      <x:c r="Q400" s="11" t="n">
        <x:f>'站点明细'!$F147</x:f>
        <x:v>27232.44</x:v>
      </x:c>
      <x:c r="R400" s="11" t="n">
        <x:f>'站点明细'!$F379</x:f>
        <x:v>13453.45</x:v>
      </x:c>
      <x:c r="S400" s="11" t="n">
        <x:f>'站点明细'!$F611</x:f>
        <x:v>9019.02</x:v>
      </x:c>
      <x:c r="T400" s="11" t="n">
        <x:f>'站点明细'!$F843</x:f>
        <x:v>42.03</x:v>
      </x:c>
      <x:c r="U400" s="11" t="n">
        <x:f>'站点明细'!$F1075</x:f>
        <x:v>942.39</x:v>
      </x:c>
      <x:c r="V400" s="11" t="n">
        <x:f>'站点明细'!$F1307</x:f>
        <x:v>780.47</x:v>
      </x:c>
      <x:c r="W400" s="11" t="n">
        <x:f>'站点明细'!$F1539</x:f>
        <x:v>0</x:v>
      </x:c>
    </x:row>
    <x:row r="401">
      <x:c r="A401" t="str">
        <x:f>TEXT($B401,"mm-dd")</x:f>
        <x:v>05-27</x:v>
      </x:c>
      <x:c r="B401" s="9" t="n">
        <x:f>'站点明细'!$C148</x:f>
        <x:v>46169</x:v>
      </x:c>
      <x:c r="C401" s="10" t="n">
        <x:f>'站点明细'!$E148</x:f>
        <x:v>2679</x:v>
      </x:c>
      <x:c r="D401" s="10" t="n">
        <x:f>'站点明细'!$D148</x:f>
        <x:v>1888</x:v>
      </x:c>
      <x:c r="E401" s="10" t="n">
        <x:f>'站点明细'!$E380</x:f>
        <x:v>1430</x:v>
      </x:c>
      <x:c r="F401" s="10" t="n">
        <x:f>'站点明细'!$D380</x:f>
        <x:v>701</x:v>
      </x:c>
      <x:c r="G401" s="10" t="n">
        <x:f>'站点明细'!$E612</x:f>
        <x:v>987</x:v>
      </x:c>
      <x:c r="H401" s="10" t="n">
        <x:f>'站点明细'!$D612</x:f>
        <x:v>599</x:v>
      </x:c>
      <x:c r="I401" s="10" t="n">
        <x:f>'站点明细'!$E844</x:f>
        <x:v>0</x:v>
      </x:c>
      <x:c r="J401" s="10" t="n">
        <x:f>'站点明细'!$D844</x:f>
        <x:v>0</x:v>
      </x:c>
      <x:c r="K401" s="10" t="n">
        <x:f>'站点明细'!$E1076</x:f>
        <x:v>77</x:v>
      </x:c>
      <x:c r="L401" s="10" t="n">
        <x:f>'站点明细'!$D1076</x:f>
        <x:v>62</x:v>
      </x:c>
      <x:c r="M401" s="10" t="n">
        <x:f>'站点明细'!$E1308</x:f>
        <x:v>38</x:v>
      </x:c>
      <x:c r="N401" s="10" t="n">
        <x:f>'站点明细'!$D1308</x:f>
        <x:v>33</x:v>
      </x:c>
      <x:c r="O401" s="10" t="n">
        <x:f>'站点明细'!$E1540</x:f>
        <x:v>0</x:v>
      </x:c>
      <x:c r="P401" s="10" t="n">
        <x:f>'站点明细'!$D1540</x:f>
        <x:v>0</x:v>
      </x:c>
      <x:c r="Q401" s="11" t="n">
        <x:f>'站点明细'!$F148</x:f>
        <x:v>22127.85</x:v>
      </x:c>
      <x:c r="R401" s="11" t="n">
        <x:f>'站点明细'!$F380</x:f>
        <x:v>12871.49</x:v>
      </x:c>
      <x:c r="S401" s="11" t="n">
        <x:f>'站点明细'!$F612</x:f>
        <x:v>9051.98</x:v>
      </x:c>
      <x:c r="T401" s="11" t="n">
        <x:f>'站点明细'!$F844</x:f>
        <x:v>0</x:v>
      </x:c>
      <x:c r="U401" s="11" t="n">
        <x:f>'站点明细'!$F1076</x:f>
        <x:v>886.77</x:v>
      </x:c>
      <x:c r="V401" s="11" t="n">
        <x:f>'站点明细'!$F1308</x:f>
        <x:v>1796.99</x:v>
      </x:c>
      <x:c r="W401" s="11" t="n">
        <x:f>'站点明细'!$F1540</x:f>
        <x:v>0</x:v>
      </x:c>
    </x:row>
    <x:row r="402">
      <x:c r="A402" t="str">
        <x:f>TEXT($B402,"mm-dd")</x:f>
        <x:v>05-28</x:v>
      </x:c>
      <x:c r="B402" s="9" t="n">
        <x:f>'站点明细'!$C149</x:f>
        <x:v>46170</x:v>
      </x:c>
      <x:c r="C402" s="10" t="n">
        <x:f>'站点明细'!$E149</x:f>
        <x:v>3105</x:v>
      </x:c>
      <x:c r="D402" s="10" t="n">
        <x:f>'站点明细'!$D149</x:f>
        <x:v>2093</x:v>
      </x:c>
      <x:c r="E402" s="10" t="n">
        <x:f>'站点明细'!$E381</x:f>
        <x:v>1314</x:v>
      </x:c>
      <x:c r="F402" s="10" t="n">
        <x:f>'站点明细'!$D381</x:f>
        <x:v>626</x:v>
      </x:c>
      <x:c r="G402" s="10" t="n">
        <x:f>'站点明细'!$E613</x:f>
        <x:v>1081</x:v>
      </x:c>
      <x:c r="H402" s="10" t="n">
        <x:f>'站点明细'!$D613</x:f>
        <x:v>625</x:v>
      </x:c>
      <x:c r="I402" s="10" t="n">
        <x:f>'站点明细'!$E845</x:f>
        <x:v>11</x:v>
      </x:c>
      <x:c r="J402" s="10" t="n">
        <x:f>'站点明细'!$D845</x:f>
        <x:v>11</x:v>
      </x:c>
      <x:c r="K402" s="10" t="n">
        <x:f>'站点明细'!$E1077</x:f>
        <x:v>85</x:v>
      </x:c>
      <x:c r="L402" s="10" t="n">
        <x:f>'站点明细'!$D1077</x:f>
        <x:v>70</x:v>
      </x:c>
      <x:c r="M402" s="10" t="n">
        <x:f>'站点明细'!$E1309</x:f>
        <x:v>33</x:v>
      </x:c>
      <x:c r="N402" s="10" t="n">
        <x:f>'站点明细'!$D1309</x:f>
        <x:v>31</x:v>
      </x:c>
      <x:c r="O402" s="10" t="n">
        <x:f>'站点明细'!$E1541</x:f>
        <x:v>0</x:v>
      </x:c>
      <x:c r="P402" s="10" t="n">
        <x:f>'站点明细'!$D1541</x:f>
        <x:v>0</x:v>
      </x:c>
      <x:c r="Q402" s="11" t="n">
        <x:f>'站点明细'!$F149</x:f>
        <x:v>25601.25</x:v>
      </x:c>
      <x:c r="R402" s="11" t="n">
        <x:f>'站点明细'!$F381</x:f>
        <x:v>11591.76</x:v>
      </x:c>
      <x:c r="S402" s="11" t="n">
        <x:f>'站点明细'!$F613</x:f>
        <x:v>9076.23</x:v>
      </x:c>
      <x:c r="T402" s="11" t="n">
        <x:f>'站点明细'!$F845</x:f>
        <x:v>19.97</x:v>
      </x:c>
      <x:c r="U402" s="11" t="n">
        <x:f>'站点明细'!$F1077</x:f>
        <x:v>876.05</x:v>
      </x:c>
      <x:c r="V402" s="11" t="n">
        <x:f>'站点明细'!$F1309</x:f>
        <x:v>1743.27</x:v>
      </x:c>
      <x:c r="W402" s="11" t="n">
        <x:f>'站点明细'!$F1541</x:f>
        <x:v>0</x:v>
      </x:c>
    </x:row>
    <x:row r="403">
      <x:c r="A403" t="str">
        <x:f>TEXT($B403,"mm-dd")</x:f>
        <x:v>05-29</x:v>
      </x:c>
      <x:c r="B403" s="9" t="n">
        <x:f>'站点明细'!$C150</x:f>
        <x:v>46171</x:v>
      </x:c>
      <x:c r="C403" s="10" t="n">
        <x:f>'站点明细'!$E150</x:f>
        <x:v>3371</x:v>
      </x:c>
      <x:c r="D403" s="10" t="n">
        <x:f>'站点明细'!$D150</x:f>
        <x:v>2309</x:v>
      </x:c>
      <x:c r="E403" s="10" t="n">
        <x:f>'站点明细'!$E382</x:f>
        <x:v>1469</x:v>
      </x:c>
      <x:c r="F403" s="10" t="n">
        <x:f>'站点明细'!$D382</x:f>
        <x:v>741</x:v>
      </x:c>
      <x:c r="G403" s="10" t="n">
        <x:f>'站点明细'!$E614</x:f>
        <x:v>1027</x:v>
      </x:c>
      <x:c r="H403" s="10" t="n">
        <x:f>'站点明细'!$D614</x:f>
        <x:v>622</x:v>
      </x:c>
      <x:c r="I403" s="10" t="n">
        <x:f>'站点明细'!$E846</x:f>
        <x:v>0</x:v>
      </x:c>
      <x:c r="J403" s="10" t="n">
        <x:f>'站点明细'!$D846</x:f>
        <x:v>0</x:v>
      </x:c>
      <x:c r="K403" s="10" t="n">
        <x:f>'站点明细'!$E1078</x:f>
        <x:v>73</x:v>
      </x:c>
      <x:c r="L403" s="10" t="n">
        <x:f>'站点明细'!$D1078</x:f>
        <x:v>63</x:v>
      </x:c>
      <x:c r="M403" s="10" t="n">
        <x:f>'站点明细'!$E1310</x:f>
        <x:v>29</x:v>
      </x:c>
      <x:c r="N403" s="10" t="n">
        <x:f>'站点明细'!$D1310</x:f>
        <x:v>23</x:v>
      </x:c>
      <x:c r="O403" s="10" t="n">
        <x:f>'站点明细'!$E1542</x:f>
        <x:v>0</x:v>
      </x:c>
      <x:c r="P403" s="10" t="n">
        <x:f>'站点明细'!$D1542</x:f>
        <x:v>0</x:v>
      </x:c>
      <x:c r="Q403" s="11" t="n">
        <x:f>'站点明细'!$F150</x:f>
        <x:v>27065.75</x:v>
      </x:c>
      <x:c r="R403" s="11" t="n">
        <x:f>'站点明细'!$F382</x:f>
        <x:v>13670.32</x:v>
      </x:c>
      <x:c r="S403" s="11" t="n">
        <x:f>'站点明细'!$F614</x:f>
        <x:v>8960.26</x:v>
      </x:c>
      <x:c r="T403" s="11" t="n">
        <x:f>'站点明细'!$F846</x:f>
        <x:v>0</x:v>
      </x:c>
      <x:c r="U403" s="11" t="n">
        <x:f>'站点明细'!$F1078</x:f>
        <x:v>802.81</x:v>
      </x:c>
      <x:c r="V403" s="11" t="n">
        <x:f>'站点明细'!$F1310</x:f>
        <x:v>1173.2</x:v>
      </x:c>
      <x:c r="W403" s="11" t="n">
        <x:f>'站点明细'!$F1542</x:f>
        <x:v>0</x:v>
      </x:c>
    </x:row>
    <x:row r="404">
      <x:c r="A404" t="str">
        <x:f>TEXT($B404,"mm-dd")</x:f>
        <x:v>05-30</x:v>
      </x:c>
      <x:c r="B404" s="9" t="n">
        <x:f>'站点明细'!$C151</x:f>
        <x:v>46172</x:v>
      </x:c>
      <x:c r="C404" s="10" t="n">
        <x:f>'站点明细'!$E151</x:f>
        <x:v>3355</x:v>
      </x:c>
      <x:c r="D404" s="10" t="n">
        <x:f>'站点明细'!$D151</x:f>
        <x:v>2262</x:v>
      </x:c>
      <x:c r="E404" s="10" t="n">
        <x:f>'站点明细'!$E383</x:f>
        <x:v>1521</x:v>
      </x:c>
      <x:c r="F404" s="10" t="n">
        <x:f>'站点明细'!$D383</x:f>
        <x:v>754</x:v>
      </x:c>
      <x:c r="G404" s="10" t="n">
        <x:f>'站点明细'!$E615</x:f>
        <x:v>855</x:v>
      </x:c>
      <x:c r="H404" s="10" t="n">
        <x:f>'站点明细'!$D615</x:f>
        <x:v>540</x:v>
      </x:c>
      <x:c r="I404" s="10" t="n">
        <x:f>'站点明细'!$E847</x:f>
        <x:v>0</x:v>
      </x:c>
      <x:c r="J404" s="10" t="n">
        <x:f>'站点明细'!$D847</x:f>
        <x:v>0</x:v>
      </x:c>
      <x:c r="K404" s="10" t="n">
        <x:f>'站点明细'!$E1079</x:f>
        <x:v>114</x:v>
      </x:c>
      <x:c r="L404" s="10" t="n">
        <x:f>'站点明细'!$D1079</x:f>
        <x:v>68</x:v>
      </x:c>
      <x:c r="M404" s="10" t="n">
        <x:f>'站点明细'!$E1311</x:f>
        <x:v>29</x:v>
      </x:c>
      <x:c r="N404" s="10" t="n">
        <x:f>'站点明细'!$D1311</x:f>
        <x:v>22</x:v>
      </x:c>
      <x:c r="O404" s="10" t="n">
        <x:f>'站点明细'!$E1543</x:f>
        <x:v>0</x:v>
      </x:c>
      <x:c r="P404" s="10" t="n">
        <x:f>'站点明细'!$D1543</x:f>
        <x:v>0</x:v>
      </x:c>
      <x:c r="Q404" s="11" t="n">
        <x:f>'站点明细'!$F151</x:f>
        <x:v>26797.36</x:v>
      </x:c>
      <x:c r="R404" s="11" t="n">
        <x:f>'站点明细'!$F383</x:f>
        <x:v>14121.52</x:v>
      </x:c>
      <x:c r="S404" s="11" t="n">
        <x:f>'站点明细'!$F615</x:f>
        <x:v>7162.13</x:v>
      </x:c>
      <x:c r="T404" s="11" t="n">
        <x:f>'站点明细'!$F847</x:f>
        <x:v>0</x:v>
      </x:c>
      <x:c r="U404" s="11" t="n">
        <x:f>'站点明细'!$F1079</x:f>
        <x:v>1007.48</x:v>
      </x:c>
      <x:c r="V404" s="11" t="n">
        <x:f>'站点明细'!$F1311</x:f>
        <x:v>1099.67</x:v>
      </x:c>
      <x:c r="W404" s="11" t="n">
        <x:f>'站点明细'!$F1543</x:f>
        <x:v>0</x:v>
      </x:c>
    </x:row>
    <x:row r="405">
      <x:c r="A405" t="str">
        <x:f>TEXT($B405,"mm-dd")</x:f>
        <x:v>05-31</x:v>
      </x:c>
      <x:c r="B405" s="9" t="n">
        <x:f>'站点明细'!$C152</x:f>
        <x:v>46173</x:v>
      </x:c>
      <x:c r="C405" s="10" t="n">
        <x:f>'站点明细'!$E152</x:f>
        <x:v>3150</x:v>
      </x:c>
      <x:c r="D405" s="10" t="n">
        <x:f>'站点明细'!$D152</x:f>
        <x:v>2140</x:v>
      </x:c>
      <x:c r="E405" s="10" t="n">
        <x:f>'站点明细'!$E384</x:f>
        <x:v>1377</x:v>
      </x:c>
      <x:c r="F405" s="10" t="n">
        <x:f>'站点明细'!$D384</x:f>
        <x:v>708</x:v>
      </x:c>
      <x:c r="G405" s="10" t="n">
        <x:f>'站点明细'!$E616</x:f>
        <x:v>923</x:v>
      </x:c>
      <x:c r="H405" s="10" t="n">
        <x:f>'站点明细'!$D616</x:f>
        <x:v>516</x:v>
      </x:c>
      <x:c r="I405" s="10" t="n">
        <x:f>'站点明细'!$E848</x:f>
        <x:v>0</x:v>
      </x:c>
      <x:c r="J405" s="10" t="n">
        <x:f>'站点明细'!$D848</x:f>
        <x:v>0</x:v>
      </x:c>
      <x:c r="K405" s="10" t="n">
        <x:f>'站点明细'!$E1080</x:f>
        <x:v>157</x:v>
      </x:c>
      <x:c r="L405" s="10" t="n">
        <x:f>'站点明细'!$D1080</x:f>
        <x:v>79</x:v>
      </x:c>
      <x:c r="M405" s="10" t="n">
        <x:f>'站点明细'!$E1312</x:f>
        <x:v>31</x:v>
      </x:c>
      <x:c r="N405" s="10" t="n">
        <x:f>'站点明细'!$D1312</x:f>
        <x:v>25</x:v>
      </x:c>
      <x:c r="O405" s="10" t="n">
        <x:f>'站点明细'!$E1544</x:f>
        <x:v>0</x:v>
      </x:c>
      <x:c r="P405" s="10" t="n">
        <x:f>'站点明细'!$D1544</x:f>
        <x:v>0</x:v>
      </x:c>
      <x:c r="Q405" s="11" t="n">
        <x:f>'站点明细'!$F152</x:f>
        <x:v>25522.68</x:v>
      </x:c>
      <x:c r="R405" s="11" t="n">
        <x:f>'站点明细'!$F384</x:f>
        <x:v>13021.39</x:v>
      </x:c>
      <x:c r="S405" s="11" t="n">
        <x:f>'站点明细'!$F616</x:f>
        <x:v>14643.78</x:v>
      </x:c>
      <x:c r="T405" s="11" t="n">
        <x:f>'站点明细'!$F848</x:f>
        <x:v>0</x:v>
      </x:c>
      <x:c r="U405" s="11" t="n">
        <x:f>'站点明细'!$F1080</x:f>
        <x:v>1025.36</x:v>
      </x:c>
      <x:c r="V405" s="11" t="n">
        <x:f>'站点明细'!$F1312</x:f>
        <x:v>1055.89</x:v>
      </x:c>
      <x:c r="W405" s="11" t="n">
        <x:f>'站点明细'!$F1544</x:f>
        <x:v>0</x:v>
      </x:c>
    </x:row>
    <x:row r="406">
      <x:c r="A406" t="str">
        <x:f>TEXT($B406,"mm-dd")</x:f>
        <x:v>06-01</x:v>
      </x:c>
      <x:c r="B406" s="9" t="n">
        <x:f>'站点明细'!$C153</x:f>
        <x:v>46174</x:v>
      </x:c>
      <x:c r="C406" s="10" t="n">
        <x:f>'站点明细'!$E153</x:f>
        <x:v>3291</x:v>
      </x:c>
      <x:c r="D406" s="10" t="n">
        <x:f>'站点明细'!$D153</x:f>
        <x:v>2198</x:v>
      </x:c>
      <x:c r="E406" s="10" t="n">
        <x:f>'站点明细'!$E385</x:f>
        <x:v>1597</x:v>
      </x:c>
      <x:c r="F406" s="10" t="n">
        <x:f>'站点明细'!$D385</x:f>
        <x:v>795</x:v>
      </x:c>
      <x:c r="G406" s="10" t="n">
        <x:f>'站点明细'!$E617</x:f>
        <x:v>898</x:v>
      </x:c>
      <x:c r="H406" s="10" t="n">
        <x:f>'站点明细'!$D617</x:f>
        <x:v>552</x:v>
      </x:c>
      <x:c r="I406" s="10" t="n">
        <x:f>'站点明细'!$E849</x:f>
        <x:v>3</x:v>
      </x:c>
      <x:c r="J406" s="10" t="n">
        <x:f>'站点明细'!$D849</x:f>
        <x:v>2</x:v>
      </x:c>
      <x:c r="K406" s="10" t="n">
        <x:f>'站点明细'!$E1081</x:f>
        <x:v>197</x:v>
      </x:c>
      <x:c r="L406" s="10" t="n">
        <x:f>'站点明细'!$D1081</x:f>
        <x:v>89</x:v>
      </x:c>
      <x:c r="M406" s="10" t="n">
        <x:f>'站点明细'!$E1313</x:f>
        <x:v>31</x:v>
      </x:c>
      <x:c r="N406" s="10" t="n">
        <x:f>'站点明细'!$D1313</x:f>
        <x:v>28</x:v>
      </x:c>
      <x:c r="O406" s="10" t="n">
        <x:f>'站点明细'!$E1545</x:f>
        <x:v>0</x:v>
      </x:c>
      <x:c r="P406" s="10" t="n">
        <x:f>'站点明细'!$D1545</x:f>
        <x:v>0</x:v>
      </x:c>
      <x:c r="Q406" s="11" t="n">
        <x:f>'站点明细'!$F153</x:f>
        <x:v>27647.51</x:v>
      </x:c>
      <x:c r="R406" s="11" t="n">
        <x:f>'站点明细'!$F385</x:f>
        <x:v>14387.28</x:v>
      </x:c>
      <x:c r="S406" s="11" t="n">
        <x:f>'站点明细'!$F617</x:f>
        <x:v>7523.74</x:v>
      </x:c>
      <x:c r="T406" s="11" t="n">
        <x:f>'站点明细'!$F849</x:f>
        <x:v>74.37</x:v>
      </x:c>
      <x:c r="U406" s="11" t="n">
        <x:f>'站点明细'!$F1081</x:f>
        <x:v>1426.95</x:v>
      </x:c>
      <x:c r="V406" s="11" t="n">
        <x:f>'站点明细'!$F1313</x:f>
        <x:v>1383.15</x:v>
      </x:c>
      <x:c r="W406" s="11" t="n">
        <x:f>'站点明细'!$F1545</x:f>
        <x:v>0</x:v>
      </x:c>
    </x:row>
    <x:row r="407">
      <x:c r="A407" t="str">
        <x:f>TEXT($B407,"mm-dd")</x:f>
        <x:v>06-02</x:v>
      </x:c>
      <x:c r="B407" s="9" t="n">
        <x:f>'站点明细'!$C154</x:f>
        <x:v>46175</x:v>
      </x:c>
      <x:c r="C407" s="10" t="n">
        <x:f>'站点明细'!$E154</x:f>
        <x:v>3105</x:v>
      </x:c>
      <x:c r="D407" s="10" t="n">
        <x:f>'站点明细'!$D154</x:f>
        <x:v>2151</x:v>
      </x:c>
      <x:c r="E407" s="10" t="n">
        <x:f>'站点明细'!$E386</x:f>
        <x:v>1446</x:v>
      </x:c>
      <x:c r="F407" s="10" t="n">
        <x:f>'站点明细'!$D386</x:f>
        <x:v>739</x:v>
      </x:c>
      <x:c r="G407" s="10" t="n">
        <x:f>'站点明细'!$E618</x:f>
        <x:v>944</x:v>
      </x:c>
      <x:c r="H407" s="10" t="n">
        <x:f>'站点明细'!$D618</x:f>
        <x:v>530</x:v>
      </x:c>
      <x:c r="I407" s="10" t="n">
        <x:f>'站点明细'!$E850</x:f>
        <x:v>0</x:v>
      </x:c>
      <x:c r="J407" s="10" t="n">
        <x:f>'站点明细'!$D850</x:f>
        <x:v>0</x:v>
      </x:c>
      <x:c r="K407" s="10" t="n">
        <x:f>'站点明细'!$E1082</x:f>
        <x:v>236</x:v>
      </x:c>
      <x:c r="L407" s="10" t="n">
        <x:f>'站点明细'!$D1082</x:f>
        <x:v>115</x:v>
      </x:c>
      <x:c r="M407" s="10" t="n">
        <x:f>'站点明细'!$E1314</x:f>
        <x:v>43</x:v>
      </x:c>
      <x:c r="N407" s="10" t="n">
        <x:f>'站点明细'!$D1314</x:f>
        <x:v>19</x:v>
      </x:c>
      <x:c r="O407" s="10" t="n">
        <x:f>'站点明细'!$E1546</x:f>
        <x:v>0</x:v>
      </x:c>
      <x:c r="P407" s="10" t="n">
        <x:f>'站点明细'!$D1546</x:f>
        <x:v>0</x:v>
      </x:c>
      <x:c r="Q407" s="11" t="n">
        <x:f>'站点明细'!$F154</x:f>
        <x:v>26511.49</x:v>
      </x:c>
      <x:c r="R407" s="11" t="n">
        <x:f>'站点明细'!$F386</x:f>
        <x:v>13319.82</x:v>
      </x:c>
      <x:c r="S407" s="11" t="n">
        <x:f>'站点明细'!$F618</x:f>
        <x:v>7694.71</x:v>
      </x:c>
      <x:c r="T407" s="11" t="n">
        <x:f>'站点明细'!$F850</x:f>
        <x:v>0</x:v>
      </x:c>
      <x:c r="U407" s="11" t="n">
        <x:f>'站点明细'!$F1082</x:f>
        <x:v>1681.44</x:v>
      </x:c>
      <x:c r="V407" s="11" t="n">
        <x:f>'站点明细'!$F1314</x:f>
        <x:v>1525.48</x:v>
      </x:c>
      <x:c r="W407" s="11" t="n">
        <x:f>'站点明细'!$F1546</x:f>
        <x:v>0</x:v>
      </x:c>
    </x:row>
    <x:row r="408">
      <x:c r="A408" t="str">
        <x:f>TEXT($B408,"mm-dd")</x:f>
        <x:v>06-03</x:v>
      </x:c>
      <x:c r="B408" s="9" t="n">
        <x:f>'站点明细'!$C155</x:f>
        <x:v>46176</x:v>
      </x:c>
      <x:c r="C408" s="10" t="n">
        <x:f>'站点明细'!$E155</x:f>
        <x:v>2968</x:v>
      </x:c>
      <x:c r="D408" s="10" t="n">
        <x:f>'站点明细'!$D155</x:f>
        <x:v>1992</x:v>
      </x:c>
      <x:c r="E408" s="10" t="n">
        <x:f>'站点明细'!$E387</x:f>
        <x:v>1582</x:v>
      </x:c>
      <x:c r="F408" s="10" t="n">
        <x:f>'站点明细'!$D387</x:f>
        <x:v>775</x:v>
      </x:c>
      <x:c r="G408" s="10" t="n">
        <x:f>'站点明细'!$E619</x:f>
        <x:v>942</x:v>
      </x:c>
      <x:c r="H408" s="10" t="n">
        <x:f>'站点明细'!$D619</x:f>
        <x:v>541</x:v>
      </x:c>
      <x:c r="I408" s="10" t="n">
        <x:f>'站点明细'!$E851</x:f>
        <x:v>0</x:v>
      </x:c>
      <x:c r="J408" s="10" t="n">
        <x:f>'站点明细'!$D851</x:f>
        <x:v>0</x:v>
      </x:c>
      <x:c r="K408" s="10" t="n">
        <x:f>'站点明细'!$E1083</x:f>
        <x:v>245</x:v>
      </x:c>
      <x:c r="L408" s="10" t="n">
        <x:f>'站点明细'!$D1083</x:f>
        <x:v>114</x:v>
      </x:c>
      <x:c r="M408" s="10" t="n">
        <x:f>'站点明细'!$E1315</x:f>
        <x:v>76</x:v>
      </x:c>
      <x:c r="N408" s="10" t="n">
        <x:f>'站点明细'!$D1315</x:f>
        <x:v>59</x:v>
      </x:c>
      <x:c r="O408" s="10" t="n">
        <x:f>'站点明细'!$E1547</x:f>
        <x:v>0</x:v>
      </x:c>
      <x:c r="P408" s="10" t="n">
        <x:f>'站点明细'!$D1547</x:f>
        <x:v>0</x:v>
      </x:c>
      <x:c r="Q408" s="11" t="n">
        <x:f>'站点明细'!$F155</x:f>
        <x:v>24432.26</x:v>
      </x:c>
      <x:c r="R408" s="11" t="n">
        <x:f>'站点明细'!$F387</x:f>
        <x:v>14199.17</x:v>
      </x:c>
      <x:c r="S408" s="11" t="n">
        <x:f>'站点明细'!$F619</x:f>
        <x:v>7394.77</x:v>
      </x:c>
      <x:c r="T408" s="11" t="n">
        <x:f>'站点明细'!$F851</x:f>
        <x:v>0</x:v>
      </x:c>
      <x:c r="U408" s="11" t="n">
        <x:f>'站点明细'!$F1083</x:f>
        <x:v>1555.7</x:v>
      </x:c>
      <x:c r="V408" s="11" t="n">
        <x:f>'站点明细'!$F1315</x:f>
        <x:v>2783.58</x:v>
      </x:c>
      <x:c r="W408" s="11" t="n">
        <x:f>'站点明细'!$F1547</x:f>
        <x:v>0</x:v>
      </x:c>
    </x:row>
    <x:row r="409">
      <x:c r="A409" t="str">
        <x:f>TEXT($B409,"mm-dd")</x:f>
        <x:v>06-04</x:v>
      </x:c>
      <x:c r="B409" s="9" t="n">
        <x:f>'站点明细'!$C156</x:f>
        <x:v>46177</x:v>
      </x:c>
      <x:c r="C409" s="10" t="n">
        <x:f>'站点明细'!$E156</x:f>
        <x:v>3946</x:v>
      </x:c>
      <x:c r="D409" s="10" t="n">
        <x:f>'站点明细'!$D156</x:f>
        <x:v>2501</x:v>
      </x:c>
      <x:c r="E409" s="10" t="n">
        <x:f>'站点明细'!$E388</x:f>
        <x:v>1586</x:v>
      </x:c>
      <x:c r="F409" s="10" t="n">
        <x:f>'站点明细'!$D388</x:f>
        <x:v>802</x:v>
      </x:c>
      <x:c r="G409" s="10" t="n">
        <x:f>'站点明细'!$E620</x:f>
        <x:v>949</x:v>
      </x:c>
      <x:c r="H409" s="10" t="n">
        <x:f>'站点明细'!$D620</x:f>
        <x:v>544</x:v>
      </x:c>
      <x:c r="I409" s="10" t="n">
        <x:f>'站点明细'!$E852</x:f>
        <x:v>0</x:v>
      </x:c>
      <x:c r="J409" s="10" t="n">
        <x:f>'站点明细'!$D852</x:f>
        <x:v>0</x:v>
      </x:c>
      <x:c r="K409" s="10" t="n">
        <x:f>'站点明细'!$E1084</x:f>
        <x:v>193</x:v>
      </x:c>
      <x:c r="L409" s="10" t="n">
        <x:f>'站点明细'!$D1084</x:f>
        <x:v>93</x:v>
      </x:c>
      <x:c r="M409" s="10" t="n">
        <x:f>'站点明细'!$E1316</x:f>
        <x:v>20</x:v>
      </x:c>
      <x:c r="N409" s="10" t="n">
        <x:f>'站点明细'!$D1316</x:f>
        <x:v>10</x:v>
      </x:c>
      <x:c r="O409" s="10" t="n">
        <x:f>'站点明细'!$E1548</x:f>
        <x:v>0</x:v>
      </x:c>
      <x:c r="P409" s="10" t="n">
        <x:f>'站点明细'!$D1548</x:f>
        <x:v>0</x:v>
      </x:c>
      <x:c r="Q409" s="11" t="n">
        <x:f>'站点明细'!$F156</x:f>
        <x:v>31353.73</x:v>
      </x:c>
      <x:c r="R409" s="11" t="n">
        <x:f>'站点明细'!$F388</x:f>
        <x:v>15139.59</x:v>
      </x:c>
      <x:c r="S409" s="11" t="n">
        <x:f>'站点明细'!$F620</x:f>
        <x:v>7476.16</x:v>
      </x:c>
      <x:c r="T409" s="11" t="n">
        <x:f>'站点明细'!$F852</x:f>
        <x:v>0</x:v>
      </x:c>
      <x:c r="U409" s="11" t="n">
        <x:f>'站点明细'!$F1084</x:f>
        <x:v>1246.87</x:v>
      </x:c>
      <x:c r="V409" s="11" t="n">
        <x:f>'站点明细'!$F1316</x:f>
        <x:v>949.71</x:v>
      </x:c>
      <x:c r="W409" s="11" t="n">
        <x:f>'站点明细'!$F1548</x:f>
        <x:v>0</x:v>
      </x:c>
    </x:row>
    <x:row r="410">
      <x:c r="A410" t="str">
        <x:f>TEXT($B410,"mm-dd")</x:f>
        <x:v>06-05</x:v>
      </x:c>
      <x:c r="B410" s="9" t="n">
        <x:f>'站点明细'!$C157</x:f>
        <x:v>46178</x:v>
      </x:c>
      <x:c r="C410" s="10" t="n">
        <x:f>'站点明细'!$E157</x:f>
        <x:v>3320</x:v>
      </x:c>
      <x:c r="D410" s="10" t="n">
        <x:f>'站点明细'!$D157</x:f>
        <x:v>1951</x:v>
      </x:c>
      <x:c r="E410" s="10" t="n">
        <x:f>'站点明细'!$E389</x:f>
        <x:v>1396</x:v>
      </x:c>
      <x:c r="F410" s="10" t="n">
        <x:f>'站点明细'!$D389</x:f>
        <x:v>686</x:v>
      </x:c>
      <x:c r="G410" s="10" t="n">
        <x:f>'站点明细'!$E621</x:f>
        <x:v>798</x:v>
      </x:c>
      <x:c r="H410" s="10" t="n">
        <x:f>'站点明细'!$D621</x:f>
        <x:v>445</x:v>
      </x:c>
      <x:c r="I410" s="10" t="n">
        <x:f>'站点明细'!$E853</x:f>
        <x:v>1</x:v>
      </x:c>
      <x:c r="J410" s="10" t="n">
        <x:f>'站点明细'!$D853</x:f>
        <x:v>1</x:v>
      </x:c>
      <x:c r="K410" s="10" t="n">
        <x:f>'站点明细'!$E1085</x:f>
        <x:v>225</x:v>
      </x:c>
      <x:c r="L410" s="10" t="n">
        <x:f>'站点明细'!$D1085</x:f>
        <x:v>110</x:v>
      </x:c>
      <x:c r="M410" s="10" t="n">
        <x:f>'站点明细'!$E1317</x:f>
        <x:v>64</x:v>
      </x:c>
      <x:c r="N410" s="10" t="n">
        <x:f>'站点明细'!$D1317</x:f>
        <x:v>47</x:v>
      </x:c>
      <x:c r="O410" s="10" t="n">
        <x:f>'站点明细'!$E1549</x:f>
        <x:v>0</x:v>
      </x:c>
      <x:c r="P410" s="10" t="n">
        <x:f>'站点明细'!$D1549</x:f>
        <x:v>0</x:v>
      </x:c>
      <x:c r="Q410" s="11" t="n">
        <x:f>'站点明细'!$F157</x:f>
        <x:v>24711</x:v>
      </x:c>
      <x:c r="R410" s="11" t="n">
        <x:f>'站点明细'!$F389</x:f>
        <x:v>12727.7</x:v>
      </x:c>
      <x:c r="S410" s="11" t="n">
        <x:f>'站点明细'!$F621</x:f>
        <x:v>6246.12</x:v>
      </x:c>
      <x:c r="T410" s="11" t="n">
        <x:f>'站点明细'!$F853</x:f>
        <x:v>28.38</x:v>
      </x:c>
      <x:c r="U410" s="11" t="n">
        <x:f>'站点明细'!$F1085</x:f>
        <x:v>1508.23</x:v>
      </x:c>
      <x:c r="V410" s="11" t="n">
        <x:f>'站点明细'!$F1317</x:f>
        <x:v>2742.56</x:v>
      </x:c>
      <x:c r="W410" s="11" t="n">
        <x:f>'站点明细'!$F1549</x:f>
        <x:v>0</x:v>
      </x:c>
    </x:row>
    <x:row r="411">
      <x:c r="A411" t="str">
        <x:f>TEXT($B411,"mm-dd")</x:f>
        <x:v>06-06</x:v>
      </x:c>
      <x:c r="B411" s="9" t="n">
        <x:f>'站点明细'!$C158</x:f>
        <x:v>46179</x:v>
      </x:c>
      <x:c r="C411" s="10" t="n">
        <x:f>'站点明细'!$E158</x:f>
        <x:v>4843</x:v>
      </x:c>
      <x:c r="D411" s="10" t="n">
        <x:f>'站点明细'!$D158</x:f>
        <x:v>2784</x:v>
      </x:c>
      <x:c r="E411" s="10" t="n">
        <x:f>'站点明细'!$E390</x:f>
        <x:v>1616</x:v>
      </x:c>
      <x:c r="F411" s="10" t="n">
        <x:f>'站点明细'!$D390</x:f>
        <x:v>827</x:v>
      </x:c>
      <x:c r="G411" s="10" t="n">
        <x:f>'站点明细'!$E622</x:f>
        <x:v>1151</x:v>
      </x:c>
      <x:c r="H411" s="10" t="n">
        <x:f>'站点明细'!$D622</x:f>
        <x:v>621</x:v>
      </x:c>
      <x:c r="I411" s="10" t="n">
        <x:f>'站点明细'!$E854</x:f>
        <x:v>0</x:v>
      </x:c>
      <x:c r="J411" s="10" t="n">
        <x:f>'站点明细'!$D854</x:f>
        <x:v>0</x:v>
      </x:c>
      <x:c r="K411" s="10" t="n">
        <x:f>'站点明细'!$E1086</x:f>
        <x:v>236</x:v>
      </x:c>
      <x:c r="L411" s="10" t="n">
        <x:f>'站点明细'!$D1086</x:f>
        <x:v>109</x:v>
      </x:c>
      <x:c r="M411" s="10" t="n">
        <x:f>'站点明细'!$E1318</x:f>
        <x:v>49</x:v>
      </x:c>
      <x:c r="N411" s="10" t="n">
        <x:f>'站点明细'!$D1318</x:f>
        <x:v>36</x:v>
      </x:c>
      <x:c r="O411" s="10" t="n">
        <x:f>'站点明细'!$E1550</x:f>
        <x:v>0</x:v>
      </x:c>
      <x:c r="P411" s="10" t="n">
        <x:f>'站点明细'!$D1550</x:f>
        <x:v>0</x:v>
      </x:c>
      <x:c r="Q411" s="11" t="n">
        <x:f>'站点明细'!$F158</x:f>
        <x:v>34627.96</x:v>
      </x:c>
      <x:c r="R411" s="11" t="n">
        <x:f>'站点明细'!$F390</x:f>
        <x:v>16577.76</x:v>
      </x:c>
      <x:c r="S411" s="11" t="n">
        <x:f>'站点明细'!$F622</x:f>
        <x:v>8623.36</x:v>
      </x:c>
      <x:c r="T411" s="11" t="n">
        <x:f>'站点明细'!$F854</x:f>
        <x:v>0</x:v>
      </x:c>
      <x:c r="U411" s="11" t="n">
        <x:f>'站点明细'!$F1086</x:f>
        <x:v>1573.31</x:v>
      </x:c>
      <x:c r="V411" s="11" t="n">
        <x:f>'站点明细'!$F1318</x:f>
        <x:v>2077.44</x:v>
      </x:c>
      <x:c r="W411" s="11" t="n">
        <x:f>'站点明细'!$F1550</x:f>
        <x:v>0</x:v>
      </x:c>
    </x:row>
    <x:row r="412">
      <x:c r="A412" t="str">
        <x:f>TEXT($B412,"mm-dd")</x:f>
        <x:v>06-07</x:v>
      </x:c>
      <x:c r="B412" s="9" t="n">
        <x:f>'站点明细'!$C159</x:f>
        <x:v>46180</x:v>
      </x:c>
      <x:c r="C412" s="10" t="n">
        <x:f>'站点明细'!$E159</x:f>
        <x:v>5292</x:v>
      </x:c>
      <x:c r="D412" s="10" t="n">
        <x:f>'站点明细'!$D159</x:f>
        <x:v>2829</x:v>
      </x:c>
      <x:c r="E412" s="10" t="n">
        <x:f>'站点明细'!$E391</x:f>
        <x:v>1583</x:v>
      </x:c>
      <x:c r="F412" s="10" t="n">
        <x:f>'站点明细'!$D391</x:f>
        <x:v>797</x:v>
      </x:c>
      <x:c r="G412" s="10" t="n">
        <x:f>'站点明细'!$E623</x:f>
        <x:v>1363</x:v>
      </x:c>
      <x:c r="H412" s="10" t="n">
        <x:f>'站点明细'!$D623</x:f>
        <x:v>750</x:v>
      </x:c>
      <x:c r="I412" s="10" t="n">
        <x:f>'站点明细'!$E855</x:f>
        <x:v>0</x:v>
      </x:c>
      <x:c r="J412" s="10" t="n">
        <x:f>'站点明细'!$D855</x:f>
        <x:v>0</x:v>
      </x:c>
      <x:c r="K412" s="10" t="n">
        <x:f>'站点明细'!$E1087</x:f>
        <x:v>193</x:v>
      </x:c>
      <x:c r="L412" s="10" t="n">
        <x:f>'站点明细'!$D1087</x:f>
        <x:v>98</x:v>
      </x:c>
      <x:c r="M412" s="10" t="n">
        <x:f>'站点明细'!$E1319</x:f>
        <x:v>20</x:v>
      </x:c>
      <x:c r="N412" s="10" t="n">
        <x:f>'站点明细'!$D1319</x:f>
        <x:v>18</x:v>
      </x:c>
      <x:c r="O412" s="10" t="n">
        <x:f>'站点明细'!$E1551</x:f>
        <x:v>0</x:v>
      </x:c>
      <x:c r="P412" s="10" t="n">
        <x:f>'站点明细'!$D1551</x:f>
        <x:v>0</x:v>
      </x:c>
      <x:c r="Q412" s="11" t="n">
        <x:f>'站点明细'!$F159</x:f>
        <x:v>36913.42</x:v>
      </x:c>
      <x:c r="R412" s="11" t="n">
        <x:f>'站点明细'!$F391</x:f>
        <x:v>16022.52</x:v>
      </x:c>
      <x:c r="S412" s="11" t="n">
        <x:f>'站点明细'!$F623</x:f>
        <x:v>10398.48</x:v>
      </x:c>
      <x:c r="T412" s="11" t="n">
        <x:f>'站点明细'!$F855</x:f>
        <x:v>0</x:v>
      </x:c>
      <x:c r="U412" s="11" t="n">
        <x:f>'站点明细'!$F1087</x:f>
        <x:v>1320.89</x:v>
      </x:c>
      <x:c r="V412" s="11" t="n">
        <x:f>'站点明细'!$F1319</x:f>
        <x:v>951.2</x:v>
      </x:c>
      <x:c r="W412" s="11" t="n">
        <x:f>'站点明细'!$F1551</x:f>
        <x:v>0</x:v>
      </x:c>
    </x:row>
    <x:row r="413">
      <x:c r="A413" t="str">
        <x:f>TEXT($B413,"mm-dd")</x:f>
        <x:v>06-08</x:v>
      </x:c>
      <x:c r="B413" s="9" t="n">
        <x:f>'站点明细'!$C160</x:f>
        <x:v>46181</x:v>
      </x:c>
      <x:c r="C413" s="10" t="n">
        <x:f>'站点明细'!$E160</x:f>
        <x:v>4844</x:v>
      </x:c>
      <x:c r="D413" s="10" t="n">
        <x:f>'站点明细'!$D160</x:f>
        <x:v>2624</x:v>
      </x:c>
      <x:c r="E413" s="10" t="n">
        <x:f>'站点明细'!$E392</x:f>
        <x:v>1434</x:v>
      </x:c>
      <x:c r="F413" s="10" t="n">
        <x:f>'站点明细'!$D392</x:f>
        <x:v>707</x:v>
      </x:c>
      <x:c r="G413" s="10" t="n">
        <x:f>'站点明细'!$E624</x:f>
        <x:v>1019</x:v>
      </x:c>
      <x:c r="H413" s="10" t="n">
        <x:f>'站点明细'!$D624</x:f>
        <x:v>550</x:v>
      </x:c>
      <x:c r="I413" s="10" t="n">
        <x:f>'站点明细'!$E856</x:f>
        <x:v>0</x:v>
      </x:c>
      <x:c r="J413" s="10" t="n">
        <x:f>'站点明细'!$D856</x:f>
        <x:v>0</x:v>
      </x:c>
      <x:c r="K413" s="10" t="n">
        <x:f>'站点明细'!$E1088</x:f>
        <x:v>205</x:v>
      </x:c>
      <x:c r="L413" s="10" t="n">
        <x:f>'站点明细'!$D1088</x:f>
        <x:v>94</x:v>
      </x:c>
      <x:c r="M413" s="10" t="n">
        <x:f>'站点明细'!$E1320</x:f>
        <x:v>15</x:v>
      </x:c>
      <x:c r="N413" s="10" t="n">
        <x:f>'站点明细'!$D1320</x:f>
        <x:v>15</x:v>
      </x:c>
      <x:c r="O413" s="10" t="n">
        <x:f>'站点明细'!$E1552</x:f>
        <x:v>0</x:v>
      </x:c>
      <x:c r="P413" s="10" t="n">
        <x:f>'站点明细'!$D1552</x:f>
        <x:v>0</x:v>
      </x:c>
      <x:c r="Q413" s="11" t="n">
        <x:f>'站点明细'!$F160</x:f>
        <x:v>32693.98</x:v>
      </x:c>
      <x:c r="R413" s="11" t="n">
        <x:f>'站点明细'!$F392</x:f>
        <x:v>13347.88</x:v>
      </x:c>
      <x:c r="S413" s="11" t="n">
        <x:f>'站点明细'!$F624</x:f>
        <x:v>7953.81</x:v>
      </x:c>
      <x:c r="T413" s="11" t="n">
        <x:f>'站点明细'!$F856</x:f>
        <x:v>0</x:v>
      </x:c>
      <x:c r="U413" s="11" t="n">
        <x:f>'站点明细'!$F1088</x:f>
        <x:v>1703.27</x:v>
      </x:c>
      <x:c r="V413" s="11" t="n">
        <x:f>'站点明细'!$F1320</x:f>
        <x:v>640.06</x:v>
      </x:c>
      <x:c r="W413" s="11" t="n">
        <x:f>'站点明细'!$F1552</x:f>
        <x:v>0</x:v>
      </x:c>
    </x:row>
    <x:row r="414">
      <x:c r="A414" t="str">
        <x:f>TEXT($B414,"mm-dd")</x:f>
        <x:v>06-09</x:v>
      </x:c>
      <x:c r="B414" s="9" t="n">
        <x:f>'站点明细'!$C161</x:f>
        <x:v>46182</x:v>
      </x:c>
      <x:c r="C414" s="10" t="n">
        <x:f>'站点明细'!$E161</x:f>
        <x:v>5031</x:v>
      </x:c>
      <x:c r="D414" s="10" t="n">
        <x:f>'站点明细'!$D161</x:f>
        <x:v>2696</x:v>
      </x:c>
      <x:c r="E414" s="10" t="n">
        <x:f>'站点明细'!$E393</x:f>
        <x:v>1317</x:v>
      </x:c>
      <x:c r="F414" s="10" t="n">
        <x:f>'站点明细'!$D393</x:f>
        <x:v>690</x:v>
      </x:c>
      <x:c r="G414" s="10" t="n">
        <x:f>'站点明细'!$E625</x:f>
        <x:v>1099</x:v>
      </x:c>
      <x:c r="H414" s="10" t="n">
        <x:f>'站点明细'!$D625</x:f>
        <x:v>594</x:v>
      </x:c>
      <x:c r="I414" s="10" t="n">
        <x:f>'站点明细'!$E857</x:f>
        <x:v>0</x:v>
      </x:c>
      <x:c r="J414" s="10" t="n">
        <x:f>'站点明细'!$D857</x:f>
        <x:v>0</x:v>
      </x:c>
      <x:c r="K414" s="10" t="n">
        <x:f>'站点明细'!$E1089</x:f>
        <x:v>163</x:v>
      </x:c>
      <x:c r="L414" s="10" t="n">
        <x:f>'站点明细'!$D1089</x:f>
        <x:v>84</x:v>
      </x:c>
      <x:c r="M414" s="10" t="n">
        <x:f>'站点明细'!$E1321</x:f>
        <x:v>50</x:v>
      </x:c>
      <x:c r="N414" s="10" t="n">
        <x:f>'站点明细'!$D1321</x:f>
        <x:v>41</x:v>
      </x:c>
      <x:c r="O414" s="10" t="n">
        <x:f>'站点明细'!$E1553</x:f>
        <x:v>0</x:v>
      </x:c>
      <x:c r="P414" s="10" t="n">
        <x:f>'站点明细'!$D1553</x:f>
        <x:v>0</x:v>
      </x:c>
      <x:c r="Q414" s="11" t="n">
        <x:f>'站点明细'!$F161</x:f>
        <x:v>35798.01</x:v>
      </x:c>
      <x:c r="R414" s="11" t="n">
        <x:f>'站点明细'!$F393</x:f>
        <x:v>13081.34</x:v>
      </x:c>
      <x:c r="S414" s="11" t="n">
        <x:f>'站点明细'!$F625</x:f>
        <x:v>8670.06</x:v>
      </x:c>
      <x:c r="T414" s="11" t="n">
        <x:f>'站点明细'!$F857</x:f>
        <x:v>0</x:v>
      </x:c>
      <x:c r="U414" s="11" t="n">
        <x:f>'站点明细'!$F1089</x:f>
        <x:v>1270.32</x:v>
      </x:c>
      <x:c r="V414" s="11" t="n">
        <x:f>'站点明细'!$F1321</x:f>
        <x:v>2496.56</x:v>
      </x:c>
      <x:c r="W414" s="11" t="n">
        <x:f>'站点明细'!$F1553</x:f>
        <x:v>0</x:v>
      </x:c>
    </x:row>
    <x:row r="415">
      <x:c r="A415" t="str">
        <x:f>TEXT($B415,"mm-dd")</x:f>
        <x:v>06-10</x:v>
      </x:c>
      <x:c r="B415" s="9" t="n">
        <x:f>'站点明细'!$C162</x:f>
        <x:v>46183</x:v>
      </x:c>
      <x:c r="C415" s="10" t="n">
        <x:f>'站点明细'!$E162</x:f>
        <x:v>4637</x:v>
      </x:c>
      <x:c r="D415" s="10" t="n">
        <x:f>'站点明细'!$D162</x:f>
        <x:v>2482</x:v>
      </x:c>
      <x:c r="E415" s="10" t="n">
        <x:f>'站点明细'!$E394</x:f>
        <x:v>1317</x:v>
      </x:c>
      <x:c r="F415" s="10" t="n">
        <x:f>'站点明细'!$D394</x:f>
        <x:v>666</x:v>
      </x:c>
      <x:c r="G415" s="10" t="n">
        <x:f>'站点明细'!$E626</x:f>
        <x:v>1073</x:v>
      </x:c>
      <x:c r="H415" s="10" t="n">
        <x:f>'站点明细'!$D626</x:f>
        <x:v>587</x:v>
      </x:c>
      <x:c r="I415" s="10" t="n">
        <x:f>'站点明细'!$E858</x:f>
        <x:v>0</x:v>
      </x:c>
      <x:c r="J415" s="10" t="n">
        <x:f>'站点明细'!$D858</x:f>
        <x:v>0</x:v>
      </x:c>
      <x:c r="K415" s="10" t="n">
        <x:f>'站点明细'!$E1090</x:f>
        <x:v>155</x:v>
      </x:c>
      <x:c r="L415" s="10" t="n">
        <x:f>'站点明细'!$D1090</x:f>
        <x:v>79</x:v>
      </x:c>
      <x:c r="M415" s="10" t="n">
        <x:f>'站点明细'!$E1322</x:f>
        <x:v>50</x:v>
      </x:c>
      <x:c r="N415" s="10" t="n">
        <x:f>'站点明细'!$D1322</x:f>
        <x:v>42</x:v>
      </x:c>
      <x:c r="O415" s="10" t="n">
        <x:f>'站点明细'!$E1554</x:f>
        <x:v>0</x:v>
      </x:c>
      <x:c r="P415" s="10" t="n">
        <x:f>'站点明细'!$D1554</x:f>
        <x:v>0</x:v>
      </x:c>
      <x:c r="Q415" s="11" t="n">
        <x:f>'站点明细'!$F162</x:f>
        <x:v>32242.84</x:v>
      </x:c>
      <x:c r="R415" s="11" t="n">
        <x:f>'站点明细'!$F394</x:f>
        <x:v>12766</x:v>
      </x:c>
      <x:c r="S415" s="11" t="n">
        <x:f>'站点明细'!$F626</x:f>
        <x:v>8162.53</x:v>
      </x:c>
      <x:c r="T415" s="11" t="n">
        <x:f>'站点明细'!$F858</x:f>
        <x:v>0</x:v>
      </x:c>
      <x:c r="U415" s="11" t="n">
        <x:f>'站点明细'!$F1090</x:f>
        <x:v>1241.65</x:v>
      </x:c>
      <x:c r="V415" s="11" t="n">
        <x:f>'站点明细'!$F1322</x:f>
        <x:v>2272.88</x:v>
      </x:c>
      <x:c r="W415" s="11" t="n">
        <x:f>'站点明细'!$F1554</x:f>
        <x:v>0</x:v>
      </x:c>
    </x:row>
    <x:row r="416">
      <x:c r="A416" t="str">
        <x:f>TEXT($B416,"mm-dd")</x:f>
        <x:v>06-11</x:v>
      </x:c>
      <x:c r="B416" s="9" t="n">
        <x:f>'站点明细'!$C163</x:f>
        <x:v>46184</x:v>
      </x:c>
      <x:c r="C416" s="10" t="n">
        <x:f>'站点明细'!$E163</x:f>
        <x:v>4260</x:v>
      </x:c>
      <x:c r="D416" s="10" t="n">
        <x:f>'站点明细'!$D163</x:f>
        <x:v>2354</x:v>
      </x:c>
      <x:c r="E416" s="10" t="n">
        <x:f>'站点明细'!$E395</x:f>
        <x:v>1514</x:v>
      </x:c>
      <x:c r="F416" s="10" t="n">
        <x:f>'站点明细'!$D395</x:f>
        <x:v>839</x:v>
      </x:c>
      <x:c r="G416" s="10" t="n">
        <x:f>'站点明细'!$E627</x:f>
        <x:v>942</x:v>
      </x:c>
      <x:c r="H416" s="10" t="n">
        <x:f>'站点明细'!$D627</x:f>
        <x:v>511</x:v>
      </x:c>
      <x:c r="I416" s="10" t="n">
        <x:f>'站点明细'!$E859</x:f>
        <x:v>0</x:v>
      </x:c>
      <x:c r="J416" s="10" t="n">
        <x:f>'站点明细'!$D859</x:f>
        <x:v>0</x:v>
      </x:c>
      <x:c r="K416" s="10" t="n">
        <x:f>'站点明细'!$E1091</x:f>
        <x:v>171</x:v>
      </x:c>
      <x:c r="L416" s="10" t="n">
        <x:f>'站点明细'!$D1091</x:f>
        <x:v>86</x:v>
      </x:c>
      <x:c r="M416" s="10" t="n">
        <x:f>'站点明细'!$E1323</x:f>
        <x:v>41</x:v>
      </x:c>
      <x:c r="N416" s="10" t="n">
        <x:f>'站点明细'!$D1323</x:f>
        <x:v>35</x:v>
      </x:c>
      <x:c r="O416" s="10" t="n">
        <x:f>'站点明细'!$E1555</x:f>
        <x:v>0</x:v>
      </x:c>
      <x:c r="P416" s="10" t="n">
        <x:f>'站点明细'!$D1555</x:f>
        <x:v>0</x:v>
      </x:c>
      <x:c r="Q416" s="11" t="n">
        <x:f>'站点明细'!$F163</x:f>
        <x:v>30970.72</x:v>
      </x:c>
      <x:c r="R416" s="11" t="n">
        <x:f>'站点明细'!$F395</x:f>
        <x:v>14932.78</x:v>
      </x:c>
      <x:c r="S416" s="11" t="n">
        <x:f>'站点明细'!$F627</x:f>
        <x:v>7209.11</x:v>
      </x:c>
      <x:c r="T416" s="11" t="n">
        <x:f>'站点明细'!$F859</x:f>
        <x:v>0</x:v>
      </x:c>
      <x:c r="U416" s="11" t="n">
        <x:f>'站点明细'!$F1091</x:f>
        <x:v>1245.52</x:v>
      </x:c>
      <x:c r="V416" s="11" t="n">
        <x:f>'站点明细'!$F1323</x:f>
        <x:v>2773.86</x:v>
      </x:c>
      <x:c r="W416" s="11" t="n">
        <x:f>'站点明细'!$F1555</x:f>
        <x:v>0</x:v>
      </x:c>
    </x:row>
    <x:row r="417">
      <x:c r="A417" t="str">
        <x:f>TEXT($B417,"mm-dd")</x:f>
        <x:v>06-12</x:v>
      </x:c>
      <x:c r="B417" s="9" t="n">
        <x:f>'站点明细'!$C164</x:f>
        <x:v>46185</x:v>
      </x:c>
      <x:c r="C417" s="10" t="n">
        <x:f>'站点明细'!$E164</x:f>
        <x:v>4408</x:v>
      </x:c>
      <x:c r="D417" s="10" t="n">
        <x:f>'站点明细'!$D164</x:f>
        <x:v>2473</x:v>
      </x:c>
      <x:c r="E417" s="10" t="n">
        <x:f>'站点明细'!$E396</x:f>
        <x:v>1640</x:v>
      </x:c>
      <x:c r="F417" s="10" t="n">
        <x:f>'站点明细'!$D396</x:f>
        <x:v>855</x:v>
      </x:c>
      <x:c r="G417" s="10" t="n">
        <x:f>'站点明细'!$E628</x:f>
        <x:v>1139</x:v>
      </x:c>
      <x:c r="H417" s="10" t="n">
        <x:f>'站点明细'!$D628</x:f>
        <x:v>589</x:v>
      </x:c>
      <x:c r="I417" s="10" t="n">
        <x:f>'站点明细'!$E860</x:f>
        <x:v>2</x:v>
      </x:c>
      <x:c r="J417" s="10" t="n">
        <x:f>'站点明细'!$D860</x:f>
        <x:v>2</x:v>
      </x:c>
      <x:c r="K417" s="10" t="n">
        <x:f>'站点明细'!$E1092</x:f>
        <x:v>171</x:v>
      </x:c>
      <x:c r="L417" s="10" t="n">
        <x:f>'站点明细'!$D1092</x:f>
        <x:v>81</x:v>
      </x:c>
      <x:c r="M417" s="10" t="n">
        <x:f>'站点明细'!$E1324</x:f>
        <x:v>34</x:v>
      </x:c>
      <x:c r="N417" s="10" t="n">
        <x:f>'站点明细'!$D1324</x:f>
        <x:v>23</x:v>
      </x:c>
      <x:c r="O417" s="10" t="n">
        <x:f>'站点明细'!$E1556</x:f>
        <x:v>0</x:v>
      </x:c>
      <x:c r="P417" s="10" t="n">
        <x:f>'站点明细'!$D1556</x:f>
        <x:v>0</x:v>
      </x:c>
      <x:c r="Q417" s="11" t="n">
        <x:f>'站点明细'!$F164</x:f>
        <x:v>33269.83</x:v>
      </x:c>
      <x:c r="R417" s="11" t="n">
        <x:f>'站点明细'!$F396</x:f>
        <x:v>15579.87</x:v>
      </x:c>
      <x:c r="S417" s="11" t="n">
        <x:f>'站点明细'!$F628</x:f>
        <x:v>8585.11</x:v>
      </x:c>
      <x:c r="T417" s="11" t="n">
        <x:f>'站点明细'!$F860</x:f>
        <x:v>27.63</x:v>
      </x:c>
      <x:c r="U417" s="11" t="n">
        <x:f>'站点明细'!$F1092</x:f>
        <x:v>1480.91</x:v>
      </x:c>
      <x:c r="V417" s="11" t="n">
        <x:f>'站点明细'!$F1324</x:f>
        <x:v>1806.17</x:v>
      </x:c>
      <x:c r="W417" s="11" t="n">
        <x:f>'站点明细'!$F1556</x:f>
        <x:v>0</x:v>
      </x:c>
    </x:row>
    <x:row r="418">
      <x:c r="A418" t="str">
        <x:f>TEXT($B418,"mm-dd")</x:f>
        <x:v>06-13</x:v>
      </x:c>
      <x:c r="B418" s="9" t="n">
        <x:f>'站点明细'!$C165</x:f>
        <x:v>46186</x:v>
      </x:c>
      <x:c r="C418" s="10" t="n">
        <x:f>'站点明细'!$E165</x:f>
        <x:v>4529</x:v>
      </x:c>
      <x:c r="D418" s="10" t="n">
        <x:f>'站点明细'!$D165</x:f>
        <x:v>2516</x:v>
      </x:c>
      <x:c r="E418" s="10" t="n">
        <x:f>'站点明细'!$E397</x:f>
        <x:v>1544</x:v>
      </x:c>
      <x:c r="F418" s="10" t="n">
        <x:f>'站点明细'!$D397</x:f>
        <x:v>748</x:v>
      </x:c>
      <x:c r="G418" s="10" t="n">
        <x:f>'站点明细'!$E629</x:f>
        <x:v>1269</x:v>
      </x:c>
      <x:c r="H418" s="10" t="n">
        <x:f>'站点明细'!$D629</x:f>
        <x:v>704</x:v>
      </x:c>
      <x:c r="I418" s="10" t="n">
        <x:f>'站点明细'!$E861</x:f>
        <x:v>1</x:v>
      </x:c>
      <x:c r="J418" s="10" t="n">
        <x:f>'站点明细'!$D861</x:f>
        <x:v>1</x:v>
      </x:c>
      <x:c r="K418" s="10" t="n">
        <x:f>'站点明细'!$E1093</x:f>
        <x:v>146</x:v>
      </x:c>
      <x:c r="L418" s="10" t="n">
        <x:f>'站点明细'!$D1093</x:f>
        <x:v>67</x:v>
      </x:c>
      <x:c r="M418" s="10" t="n">
        <x:f>'站点明细'!$E1325</x:f>
        <x:v>40</x:v>
      </x:c>
      <x:c r="N418" s="10" t="n">
        <x:f>'站点明细'!$D1325</x:f>
        <x:v>29</x:v>
      </x:c>
      <x:c r="O418" s="10" t="n">
        <x:f>'站点明细'!$E1557</x:f>
        <x:v>0</x:v>
      </x:c>
      <x:c r="P418" s="10" t="n">
        <x:f>'站点明细'!$D1557</x:f>
        <x:v>0</x:v>
      </x:c>
      <x:c r="Q418" s="11" t="n">
        <x:f>'站点明细'!$F165</x:f>
        <x:v>33521.43</x:v>
      </x:c>
      <x:c r="R418" s="11" t="n">
        <x:f>'站点明细'!$F397</x:f>
        <x:v>14127.22</x:v>
      </x:c>
      <x:c r="S418" s="11" t="n">
        <x:f>'站点明细'!$F629</x:f>
        <x:v>9805.35</x:v>
      </x:c>
      <x:c r="T418" s="11" t="n">
        <x:f>'站点明细'!$F861</x:f>
        <x:v>19.82</x:v>
      </x:c>
      <x:c r="U418" s="11" t="n">
        <x:f>'站点明细'!$F1093</x:f>
        <x:v>1112.11</x:v>
      </x:c>
      <x:c r="V418" s="11" t="n">
        <x:f>'站点明细'!$F1325</x:f>
        <x:v>2247.82</x:v>
      </x:c>
      <x:c r="W418" s="11" t="n">
        <x:f>'站点明细'!$F1557</x:f>
        <x:v>0</x:v>
      </x:c>
    </x:row>
    <x:row r="419">
      <x:c r="A419" t="str">
        <x:f>TEXT($B419,"mm-dd")</x:f>
        <x:v>06-14</x:v>
      </x:c>
      <x:c r="B419" s="9" t="n">
        <x:f>'站点明细'!$C166</x:f>
        <x:v>46187</x:v>
      </x:c>
      <x:c r="C419" s="10" t="n">
        <x:f>'站点明细'!$E166</x:f>
        <x:v>4254</x:v>
      </x:c>
      <x:c r="D419" s="10" t="n">
        <x:f>'站点明细'!$D166</x:f>
        <x:v>2379</x:v>
      </x:c>
      <x:c r="E419" s="10" t="n">
        <x:f>'站点明细'!$E398</x:f>
        <x:v>1388</x:v>
      </x:c>
      <x:c r="F419" s="10" t="n">
        <x:f>'站点明细'!$D398</x:f>
        <x:v>687</x:v>
      </x:c>
      <x:c r="G419" s="10" t="n">
        <x:f>'站点明细'!$E630</x:f>
        <x:v>1174</x:v>
      </x:c>
      <x:c r="H419" s="10" t="n">
        <x:f>'站点明细'!$D630</x:f>
        <x:v>638</x:v>
      </x:c>
      <x:c r="I419" s="10" t="n">
        <x:f>'站点明细'!$E862</x:f>
        <x:v>0</x:v>
      </x:c>
      <x:c r="J419" s="10" t="n">
        <x:f>'站点明细'!$D862</x:f>
        <x:v>0</x:v>
      </x:c>
      <x:c r="K419" s="10" t="n">
        <x:f>'站点明细'!$E1094</x:f>
        <x:v>188</x:v>
      </x:c>
      <x:c r="L419" s="10" t="n">
        <x:f>'站点明细'!$D1094</x:f>
        <x:v>94</x:v>
      </x:c>
      <x:c r="M419" s="10" t="n">
        <x:f>'站点明细'!$E1326</x:f>
        <x:v>39</x:v>
      </x:c>
      <x:c r="N419" s="10" t="n">
        <x:f>'站点明细'!$D1326</x:f>
        <x:v>28</x:v>
      </x:c>
      <x:c r="O419" s="10" t="n">
        <x:f>'站点明细'!$E1558</x:f>
        <x:v>0</x:v>
      </x:c>
      <x:c r="P419" s="10" t="n">
        <x:f>'站点明细'!$D1558</x:f>
        <x:v>0</x:v>
      </x:c>
      <x:c r="Q419" s="11" t="n">
        <x:f>'站点明细'!$F166</x:f>
        <x:v>30721.27</x:v>
      </x:c>
      <x:c r="R419" s="11" t="n">
        <x:f>'站点明细'!$F398</x:f>
        <x:v>13060.25</x:v>
      </x:c>
      <x:c r="S419" s="11" t="n">
        <x:f>'站点明细'!$F630</x:f>
        <x:v>9224.54</x:v>
      </x:c>
      <x:c r="T419" s="11" t="n">
        <x:f>'站点明细'!$F862</x:f>
        <x:v>0</x:v>
      </x:c>
      <x:c r="U419" s="11" t="n">
        <x:f>'站点明细'!$F1094</x:f>
        <x:v>1390.88</x:v>
      </x:c>
      <x:c r="V419" s="11" t="n">
        <x:f>'站点明细'!$F1326</x:f>
        <x:v>2302.18</x:v>
      </x:c>
      <x:c r="W419" s="11" t="n">
        <x:f>'站点明细'!$F1558</x:f>
        <x:v>0</x:v>
      </x:c>
    </x:row>
    <x:row r="420">
      <x:c r="A420" t="str">
        <x:f>TEXT($B420,"mm-dd")</x:f>
        <x:v>06-15</x:v>
      </x:c>
      <x:c r="B420" s="9" t="n">
        <x:f>'站点明细'!$C167</x:f>
        <x:v>46188</x:v>
      </x:c>
      <x:c r="C420" s="10" t="n">
        <x:f>'站点明细'!$E167</x:f>
        <x:v>4261</x:v>
      </x:c>
      <x:c r="D420" s="10" t="n">
        <x:f>'站点明细'!$D167</x:f>
        <x:v>2385</x:v>
      </x:c>
      <x:c r="E420" s="10" t="n">
        <x:f>'站点明细'!$E399</x:f>
        <x:v>1563</x:v>
      </x:c>
      <x:c r="F420" s="10" t="n">
        <x:f>'站点明细'!$D399</x:f>
        <x:v>751</x:v>
      </x:c>
      <x:c r="G420" s="10" t="n">
        <x:f>'站点明细'!$E631</x:f>
        <x:v>1071</x:v>
      </x:c>
      <x:c r="H420" s="10" t="n">
        <x:f>'站点明细'!$D631</x:f>
        <x:v>590</x:v>
      </x:c>
      <x:c r="I420" s="10" t="n">
        <x:f>'站点明细'!$E863</x:f>
        <x:v>8</x:v>
      </x:c>
      <x:c r="J420" s="10" t="n">
        <x:f>'站点明细'!$D863</x:f>
        <x:v>3</x:v>
      </x:c>
      <x:c r="K420" s="10" t="n">
        <x:f>'站点明细'!$E1095</x:f>
        <x:v>141</x:v>
      </x:c>
      <x:c r="L420" s="10" t="n">
        <x:f>'站点明细'!$D1095</x:f>
        <x:v>70</x:v>
      </x:c>
      <x:c r="M420" s="10" t="n">
        <x:f>'站点明细'!$E1327</x:f>
        <x:v>15</x:v>
      </x:c>
      <x:c r="N420" s="10" t="n">
        <x:f>'站点明细'!$D1327</x:f>
        <x:v>13</x:v>
      </x:c>
      <x:c r="O420" s="10" t="n">
        <x:f>'站点明细'!$E1559</x:f>
        <x:v>0</x:v>
      </x:c>
      <x:c r="P420" s="10" t="n">
        <x:f>'站点明细'!$D1559</x:f>
        <x:v>0</x:v>
      </x:c>
      <x:c r="Q420" s="11" t="n">
        <x:f>'站点明细'!$F167</x:f>
        <x:v>31639.47</x:v>
      </x:c>
      <x:c r="R420" s="11" t="n">
        <x:f>'站点明细'!$F399</x:f>
        <x:v>14759.63</x:v>
      </x:c>
      <x:c r="S420" s="11" t="n">
        <x:f>'站点明细'!$F631</x:f>
        <x:v>8671.09</x:v>
      </x:c>
      <x:c r="T420" s="11" t="n">
        <x:f>'站点明细'!$F863</x:f>
        <x:v>84.85</x:v>
      </x:c>
      <x:c r="U420" s="11" t="n">
        <x:f>'站点明细'!$F1095</x:f>
        <x:v>945.45</x:v>
      </x:c>
      <x:c r="V420" s="11" t="n">
        <x:f>'站点明细'!$F1327</x:f>
        <x:v>688.08</x:v>
      </x:c>
      <x:c r="W420" s="11" t="n">
        <x:f>'站点明细'!$F1559</x:f>
        <x:v>0</x:v>
      </x:c>
    </x:row>
    <x:row r="421">
      <x:c r="A421" t="str">
        <x:f>TEXT($B421,"mm-dd")</x:f>
        <x:v>06-16</x:v>
      </x:c>
      <x:c r="B421" s="9" t="n">
        <x:f>'站点明细'!$C168</x:f>
        <x:v>46189</x:v>
      </x:c>
      <x:c r="C421" s="10" t="n">
        <x:f>'站点明细'!$E168</x:f>
        <x:v>4419</x:v>
      </x:c>
      <x:c r="D421" s="10" t="n">
        <x:f>'站点明细'!$D168</x:f>
        <x:v>2461</x:v>
      </x:c>
      <x:c r="E421" s="10" t="n">
        <x:f>'站点明细'!$E400</x:f>
        <x:v>1613</x:v>
      </x:c>
      <x:c r="F421" s="10" t="n">
        <x:f>'站点明细'!$D400</x:f>
        <x:v>783</x:v>
      </x:c>
      <x:c r="G421" s="10" t="n">
        <x:f>'站点明细'!$E632</x:f>
        <x:v>1232</x:v>
      </x:c>
      <x:c r="H421" s="10" t="n">
        <x:f>'站点明细'!$D632</x:f>
        <x:v>673</x:v>
      </x:c>
      <x:c r="I421" s="10" t="n">
        <x:f>'站点明细'!$E864</x:f>
        <x:v>5</x:v>
      </x:c>
      <x:c r="J421" s="10" t="n">
        <x:f>'站点明细'!$D864</x:f>
        <x:v>5</x:v>
      </x:c>
      <x:c r="K421" s="10" t="n">
        <x:f>'站点明细'!$E1096</x:f>
        <x:v>146</x:v>
      </x:c>
      <x:c r="L421" s="10" t="n">
        <x:f>'站点明细'!$D1096</x:f>
        <x:v>79</x:v>
      </x:c>
      <x:c r="M421" s="10" t="n">
        <x:f>'站点明细'!$E1328</x:f>
        <x:v>68</x:v>
      </x:c>
      <x:c r="N421" s="10" t="n">
        <x:f>'站点明细'!$D1328</x:f>
        <x:v>56</x:v>
      </x:c>
      <x:c r="O421" s="10" t="n">
        <x:f>'站点明细'!$E1560</x:f>
        <x:v>0</x:v>
      </x:c>
      <x:c r="P421" s="10" t="n">
        <x:f>'站点明细'!$D1560</x:f>
        <x:v>0</x:v>
      </x:c>
      <x:c r="Q421" s="11" t="n">
        <x:f>'站点明细'!$F168</x:f>
        <x:v>33054.63</x:v>
      </x:c>
      <x:c r="R421" s="11" t="n">
        <x:f>'站点明细'!$F400</x:f>
        <x:v>15375.02</x:v>
      </x:c>
      <x:c r="S421" s="11" t="n">
        <x:f>'站点明细'!$F632</x:f>
        <x:v>9618.24</x:v>
      </x:c>
      <x:c r="T421" s="11" t="n">
        <x:f>'站点明细'!$F864</x:f>
        <x:v>89.2</x:v>
      </x:c>
      <x:c r="U421" s="11" t="n">
        <x:f>'站点明细'!$F1096</x:f>
        <x:v>1117.15</x:v>
      </x:c>
      <x:c r="V421" s="11" t="n">
        <x:f>'站点明细'!$F1328</x:f>
        <x:v>3742.28</x:v>
      </x:c>
      <x:c r="W421" s="11" t="n">
        <x:f>'站点明细'!$F1560</x:f>
        <x:v>0</x:v>
      </x:c>
    </x:row>
    <x:row r="422">
      <x:c r="A422" t="str">
        <x:f>TEXT($B422,"mm-dd")</x:f>
        <x:v>06-17</x:v>
      </x:c>
      <x:c r="B422" s="9" t="n">
        <x:f>'站点明细'!$C169</x:f>
        <x:v>46190</x:v>
      </x:c>
      <x:c r="C422" s="10" t="n">
        <x:f>'站点明细'!$E169</x:f>
        <x:v>4496</x:v>
      </x:c>
      <x:c r="D422" s="10" t="n">
        <x:f>'站点明细'!$D169</x:f>
        <x:v>2377</x:v>
      </x:c>
      <x:c r="E422" s="10" t="n">
        <x:f>'站点明细'!$E401</x:f>
        <x:v>1693</x:v>
      </x:c>
      <x:c r="F422" s="10" t="n">
        <x:f>'站点明细'!$D401</x:f>
        <x:v>798</x:v>
      </x:c>
      <x:c r="G422" s="10" t="n">
        <x:f>'站点明细'!$E633</x:f>
        <x:v>1029</x:v>
      </x:c>
      <x:c r="H422" s="10" t="n">
        <x:f>'站点明细'!$D633</x:f>
        <x:v>569</x:v>
      </x:c>
      <x:c r="I422" s="10" t="n">
        <x:f>'站点明细'!$E865</x:f>
        <x:v>2</x:v>
      </x:c>
      <x:c r="J422" s="10" t="n">
        <x:f>'站点明细'!$D865</x:f>
        <x:v>1</x:v>
      </x:c>
      <x:c r="K422" s="10" t="n">
        <x:f>'站点明细'!$E1097</x:f>
        <x:v>155</x:v>
      </x:c>
      <x:c r="L422" s="10" t="n">
        <x:f>'站点明细'!$D1097</x:f>
        <x:v>80</x:v>
      </x:c>
      <x:c r="M422" s="10" t="n">
        <x:f>'站点明细'!$E1329</x:f>
        <x:v>43</x:v>
      </x:c>
      <x:c r="N422" s="10" t="n">
        <x:f>'站点明细'!$D1329</x:f>
        <x:v>34</x:v>
      </x:c>
      <x:c r="O422" s="10" t="n">
        <x:f>'站点明细'!$E1561</x:f>
        <x:v>0</x:v>
      </x:c>
      <x:c r="P422" s="10" t="n">
        <x:f>'站点明细'!$D1561</x:f>
        <x:v>0</x:v>
      </x:c>
      <x:c r="Q422" s="11" t="n">
        <x:f>'站点明细'!$F169</x:f>
        <x:v>32617.08</x:v>
      </x:c>
      <x:c r="R422" s="11" t="n">
        <x:f>'站点明细'!$F401</x:f>
        <x:v>16700.28</x:v>
      </x:c>
      <x:c r="S422" s="11" t="n">
        <x:f>'站点明细'!$F633</x:f>
        <x:v>7989.44</x:v>
      </x:c>
      <x:c r="T422" s="11" t="n">
        <x:f>'站点明细'!$F865</x:f>
        <x:v>22.86</x:v>
      </x:c>
      <x:c r="U422" s="11" t="n">
        <x:f>'站点明细'!$F1097</x:f>
        <x:v>1037.82</x:v>
      </x:c>
      <x:c r="V422" s="11" t="n">
        <x:f>'站点明细'!$F1329</x:f>
        <x:v>2358.92</x:v>
      </x:c>
      <x:c r="W422" s="11" t="n">
        <x:f>'站点明细'!$F1561</x:f>
        <x:v>0</x:v>
      </x:c>
    </x:row>
    <x:row r="423">
      <x:c r="A423" t="str">
        <x:f>TEXT($B423,"mm-dd")</x:f>
        <x:v>06-18</x:v>
      </x:c>
      <x:c r="B423" s="9" t="n">
        <x:f>'站点明细'!$C170</x:f>
        <x:v>46191</x:v>
      </x:c>
      <x:c r="C423" s="10" t="n">
        <x:f>'站点明细'!$E170</x:f>
        <x:v>4621</x:v>
      </x:c>
      <x:c r="D423" s="10" t="n">
        <x:f>'站点明细'!$D170</x:f>
        <x:v>2403</x:v>
      </x:c>
      <x:c r="E423" s="10" t="n">
        <x:f>'站点明细'!$E402</x:f>
        <x:v>1686</x:v>
      </x:c>
      <x:c r="F423" s="10" t="n">
        <x:f>'站点明细'!$D402</x:f>
        <x:v>826</x:v>
      </x:c>
      <x:c r="G423" s="10" t="n">
        <x:f>'站点明细'!$E634</x:f>
        <x:v>1369</x:v>
      </x:c>
      <x:c r="H423" s="10" t="n">
        <x:f>'站点明细'!$D634</x:f>
        <x:v>733</x:v>
      </x:c>
      <x:c r="I423" s="10" t="n">
        <x:f>'站点明细'!$E866</x:f>
        <x:v>5</x:v>
      </x:c>
      <x:c r="J423" s="10" t="n">
        <x:f>'站点明细'!$D866</x:f>
        <x:v>2</x:v>
      </x:c>
      <x:c r="K423" s="10" t="n">
        <x:f>'站点明细'!$E1098</x:f>
        <x:v>109</x:v>
      </x:c>
      <x:c r="L423" s="10" t="n">
        <x:f>'站点明细'!$D1098</x:f>
        <x:v>56</x:v>
      </x:c>
      <x:c r="M423" s="10" t="n">
        <x:f>'站点明细'!$E1330</x:f>
        <x:v>42</x:v>
      </x:c>
      <x:c r="N423" s="10" t="n">
        <x:f>'站点明细'!$D1330</x:f>
        <x:v>34</x:v>
      </x:c>
      <x:c r="O423" s="10" t="n">
        <x:f>'站点明细'!$E1562</x:f>
        <x:v>0</x:v>
      </x:c>
      <x:c r="P423" s="10" t="n">
        <x:f>'站点明细'!$D1562</x:f>
        <x:v>0</x:v>
      </x:c>
      <x:c r="Q423" s="11" t="n">
        <x:f>'站点明细'!$F170</x:f>
        <x:v>32426.15</x:v>
      </x:c>
      <x:c r="R423" s="11" t="n">
        <x:f>'站点明细'!$F402</x:f>
        <x:v>17685.33</x:v>
      </x:c>
      <x:c r="S423" s="11" t="n">
        <x:f>'站点明细'!$F634</x:f>
        <x:v>10381.81</x:v>
      </x:c>
      <x:c r="T423" s="11" t="n">
        <x:f>'站点明细'!$F866</x:f>
        <x:v>51.49</x:v>
      </x:c>
      <x:c r="U423" s="11" t="n">
        <x:f>'站点明细'!$F1098</x:f>
        <x:v>864.14</x:v>
      </x:c>
      <x:c r="V423" s="11" t="n">
        <x:f>'站点明细'!$F1330</x:f>
        <x:v>2230.29</x:v>
      </x:c>
      <x:c r="W423" s="11" t="n">
        <x:f>'站点明细'!$F1562</x:f>
        <x:v>0</x:v>
      </x:c>
    </x:row>
    <x:row r="424">
      <x:c r="A424" t="str">
        <x:f>TEXT($B424,"mm-dd")</x:f>
        <x:v>06-19</x:v>
      </x:c>
      <x:c r="B424" s="9" t="n">
        <x:f>'站点明细'!$C171</x:f>
        <x:v>46192</x:v>
      </x:c>
      <x:c r="C424" s="10" t="n">
        <x:f>'站点明细'!$E171</x:f>
        <x:v>4130</x:v>
      </x:c>
      <x:c r="D424" s="10" t="n">
        <x:f>'站点明细'!$D171</x:f>
        <x:v>2166</x:v>
      </x:c>
      <x:c r="E424" s="10" t="n">
        <x:f>'站点明细'!$E403</x:f>
        <x:v>1544</x:v>
      </x:c>
      <x:c r="F424" s="10" t="n">
        <x:f>'站点明细'!$D403</x:f>
        <x:v>775</x:v>
      </x:c>
      <x:c r="G424" s="10" t="n">
        <x:f>'站点明细'!$E635</x:f>
        <x:v>1349</x:v>
      </x:c>
      <x:c r="H424" s="10" t="n">
        <x:f>'站点明细'!$D635</x:f>
        <x:v>704</x:v>
      </x:c>
      <x:c r="I424" s="10" t="n">
        <x:f>'站点明细'!$E867</x:f>
        <x:v>1</x:v>
      </x:c>
      <x:c r="J424" s="10" t="n">
        <x:f>'站点明细'!$D867</x:f>
        <x:v>1</x:v>
      </x:c>
      <x:c r="K424" s="10" t="n">
        <x:f>'站点明细'!$E1099</x:f>
        <x:v>135</x:v>
      </x:c>
      <x:c r="L424" s="10" t="n">
        <x:f>'站点明细'!$D1099</x:f>
        <x:v>74</x:v>
      </x:c>
      <x:c r="M424" s="10" t="n">
        <x:f>'站点明细'!$E1331</x:f>
        <x:v>28</x:v>
      </x:c>
      <x:c r="N424" s="10" t="n">
        <x:f>'站点明细'!$D1331</x:f>
        <x:v>25</x:v>
      </x:c>
      <x:c r="O424" s="10" t="n">
        <x:f>'站点明细'!$E1563</x:f>
        <x:v>0</x:v>
      </x:c>
      <x:c r="P424" s="10" t="n">
        <x:f>'站点明细'!$D1563</x:f>
        <x:v>0</x:v>
      </x:c>
      <x:c r="Q424" s="11" t="n">
        <x:f>'站点明细'!$F171</x:f>
        <x:v>29422.88</x:v>
      </x:c>
      <x:c r="R424" s="11" t="n">
        <x:f>'站点明细'!$F403</x:f>
        <x:v>16234.47</x:v>
      </x:c>
      <x:c r="S424" s="11" t="n">
        <x:f>'站点明细'!$F635</x:f>
        <x:v>10305.6</x:v>
      </x:c>
      <x:c r="T424" s="11" t="n">
        <x:f>'站点明细'!$F867</x:f>
        <x:v>14.74</x:v>
      </x:c>
      <x:c r="U424" s="11" t="n">
        <x:f>'站点明细'!$F1099</x:f>
        <x:v>1041.81</x:v>
      </x:c>
      <x:c r="V424" s="11" t="n">
        <x:f>'站点明细'!$F1331</x:f>
        <x:v>1528.15</x:v>
      </x:c>
      <x:c r="W424" s="11" t="n">
        <x:f>'站点明细'!$F1563</x:f>
        <x:v>0</x:v>
      </x:c>
    </x:row>
    <x:row r="425">
      <x:c r="A425" t="str">
        <x:f>TEXT($B425,"mm-dd")</x:f>
        <x:v>06-20</x:v>
      </x:c>
      <x:c r="B425" s="9" t="n">
        <x:f>'站点明细'!$C172</x:f>
        <x:v>46193</x:v>
      </x:c>
      <x:c r="C425" s="10" t="n">
        <x:f>'站点明细'!$E172</x:f>
        <x:v>4238</x:v>
      </x:c>
      <x:c r="D425" s="10" t="n">
        <x:f>'站点明细'!$D172</x:f>
        <x:v>2154</x:v>
      </x:c>
      <x:c r="E425" s="10" t="n">
        <x:f>'站点明细'!$E404</x:f>
        <x:v>1328</x:v>
      </x:c>
      <x:c r="F425" s="10" t="n">
        <x:f>'站点明细'!$D404</x:f>
        <x:v>656</x:v>
      </x:c>
      <x:c r="G425" s="10" t="n">
        <x:f>'站点明细'!$E636</x:f>
        <x:v>887</x:v>
      </x:c>
      <x:c r="H425" s="10" t="n">
        <x:f>'站点明细'!$D636</x:f>
        <x:v>472</x:v>
      </x:c>
      <x:c r="I425" s="10" t="n">
        <x:f>'站点明细'!$E868</x:f>
        <x:v>5</x:v>
      </x:c>
      <x:c r="J425" s="10" t="n">
        <x:f>'站点明细'!$D868</x:f>
        <x:v>4</x:v>
      </x:c>
      <x:c r="K425" s="10" t="n">
        <x:f>'站点明细'!$E1100</x:f>
        <x:v>150</x:v>
      </x:c>
      <x:c r="L425" s="10" t="n">
        <x:f>'站点明细'!$D1100</x:f>
        <x:v>76</x:v>
      </x:c>
      <x:c r="M425" s="10" t="n">
        <x:f>'站点明细'!$E1332</x:f>
        <x:v>21</x:v>
      </x:c>
      <x:c r="N425" s="10" t="n">
        <x:f>'站点明细'!$D1332</x:f>
        <x:v>20</x:v>
      </x:c>
      <x:c r="O425" s="10" t="n">
        <x:f>'站点明细'!$E1564</x:f>
        <x:v>0</x:v>
      </x:c>
      <x:c r="P425" s="10" t="n">
        <x:f>'站点明细'!$D1564</x:f>
        <x:v>0</x:v>
      </x:c>
      <x:c r="Q425" s="11" t="n">
        <x:f>'站点明细'!$F172</x:f>
        <x:v>28956.69</x:v>
      </x:c>
      <x:c r="R425" s="11" t="n">
        <x:f>'站点明细'!$F404</x:f>
        <x:v>13256.03</x:v>
      </x:c>
      <x:c r="S425" s="11" t="n">
        <x:f>'站点明细'!$F636</x:f>
        <x:v>6713.28</x:v>
      </x:c>
      <x:c r="T425" s="11" t="n">
        <x:f>'站点明细'!$F868</x:f>
        <x:v>67.07</x:v>
      </x:c>
      <x:c r="U425" s="11" t="n">
        <x:f>'站点明细'!$F1100</x:f>
        <x:v>967.27</x:v>
      </x:c>
      <x:c r="V425" s="11" t="n">
        <x:f>'站点明细'!$F1332</x:f>
        <x:v>1030.37</x:v>
      </x:c>
      <x:c r="W425" s="11" t="n">
        <x:f>'站点明细'!$F1564</x:f>
        <x:v>0</x:v>
      </x:c>
    </x:row>
    <x:row r="426">
      <x:c r="A426" t="str">
        <x:f>TEXT($B426,"mm-dd")</x:f>
        <x:v>06-21</x:v>
      </x:c>
      <x:c r="B426" s="9" t="n">
        <x:f>'站点明细'!$C173</x:f>
        <x:v>46194</x:v>
      </x:c>
      <x:c r="C426" s="10" t="n">
        <x:f>'站点明细'!$E173</x:f>
        <x:v>4826</x:v>
      </x:c>
      <x:c r="D426" s="10" t="n">
        <x:f>'站点明细'!$D173</x:f>
        <x:v>2450</x:v>
      </x:c>
      <x:c r="E426" s="10" t="n">
        <x:f>'站点明细'!$E405</x:f>
        <x:v>1512</x:v>
      </x:c>
      <x:c r="F426" s="10" t="n">
        <x:f>'站点明细'!$D405</x:f>
        <x:v>740</x:v>
      </x:c>
      <x:c r="G426" s="10" t="n">
        <x:f>'站点明细'!$E637</x:f>
        <x:v>1241</x:v>
      </x:c>
      <x:c r="H426" s="10" t="n">
        <x:f>'站点明细'!$D637</x:f>
        <x:v>646</x:v>
      </x:c>
      <x:c r="I426" s="10" t="n">
        <x:f>'站点明细'!$E869</x:f>
        <x:v>0</x:v>
      </x:c>
      <x:c r="J426" s="10" t="n">
        <x:f>'站点明细'!$D869</x:f>
        <x:v>0</x:v>
      </x:c>
      <x:c r="K426" s="10" t="n">
        <x:f>'站点明细'!$E1101</x:f>
        <x:v>163</x:v>
      </x:c>
      <x:c r="L426" s="10" t="n">
        <x:f>'站点明细'!$D1101</x:f>
        <x:v>84</x:v>
      </x:c>
      <x:c r="M426" s="10" t="n">
        <x:f>'站点明细'!$E1333</x:f>
        <x:v>15</x:v>
      </x:c>
      <x:c r="N426" s="10" t="n">
        <x:f>'站点明细'!$D1333</x:f>
        <x:v>14</x:v>
      </x:c>
      <x:c r="O426" s="10" t="n">
        <x:f>'站点明细'!$E1565</x:f>
        <x:v>0</x:v>
      </x:c>
      <x:c r="P426" s="10" t="n">
        <x:f>'站点明细'!$D1565</x:f>
        <x:v>0</x:v>
      </x:c>
      <x:c r="Q426" s="11" t="n">
        <x:f>'站点明细'!$F173</x:f>
        <x:v>33030.12</x:v>
      </x:c>
      <x:c r="R426" s="11" t="n">
        <x:f>'站点明细'!$F405</x:f>
        <x:v>14338.54</x:v>
      </x:c>
      <x:c r="S426" s="11" t="n">
        <x:f>'站点明细'!$F637</x:f>
        <x:v>9752.35</x:v>
      </x:c>
      <x:c r="T426" s="11" t="n">
        <x:f>'站点明细'!$F869</x:f>
        <x:v>0</x:v>
      </x:c>
      <x:c r="U426" s="11" t="n">
        <x:f>'站点明细'!$F1101</x:f>
        <x:v>1140.2</x:v>
      </x:c>
      <x:c r="V426" s="11" t="n">
        <x:f>'站点明细'!$F1333</x:f>
        <x:v>585.73</x:v>
      </x:c>
      <x:c r="W426" s="11" t="n">
        <x:f>'站点明细'!$F1565</x:f>
        <x:v>0</x:v>
      </x:c>
    </x:row>
    <x:row r="427">
      <x:c r="A427" t="str">
        <x:f>TEXT($B427,"mm-dd")</x:f>
        <x:v>06-22</x:v>
      </x:c>
      <x:c r="B427" s="9" t="n">
        <x:f>'站点明细'!$C174</x:f>
        <x:v>46195</x:v>
      </x:c>
      <x:c r="C427" s="10" t="n">
        <x:f>'站点明细'!$E174</x:f>
        <x:v>4065</x:v>
      </x:c>
      <x:c r="D427" s="10" t="n">
        <x:f>'站点明细'!$D174</x:f>
        <x:v>2087</x:v>
      </x:c>
      <x:c r="E427" s="10" t="n">
        <x:f>'站点明细'!$E406</x:f>
        <x:v>1403</x:v>
      </x:c>
      <x:c r="F427" s="10" t="n">
        <x:f>'站点明细'!$D406</x:f>
        <x:v>703</x:v>
      </x:c>
      <x:c r="G427" s="10" t="n">
        <x:f>'站点明细'!$E638</x:f>
        <x:v>1381</x:v>
      </x:c>
      <x:c r="H427" s="10" t="n">
        <x:f>'站点明细'!$D638</x:f>
        <x:v>743</x:v>
      </x:c>
      <x:c r="I427" s="10" t="n">
        <x:f>'站点明细'!$E870</x:f>
        <x:v>2</x:v>
      </x:c>
      <x:c r="J427" s="10" t="n">
        <x:f>'站点明细'!$D870</x:f>
        <x:v>2</x:v>
      </x:c>
      <x:c r="K427" s="10" t="n">
        <x:f>'站点明细'!$E1102</x:f>
        <x:v>147</x:v>
      </x:c>
      <x:c r="L427" s="10" t="n">
        <x:f>'站点明细'!$D1102</x:f>
        <x:v>71</x:v>
      </x:c>
      <x:c r="M427" s="10" t="n">
        <x:f>'站点明细'!$E1334</x:f>
        <x:v>5</x:v>
      </x:c>
      <x:c r="N427" s="10" t="n">
        <x:f>'站点明细'!$D1334</x:f>
        <x:v>5</x:v>
      </x:c>
      <x:c r="O427" s="10" t="n">
        <x:f>'站点明细'!$E1566</x:f>
        <x:v>0</x:v>
      </x:c>
      <x:c r="P427" s="10" t="n">
        <x:f>'站点明细'!$D1566</x:f>
        <x:v>0</x:v>
      </x:c>
      <x:c r="Q427" s="11" t="n">
        <x:f>'站点明细'!$F174</x:f>
        <x:v>28680.31</x:v>
      </x:c>
      <x:c r="R427" s="11" t="n">
        <x:f>'站点明细'!$F406</x:f>
        <x:v>14353.54</x:v>
      </x:c>
      <x:c r="S427" s="11" t="n">
        <x:f>'站点明细'!$F638</x:f>
        <x:v>10790.89</x:v>
      </x:c>
      <x:c r="T427" s="11" t="n">
        <x:f>'站点明细'!$F870</x:f>
        <x:v>29.47</x:v>
      </x:c>
      <x:c r="U427" s="11" t="n">
        <x:f>'站点明细'!$F1102</x:f>
        <x:v>1161.06</x:v>
      </x:c>
      <x:c r="V427" s="11" t="n">
        <x:f>'站点明细'!$F1334</x:f>
        <x:v>204.57</x:v>
      </x:c>
      <x:c r="W427" s="11" t="n">
        <x:f>'站点明细'!$F1566</x:f>
        <x:v>0</x:v>
      </x:c>
    </x:row>
    <x:row r="428">
      <x:c r="A428" t="str">
        <x:f>TEXT($B428,"mm-dd")</x:f>
        <x:v>06-23</x:v>
      </x:c>
      <x:c r="B428" s="9" t="n">
        <x:f>'站点明细'!$C175</x:f>
        <x:v>46196</x:v>
      </x:c>
      <x:c r="C428" s="10" t="n">
        <x:f>'站点明细'!$E175</x:f>
        <x:v>3893</x:v>
      </x:c>
      <x:c r="D428" s="10" t="n">
        <x:f>'站点明细'!$D175</x:f>
        <x:v>2008</x:v>
      </x:c>
      <x:c r="E428" s="10" t="n">
        <x:f>'站点明细'!$E407</x:f>
        <x:v>1520</x:v>
      </x:c>
      <x:c r="F428" s="10" t="n">
        <x:f>'站点明细'!$D407</x:f>
        <x:v>765</x:v>
      </x:c>
      <x:c r="G428" s="10" t="n">
        <x:f>'站点明细'!$E639</x:f>
        <x:v>1299</x:v>
      </x:c>
      <x:c r="H428" s="10" t="n">
        <x:f>'站点明细'!$D639</x:f>
        <x:v>696</x:v>
      </x:c>
      <x:c r="I428" s="10" t="n">
        <x:f>'站点明细'!$E871</x:f>
        <x:v>1</x:v>
      </x:c>
      <x:c r="J428" s="10" t="n">
        <x:f>'站点明细'!$D871</x:f>
        <x:v>1</x:v>
      </x:c>
      <x:c r="K428" s="10" t="n">
        <x:f>'站点明细'!$E1103</x:f>
        <x:v>181</x:v>
      </x:c>
      <x:c r="L428" s="10" t="n">
        <x:f>'站点明细'!$D1103</x:f>
        <x:v>83</x:v>
      </x:c>
      <x:c r="M428" s="10" t="n">
        <x:f>'站点明细'!$E1335</x:f>
        <x:v>68</x:v>
      </x:c>
      <x:c r="N428" s="10" t="n">
        <x:f>'站点明细'!$D1335</x:f>
        <x:v>62</x:v>
      </x:c>
      <x:c r="O428" s="10" t="n">
        <x:f>'站点明细'!$E1567</x:f>
        <x:v>0</x:v>
      </x:c>
      <x:c r="P428" s="10" t="n">
        <x:f>'站点明细'!$D1567</x:f>
        <x:v>0</x:v>
      </x:c>
      <x:c r="Q428" s="11" t="n">
        <x:f>'站点明细'!$F175</x:f>
        <x:v>27738.42</x:v>
      </x:c>
      <x:c r="R428" s="11" t="n">
        <x:f>'站点明细'!$F407</x:f>
        <x:v>16110.2</x:v>
      </x:c>
      <x:c r="S428" s="11" t="n">
        <x:f>'站点明细'!$F639</x:f>
        <x:v>9984.66</x:v>
      </x:c>
      <x:c r="T428" s="11" t="n">
        <x:f>'站点明细'!$F871</x:f>
        <x:v>14.74</x:v>
      </x:c>
      <x:c r="U428" s="11" t="n">
        <x:f>'站点明细'!$F1103</x:f>
        <x:v>1447.41</x:v>
      </x:c>
      <x:c r="V428" s="11" t="n">
        <x:f>'站点明细'!$F1335</x:f>
        <x:v>3122.92</x:v>
      </x:c>
      <x:c r="W428" s="11" t="n">
        <x:f>'站点明细'!$F1567</x:f>
        <x:v>0</x:v>
      </x:c>
    </x:row>
    <x:row r="429">
      <x:c r="A429" t="str">
        <x:f>TEXT($B429,"mm-dd")</x:f>
        <x:v>06-24</x:v>
      </x:c>
      <x:c r="B429" s="9" t="n">
        <x:f>'站点明细'!$C176</x:f>
        <x:v>46197</x:v>
      </x:c>
      <x:c r="C429" s="10" t="n">
        <x:f>'站点明细'!$E176</x:f>
        <x:v>3813</x:v>
      </x:c>
      <x:c r="D429" s="10" t="n">
        <x:f>'站点明细'!$D176</x:f>
        <x:v>1993</x:v>
      </x:c>
      <x:c r="E429" s="10" t="n">
        <x:f>'站点明细'!$E408</x:f>
        <x:v>1449</x:v>
      </x:c>
      <x:c r="F429" s="10" t="n">
        <x:f>'站点明细'!$D408</x:f>
        <x:v>743</x:v>
      </x:c>
      <x:c r="G429" s="10" t="n">
        <x:f>'站点明细'!$E640</x:f>
        <x:v>1282</x:v>
      </x:c>
      <x:c r="H429" s="10" t="n">
        <x:f>'站点明细'!$D640</x:f>
        <x:v>688</x:v>
      </x:c>
      <x:c r="I429" s="10" t="n">
        <x:f>'站点明细'!$E872</x:f>
        <x:v>1</x:v>
      </x:c>
      <x:c r="J429" s="10" t="n">
        <x:f>'站点明细'!$D872</x:f>
        <x:v>1</x:v>
      </x:c>
      <x:c r="K429" s="10" t="n">
        <x:f>'站点明细'!$E1104</x:f>
        <x:v>153</x:v>
      </x:c>
      <x:c r="L429" s="10" t="n">
        <x:f>'站点明细'!$D1104</x:f>
        <x:v>77</x:v>
      </x:c>
      <x:c r="M429" s="10" t="n">
        <x:f>'站点明细'!$E1336</x:f>
        <x:v>45</x:v>
      </x:c>
      <x:c r="N429" s="10" t="n">
        <x:f>'站点明细'!$D1336</x:f>
        <x:v>34</x:v>
      </x:c>
      <x:c r="O429" s="10" t="n">
        <x:f>'站点明细'!$E1568</x:f>
        <x:v>0</x:v>
      </x:c>
      <x:c r="P429" s="10" t="n">
        <x:f>'站点明细'!$D1568</x:f>
        <x:v>0</x:v>
      </x:c>
      <x:c r="Q429" s="11" t="n">
        <x:f>'站点明细'!$F176</x:f>
        <x:v>27460.59</x:v>
      </x:c>
      <x:c r="R429" s="11" t="n">
        <x:f>'站点明细'!$F408</x:f>
        <x:v>14628.26</x:v>
      </x:c>
      <x:c r="S429" s="11" t="n">
        <x:f>'站点明细'!$F640</x:f>
        <x:v>10035.64</x:v>
      </x:c>
      <x:c r="T429" s="11" t="n">
        <x:f>'站点明细'!$F872</x:f>
        <x:v>14.74</x:v>
      </x:c>
      <x:c r="U429" s="11" t="n">
        <x:f>'站点明细'!$F1104</x:f>
        <x:v>1117.26</x:v>
      </x:c>
      <x:c r="V429" s="11" t="n">
        <x:f>'站点明细'!$F1336</x:f>
        <x:v>1910.52</x:v>
      </x:c>
      <x:c r="W429" s="11" t="n">
        <x:f>'站点明细'!$F1568</x:f>
        <x:v>0</x:v>
      </x:c>
    </x:row>
    <x:row r="430">
      <x:c r="A430" t="str">
        <x:f>TEXT($B430,"mm-dd")</x:f>
        <x:v>06-25</x:v>
      </x:c>
      <x:c r="B430" s="9" t="n">
        <x:f>'站点明细'!$C177</x:f>
        <x:v>46198</x:v>
      </x:c>
      <x:c r="C430" s="10" t="n">
        <x:f>'站点明细'!$E177</x:f>
        <x:v>3430</x:v>
      </x:c>
      <x:c r="D430" s="10" t="n">
        <x:f>'站点明细'!$D177</x:f>
        <x:v>1823</x:v>
      </x:c>
      <x:c r="E430" s="10" t="n">
        <x:f>'站点明细'!$E409</x:f>
        <x:v>1502</x:v>
      </x:c>
      <x:c r="F430" s="10" t="n">
        <x:f>'站点明细'!$D409</x:f>
        <x:v>764</x:v>
      </x:c>
      <x:c r="G430" s="10" t="n">
        <x:f>'站点明细'!$E641</x:f>
        <x:v>1214</x:v>
      </x:c>
      <x:c r="H430" s="10" t="n">
        <x:f>'站点明细'!$D641</x:f>
        <x:v>668</x:v>
      </x:c>
      <x:c r="I430" s="10" t="n">
        <x:f>'站点明细'!$E873</x:f>
        <x:v>4</x:v>
      </x:c>
      <x:c r="J430" s="10" t="n">
        <x:f>'站点明细'!$D873</x:f>
        <x:v>2</x:v>
      </x:c>
      <x:c r="K430" s="10" t="n">
        <x:f>'站点明细'!$E1105</x:f>
        <x:v>89</x:v>
      </x:c>
      <x:c r="L430" s="10" t="n">
        <x:f>'站点明细'!$D1105</x:f>
        <x:v>46</x:v>
      </x:c>
      <x:c r="M430" s="10" t="n">
        <x:f>'站点明细'!$E1337</x:f>
        <x:v>39</x:v>
      </x:c>
      <x:c r="N430" s="10" t="n">
        <x:f>'站点明细'!$D1337</x:f>
        <x:v>28</x:v>
      </x:c>
      <x:c r="O430" s="10" t="n">
        <x:f>'站点明细'!$E1569</x:f>
        <x:v>0</x:v>
      </x:c>
      <x:c r="P430" s="10" t="n">
        <x:f>'站点明细'!$D1569</x:f>
        <x:v>0</x:v>
      </x:c>
      <x:c r="Q430" s="11" t="n">
        <x:f>'站点明细'!$F177</x:f>
        <x:v>24589.04</x:v>
      </x:c>
      <x:c r="R430" s="11" t="n">
        <x:f>'站点明细'!$F409</x:f>
        <x:v>15271.43</x:v>
      </x:c>
      <x:c r="S430" s="11" t="n">
        <x:f>'站点明细'!$F641</x:f>
        <x:v>9991.21</x:v>
      </x:c>
      <x:c r="T430" s="11" t="n">
        <x:f>'站点明细'!$F873</x:f>
        <x:v>45.73</x:v>
      </x:c>
      <x:c r="U430" s="11" t="n">
        <x:f>'站点明细'!$F1105</x:f>
        <x:v>653.12</x:v>
      </x:c>
      <x:c r="V430" s="11" t="n">
        <x:f>'站点明细'!$F1337</x:f>
        <x:v>1431.41</x:v>
      </x:c>
      <x:c r="W430" s="11" t="n">
        <x:f>'站点明细'!$F1569</x:f>
        <x:v>0</x:v>
      </x:c>
    </x:row>
    <x:row r="431">
      <x:c r="A431" t="str">
        <x:f>TEXT($B431,"mm-dd")</x:f>
        <x:v>06-26</x:v>
      </x:c>
      <x:c r="B431" s="9" t="n">
        <x:f>'站点明细'!$C178</x:f>
        <x:v>46199</x:v>
      </x:c>
      <x:c r="C431" s="10" t="n">
        <x:f>'站点明细'!$E178</x:f>
        <x:v>3893</x:v>
      </x:c>
      <x:c r="D431" s="10" t="n">
        <x:f>'站点明细'!$D178</x:f>
        <x:v>2077</x:v>
      </x:c>
      <x:c r="E431" s="10" t="n">
        <x:f>'站点明细'!$E410</x:f>
        <x:v>1460</x:v>
      </x:c>
      <x:c r="F431" s="10" t="n">
        <x:f>'站点明细'!$D410</x:f>
        <x:v>750</x:v>
      </x:c>
      <x:c r="G431" s="10" t="n">
        <x:f>'站点明细'!$E642</x:f>
        <x:v>1271</x:v>
      </x:c>
      <x:c r="H431" s="10" t="n">
        <x:f>'站点明细'!$D642</x:f>
        <x:v>700</x:v>
      </x:c>
      <x:c r="I431" s="10" t="n">
        <x:f>'站点明细'!$E874</x:f>
        <x:v>5</x:v>
      </x:c>
      <x:c r="J431" s="10" t="n">
        <x:f>'站点明细'!$D874</x:f>
        <x:v>3</x:v>
      </x:c>
      <x:c r="K431" s="10" t="n">
        <x:f>'站点明细'!$E1106</x:f>
        <x:v>175</x:v>
      </x:c>
      <x:c r="L431" s="10" t="n">
        <x:f>'站点明细'!$D1106</x:f>
        <x:v>91</x:v>
      </x:c>
      <x:c r="M431" s="10" t="n">
        <x:f>'站点明细'!$E1338</x:f>
        <x:v>43</x:v>
      </x:c>
      <x:c r="N431" s="10" t="n">
        <x:f>'站点明细'!$D1338</x:f>
        <x:v>34</x:v>
      </x:c>
      <x:c r="O431" s="10" t="n">
        <x:f>'站点明细'!$E1570</x:f>
        <x:v>0</x:v>
      </x:c>
      <x:c r="P431" s="10" t="n">
        <x:f>'站点明细'!$D1570</x:f>
        <x:v>0</x:v>
      </x:c>
      <x:c r="Q431" s="11" t="n">
        <x:f>'站点明细'!$F178</x:f>
        <x:v>28868.18</x:v>
      </x:c>
      <x:c r="R431" s="11" t="n">
        <x:f>'站点明细'!$F410</x:f>
        <x:v>13863.35</x:v>
      </x:c>
      <x:c r="S431" s="11" t="n">
        <x:f>'站点明细'!$F642</x:f>
        <x:v>10248.66</x:v>
      </x:c>
      <x:c r="T431" s="11" t="n">
        <x:f>'站点明细'!$F874</x:f>
        <x:v>71.89</x:v>
      </x:c>
      <x:c r="U431" s="11" t="n">
        <x:f>'站点明细'!$F1106</x:f>
        <x:v>1328.22</x:v>
      </x:c>
      <x:c r="V431" s="11" t="n">
        <x:f>'站点明细'!$F1338</x:f>
        <x:v>1930.47</x:v>
      </x:c>
      <x:c r="W431" s="11" t="n">
        <x:f>'站点明细'!$F1570</x:f>
        <x:v>0</x:v>
      </x:c>
    </x:row>
    <x:row r="432">
      <x:c r="A432" t="str">
        <x:f>TEXT($B432,"mm-dd")</x:f>
        <x:v>06-27</x:v>
      </x:c>
      <x:c r="B432" s="9" t="n">
        <x:f>'站点明细'!$C179</x:f>
        <x:v>46200</x:v>
      </x:c>
      <x:c r="C432" s="10" t="n">
        <x:f>'站点明细'!$E179</x:f>
        <x:v>3305</x:v>
      </x:c>
      <x:c r="D432" s="10" t="n">
        <x:f>'站点明细'!$D179</x:f>
        <x:v>1760</x:v>
      </x:c>
      <x:c r="E432" s="10" t="n">
        <x:f>'站点明细'!$E411</x:f>
        <x:v>1323</x:v>
      </x:c>
      <x:c r="F432" s="10" t="n">
        <x:f>'站点明细'!$D411</x:f>
        <x:v>679</x:v>
      </x:c>
      <x:c r="G432" s="10" t="n">
        <x:f>'站点明细'!$E643</x:f>
        <x:v>1150</x:v>
      </x:c>
      <x:c r="H432" s="10" t="n">
        <x:f>'站点明细'!$D643</x:f>
        <x:v>618</x:v>
      </x:c>
      <x:c r="I432" s="10" t="n">
        <x:f>'站点明细'!$E875</x:f>
        <x:v>7</x:v>
      </x:c>
      <x:c r="J432" s="10" t="n">
        <x:f>'站点明细'!$D875</x:f>
        <x:v>3</x:v>
      </x:c>
      <x:c r="K432" s="10" t="n">
        <x:f>'站点明细'!$E1107</x:f>
        <x:v>94</x:v>
      </x:c>
      <x:c r="L432" s="10" t="n">
        <x:f>'站点明细'!$D1107</x:f>
        <x:v>49</x:v>
      </x:c>
      <x:c r="M432" s="10" t="n">
        <x:f>'站点明细'!$E1339</x:f>
        <x:v>83</x:v>
      </x:c>
      <x:c r="N432" s="10" t="n">
        <x:f>'站点明细'!$D1339</x:f>
        <x:v>69</x:v>
      </x:c>
      <x:c r="O432" s="10" t="n">
        <x:f>'站点明细'!$E1571</x:f>
        <x:v>0</x:v>
      </x:c>
      <x:c r="P432" s="10" t="n">
        <x:f>'站点明细'!$D1571</x:f>
        <x:v>0</x:v>
      </x:c>
      <x:c r="Q432" s="11" t="n">
        <x:f>'站点明细'!$F179</x:f>
        <x:v>23695.63</x:v>
      </x:c>
      <x:c r="R432" s="11" t="n">
        <x:f>'站点明细'!$F411</x:f>
        <x:v>12962.39</x:v>
      </x:c>
      <x:c r="S432" s="11" t="n">
        <x:f>'站点明细'!$F643</x:f>
        <x:v>8856.58</x:v>
      </x:c>
      <x:c r="T432" s="11" t="n">
        <x:f>'站点明细'!$F875</x:f>
        <x:v>86.91</x:v>
      </x:c>
      <x:c r="U432" s="11" t="n">
        <x:f>'站点明细'!$F1107</x:f>
        <x:v>701.58</x:v>
      </x:c>
      <x:c r="V432" s="11" t="n">
        <x:f>'站点明细'!$F1339</x:f>
        <x:v>2868.88</x:v>
      </x:c>
      <x:c r="W432" s="11" t="n">
        <x:f>'站点明细'!$F1571</x:f>
        <x:v>0</x:v>
      </x:c>
    </x:row>
    <x:row r="433">
      <x:c r="A433" t="str">
        <x:f>TEXT($B433,"mm-dd")</x:f>
        <x:v>06-28</x:v>
      </x:c>
      <x:c r="B433" s="9" t="n">
        <x:f>'站点明细'!$C180</x:f>
        <x:v>46201</x:v>
      </x:c>
      <x:c r="C433" s="10" t="n">
        <x:f>'站点明细'!$E180</x:f>
        <x:v>3011</x:v>
      </x:c>
      <x:c r="D433" s="10" t="n">
        <x:f>'站点明细'!$D180</x:f>
        <x:v>1626</x:v>
      </x:c>
      <x:c r="E433" s="10" t="n">
        <x:f>'站点明细'!$E412</x:f>
        <x:v>1356</x:v>
      </x:c>
      <x:c r="F433" s="10" t="n">
        <x:f>'站点明细'!$D412</x:f>
        <x:v>703</x:v>
      </x:c>
      <x:c r="G433" s="10" t="n">
        <x:f>'站点明细'!$E644</x:f>
        <x:v>1026</x:v>
      </x:c>
      <x:c r="H433" s="10" t="n">
        <x:f>'站点明细'!$D644</x:f>
        <x:v>547</x:v>
      </x:c>
      <x:c r="I433" s="10" t="n">
        <x:f>'站点明细'!$E876</x:f>
        <x:v>6</x:v>
      </x:c>
      <x:c r="J433" s="10" t="n">
        <x:f>'站点明细'!$D876</x:f>
        <x:v>2</x:v>
      </x:c>
      <x:c r="K433" s="10" t="n">
        <x:f>'站点明细'!$E1108</x:f>
        <x:v>136</x:v>
      </x:c>
      <x:c r="L433" s="10" t="n">
        <x:f>'站点明细'!$D1108</x:f>
        <x:v>71</x:v>
      </x:c>
      <x:c r="M433" s="10" t="n">
        <x:f>'站点明细'!$E1340</x:f>
        <x:v>57</x:v>
      </x:c>
      <x:c r="N433" s="10" t="n">
        <x:f>'站点明细'!$D1340</x:f>
        <x:v>47</x:v>
      </x:c>
      <x:c r="O433" s="10" t="n">
        <x:f>'站点明细'!$E1572</x:f>
        <x:v>0</x:v>
      </x:c>
      <x:c r="P433" s="10" t="n">
        <x:f>'站点明细'!$D1572</x:f>
        <x:v>0</x:v>
      </x:c>
      <x:c r="Q433" s="11" t="n">
        <x:f>'站点明细'!$F180</x:f>
        <x:v>21646.77</x:v>
      </x:c>
      <x:c r="R433" s="11" t="n">
        <x:f>'站点明细'!$F412</x:f>
        <x:v>13737.15</x:v>
      </x:c>
      <x:c r="S433" s="11" t="n">
        <x:f>'站点明细'!$F644</x:f>
        <x:v>8324.57</x:v>
      </x:c>
      <x:c r="T433" s="11" t="n">
        <x:f>'站点明细'!$F876</x:f>
        <x:v>61.98</x:v>
      </x:c>
      <x:c r="U433" s="11" t="n">
        <x:f>'站点明细'!$F1108</x:f>
        <x:v>1083.15</x:v>
      </x:c>
      <x:c r="V433" s="11" t="n">
        <x:f>'站点明细'!$F1340</x:f>
        <x:v>2369</x:v>
      </x:c>
      <x:c r="W433" s="11" t="n">
        <x:f>'站点明细'!$F1572</x:f>
        <x:v>0</x:v>
      </x:c>
    </x:row>
    <x:row r="434">
      <x:c r="A434" t="str">
        <x:f>TEXT($B434,"mm-dd")</x:f>
        <x:v>06-29</x:v>
      </x:c>
      <x:c r="B434" s="9" t="n">
        <x:f>'站点明细'!$C181</x:f>
        <x:v>46202</x:v>
      </x:c>
      <x:c r="C434" s="10" t="n">
        <x:f>'站点明细'!$E181</x:f>
        <x:v>3334</x:v>
      </x:c>
      <x:c r="D434" s="10" t="n">
        <x:f>'站点明细'!$D181</x:f>
        <x:v>1796</x:v>
      </x:c>
      <x:c r="E434" s="10" t="n">
        <x:f>'站点明细'!$E413</x:f>
        <x:v>1461</x:v>
      </x:c>
      <x:c r="F434" s="10" t="n">
        <x:f>'站点明细'!$D413</x:f>
        <x:v>784</x:v>
      </x:c>
      <x:c r="G434" s="10" t="n">
        <x:f>'站点明细'!$E645</x:f>
        <x:v>977</x:v>
      </x:c>
      <x:c r="H434" s="10" t="n">
        <x:f>'站点明细'!$D645</x:f>
        <x:v>520</x:v>
      </x:c>
      <x:c r="I434" s="10" t="n">
        <x:f>'站点明细'!$E877</x:f>
        <x:v>0</x:v>
      </x:c>
      <x:c r="J434" s="10" t="n">
        <x:f>'站点明细'!$D877</x:f>
        <x:v>0</x:v>
      </x:c>
      <x:c r="K434" s="10" t="n">
        <x:f>'站点明细'!$E1109</x:f>
        <x:v>125</x:v>
      </x:c>
      <x:c r="L434" s="10" t="n">
        <x:f>'站点明细'!$D1109</x:f>
        <x:v>60</x:v>
      </x:c>
      <x:c r="M434" s="10" t="n">
        <x:f>'站点明细'!$E1341</x:f>
        <x:v>32</x:v>
      </x:c>
      <x:c r="N434" s="10" t="n">
        <x:f>'站点明细'!$D1341</x:f>
        <x:v>28</x:v>
      </x:c>
      <x:c r="O434" s="10" t="n">
        <x:f>'站点明细'!$E1573</x:f>
        <x:v>0</x:v>
      </x:c>
      <x:c r="P434" s="10" t="n">
        <x:f>'站点明细'!$D1573</x:f>
        <x:v>0</x:v>
      </x:c>
      <x:c r="Q434" s="11" t="n">
        <x:f>'站点明细'!$F181</x:f>
        <x:v>24370.94</x:v>
      </x:c>
      <x:c r="R434" s="11" t="n">
        <x:f>'站点明细'!$F413</x:f>
        <x:v>13314.86</x:v>
      </x:c>
      <x:c r="S434" s="11" t="n">
        <x:f>'站点明细'!$F645</x:f>
        <x:v>7404.7</x:v>
      </x:c>
      <x:c r="T434" s="11" t="n">
        <x:f>'站点明细'!$F877</x:f>
        <x:v>0</x:v>
      </x:c>
      <x:c r="U434" s="11" t="n">
        <x:f>'站点明细'!$F1109</x:f>
        <x:v>868.74</x:v>
      </x:c>
      <x:c r="V434" s="11" t="n">
        <x:f>'站点明细'!$F1341</x:f>
        <x:v>1687.28</x:v>
      </x:c>
      <x:c r="W434" s="11" t="n">
        <x:f>'站点明细'!$F1573</x:f>
        <x:v>0</x:v>
      </x:c>
    </x:row>
    <x:row r="435">
      <x:c r="A435" t="str">
        <x:f>TEXT($B435,"mm-dd")</x:f>
        <x:v>06-30</x:v>
      </x:c>
      <x:c r="B435" s="9" t="n">
        <x:f>'站点明细'!$C182</x:f>
        <x:v>46203</x:v>
      </x:c>
      <x:c r="C435" s="10" t="n">
        <x:f>'站点明细'!$E182</x:f>
        <x:v>3481</x:v>
      </x:c>
      <x:c r="D435" s="10" t="n">
        <x:f>'站点明细'!$D182</x:f>
        <x:v>1845</x:v>
      </x:c>
      <x:c r="E435" s="10" t="n">
        <x:f>'站点明细'!$E414</x:f>
        <x:v>1476</x:v>
      </x:c>
      <x:c r="F435" s="10" t="n">
        <x:f>'站点明细'!$D414</x:f>
        <x:v>770</x:v>
      </x:c>
      <x:c r="G435" s="10" t="n">
        <x:f>'站点明细'!$E646</x:f>
        <x:v>1249</x:v>
      </x:c>
      <x:c r="H435" s="10" t="n">
        <x:f>'站点明细'!$D646</x:f>
        <x:v>648</x:v>
      </x:c>
      <x:c r="I435" s="10" t="n">
        <x:f>'站点明细'!$E878</x:f>
        <x:v>0</x:v>
      </x:c>
      <x:c r="J435" s="10" t="n">
        <x:f>'站点明细'!$D878</x:f>
        <x:v>0</x:v>
      </x:c>
      <x:c r="K435" s="10" t="n">
        <x:f>'站点明细'!$E1110</x:f>
        <x:v>176</x:v>
      </x:c>
      <x:c r="L435" s="10" t="n">
        <x:f>'站点明细'!$D1110</x:f>
        <x:v>80</x:v>
      </x:c>
      <x:c r="M435" s="10" t="n">
        <x:f>'站点明细'!$E1342</x:f>
        <x:v>130</x:v>
      </x:c>
      <x:c r="N435" s="10" t="n">
        <x:f>'站点明细'!$D1342</x:f>
        <x:v>100</x:v>
      </x:c>
      <x:c r="O435" s="10" t="n">
        <x:f>'站点明细'!$E1574</x:f>
        <x:v>0</x:v>
      </x:c>
      <x:c r="P435" s="10" t="n">
        <x:f>'站点明细'!$D1574</x:f>
        <x:v>0</x:v>
      </x:c>
      <x:c r="Q435" s="11" t="n">
        <x:f>'站点明细'!$F182</x:f>
        <x:v>26567.79</x:v>
      </x:c>
      <x:c r="R435" s="11" t="n">
        <x:f>'站点明细'!$F414</x:f>
        <x:v>12948.51</x:v>
      </x:c>
      <x:c r="S435" s="11" t="n">
        <x:f>'站点明细'!$F646</x:f>
        <x:v>9613.39</x:v>
      </x:c>
      <x:c r="T435" s="11" t="n">
        <x:f>'站点明细'!$F878</x:f>
        <x:v>-1382.48</x:v>
      </x:c>
      <x:c r="U435" s="11" t="n">
        <x:f>'站点明细'!$F1110</x:f>
        <x:v>1242.26</x:v>
      </x:c>
      <x:c r="V435" s="11" t="n">
        <x:f>'站点明细'!$F1342</x:f>
        <x:v>6677.29</x:v>
      </x:c>
      <x:c r="W435" s="11" t="n">
        <x:f>'站点明细'!$F1574</x:f>
        <x:v>0</x:v>
      </x:c>
    </x:row>
    <x:row r="436">
      <x:c r="A436" t="str">
        <x:f>TEXT($B436,"mm-dd")</x:f>
        <x:v>07-01</x:v>
      </x:c>
      <x:c r="B436" s="9" t="n">
        <x:f>'站点明细'!$C183</x:f>
        <x:v>46204</x:v>
      </x:c>
      <x:c r="C436" s="10" t="n">
        <x:f>'站点明细'!$E183</x:f>
        <x:v>3178</x:v>
      </x:c>
      <x:c r="D436" s="10" t="n">
        <x:f>'站点明细'!$D183</x:f>
        <x:v>1782</x:v>
      </x:c>
      <x:c r="E436" s="10" t="n">
        <x:f>'站点明细'!$E415</x:f>
        <x:v>1645</x:v>
      </x:c>
      <x:c r="F436" s="10" t="n">
        <x:f>'站点明细'!$D415</x:f>
        <x:v>827</x:v>
      </x:c>
      <x:c r="G436" s="10" t="n">
        <x:f>'站点明细'!$E647</x:f>
        <x:v>1007</x:v>
      </x:c>
      <x:c r="H436" s="10" t="n">
        <x:f>'站点明细'!$D647</x:f>
        <x:v>564</x:v>
      </x:c>
      <x:c r="I436" s="10" t="n">
        <x:f>'站点明细'!$E879</x:f>
        <x:v>0</x:v>
      </x:c>
      <x:c r="J436" s="10" t="n">
        <x:f>'站点明细'!$D879</x:f>
        <x:v>0</x:v>
      </x:c>
      <x:c r="K436" s="10" t="n">
        <x:f>'站点明细'!$E1111</x:f>
        <x:v>199</x:v>
      </x:c>
      <x:c r="L436" s="10" t="n">
        <x:f>'站点明细'!$D1111</x:f>
        <x:v>102</x:v>
      </x:c>
      <x:c r="M436" s="10" t="n">
        <x:f>'站点明细'!$E1343</x:f>
        <x:v>67</x:v>
      </x:c>
      <x:c r="N436" s="10" t="n">
        <x:f>'站点明细'!$D1343</x:f>
        <x:v>57</x:v>
      </x:c>
      <x:c r="O436" s="10" t="n">
        <x:f>'站点明细'!$E1575</x:f>
        <x:v>12</x:v>
      </x:c>
      <x:c r="P436" s="10" t="n">
        <x:f>'站点明细'!$D1575</x:f>
        <x:v>12</x:v>
      </x:c>
      <x:c r="Q436" s="11" t="n">
        <x:f>'站点明细'!$F183</x:f>
        <x:v>24741</x:v>
      </x:c>
      <x:c r="R436" s="11" t="n">
        <x:f>'站点明细'!$F415</x:f>
        <x:v>14665.7</x:v>
      </x:c>
      <x:c r="S436" s="11" t="n">
        <x:f>'站点明细'!$F647</x:f>
        <x:v>7976.85</x:v>
      </x:c>
      <x:c r="T436" s="11" t="n">
        <x:f>'站点明细'!$F879</x:f>
        <x:v>0</x:v>
      </x:c>
      <x:c r="U436" s="11" t="n">
        <x:f>'站点明细'!$F1111</x:f>
        <x:v>1523.81</x:v>
      </x:c>
      <x:c r="V436" s="11" t="n">
        <x:f>'站点明细'!$F1343</x:f>
        <x:v>2759.83</x:v>
      </x:c>
      <x:c r="W436" s="11" t="n">
        <x:f>'站点明细'!$F1575</x:f>
        <x:v>316.6</x:v>
      </x:c>
    </x:row>
    <x:row r="437">
      <x:c r="A437" t="str">
        <x:f>TEXT($B437,"mm-dd")</x:f>
        <x:v>07-02</x:v>
      </x:c>
      <x:c r="B437" s="9" t="n">
        <x:f>'站点明细'!$C184</x:f>
        <x:v>46205</x:v>
      </x:c>
      <x:c r="C437" s="10" t="n">
        <x:f>'站点明细'!$E184</x:f>
        <x:v>3898</x:v>
      </x:c>
      <x:c r="D437" s="10" t="n">
        <x:f>'站点明细'!$D184</x:f>
        <x:v>2090</x:v>
      </x:c>
      <x:c r="E437" s="10" t="n">
        <x:f>'站点明细'!$E416</x:f>
        <x:v>1632</x:v>
      </x:c>
      <x:c r="F437" s="10" t="n">
        <x:f>'站点明细'!$D416</x:f>
        <x:v>809</x:v>
      </x:c>
      <x:c r="G437" s="10" t="n">
        <x:f>'站点明细'!$E648</x:f>
        <x:v>944</x:v>
      </x:c>
      <x:c r="H437" s="10" t="n">
        <x:f>'站点明细'!$D648</x:f>
        <x:v>502</x:v>
      </x:c>
      <x:c r="I437" s="10" t="n">
        <x:f>'站点明细'!$E880</x:f>
        <x:v>2</x:v>
      </x:c>
      <x:c r="J437" s="10" t="n">
        <x:f>'站点明细'!$D880</x:f>
        <x:v>2</x:v>
      </x:c>
      <x:c r="K437" s="10" t="n">
        <x:f>'站点明细'!$E1112</x:f>
        <x:v>184</x:v>
      </x:c>
      <x:c r="L437" s="10" t="n">
        <x:f>'站点明细'!$D1112</x:f>
        <x:v>93</x:v>
      </x:c>
      <x:c r="M437" s="10" t="n">
        <x:f>'站点明细'!$E1344</x:f>
        <x:v>57</x:v>
      </x:c>
      <x:c r="N437" s="10" t="n">
        <x:f>'站点明细'!$D1344</x:f>
        <x:v>53</x:v>
      </x:c>
      <x:c r="O437" s="10" t="n">
        <x:f>'站点明细'!$E1576</x:f>
        <x:v>9</x:v>
      </x:c>
      <x:c r="P437" s="10" t="n">
        <x:f>'站点明细'!$D1576</x:f>
        <x:v>7</x:v>
      </x:c>
      <x:c r="Q437" s="11" t="n">
        <x:f>'站点明细'!$F184</x:f>
        <x:v>27986.14</x:v>
      </x:c>
      <x:c r="R437" s="11" t="n">
        <x:f>'站点明细'!$F416</x:f>
        <x:v>13671.26</x:v>
      </x:c>
      <x:c r="S437" s="11" t="n">
        <x:f>'站点明细'!$F648</x:f>
        <x:v>7802.41</x:v>
      </x:c>
      <x:c r="T437" s="11" t="n">
        <x:f>'站点明细'!$F880</x:f>
        <x:v>39.87</x:v>
      </x:c>
      <x:c r="U437" s="11" t="n">
        <x:f>'站点明细'!$F1112</x:f>
        <x:v>1262.68</x:v>
      </x:c>
      <x:c r="V437" s="11" t="n">
        <x:f>'站点明细'!$F1344</x:f>
        <x:v>2100.87</x:v>
      </x:c>
      <x:c r="W437" s="11" t="n">
        <x:f>'站点明细'!$F1576</x:f>
        <x:v>53.03</x:v>
      </x:c>
    </x:row>
    <x:row r="438">
      <x:c r="A438" t="str">
        <x:f>TEXT($B438,"mm-dd")</x:f>
        <x:v>07-03</x:v>
      </x:c>
      <x:c r="B438" s="9" t="n">
        <x:f>'站点明细'!$C185</x:f>
        <x:v>46206</x:v>
      </x:c>
      <x:c r="C438" s="10" t="n">
        <x:f>'站点明细'!$E185</x:f>
        <x:v>3531</x:v>
      </x:c>
      <x:c r="D438" s="10" t="n">
        <x:f>'站点明细'!$D185</x:f>
        <x:v>1954</x:v>
      </x:c>
      <x:c r="E438" s="10" t="n">
        <x:f>'站点明细'!$E417</x:f>
        <x:v>1523</x:v>
      </x:c>
      <x:c r="F438" s="10" t="n">
        <x:f>'站点明细'!$D417</x:f>
        <x:v>772</x:v>
      </x:c>
      <x:c r="G438" s="10" t="n">
        <x:f>'站点明细'!$E649</x:f>
        <x:v>935</x:v>
      </x:c>
      <x:c r="H438" s="10" t="n">
        <x:f>'站点明细'!$D649</x:f>
        <x:v>520</x:v>
      </x:c>
      <x:c r="I438" s="10" t="n">
        <x:f>'站点明细'!$E881</x:f>
        <x:v>1</x:v>
      </x:c>
      <x:c r="J438" s="10" t="n">
        <x:f>'站点明细'!$D881</x:f>
        <x:v>1</x:v>
      </x:c>
      <x:c r="K438" s="10" t="n">
        <x:f>'站点明细'!$E1113</x:f>
        <x:v>153</x:v>
      </x:c>
      <x:c r="L438" s="10" t="n">
        <x:f>'站点明细'!$D1113</x:f>
        <x:v>72</x:v>
      </x:c>
      <x:c r="M438" s="10" t="n">
        <x:f>'站点明细'!$E1345</x:f>
        <x:v>95</x:v>
      </x:c>
      <x:c r="N438" s="10" t="n">
        <x:f>'站点明细'!$D1345</x:f>
        <x:v>65</x:v>
      </x:c>
      <x:c r="O438" s="10" t="n">
        <x:f>'站点明细'!$E1577</x:f>
        <x:v>6</x:v>
      </x:c>
      <x:c r="P438" s="10" t="n">
        <x:f>'站点明细'!$D1577</x:f>
        <x:v>4</x:v>
      </x:c>
      <x:c r="Q438" s="11" t="n">
        <x:f>'站点明细'!$F185</x:f>
        <x:v>26083.27</x:v>
      </x:c>
      <x:c r="R438" s="11" t="n">
        <x:f>'站点明细'!$F417</x:f>
        <x:v>13783.76</x:v>
      </x:c>
      <x:c r="S438" s="11" t="n">
        <x:f>'站点明细'!$F649</x:f>
        <x:v>7707.22</x:v>
      </x:c>
      <x:c r="T438" s="11" t="n">
        <x:f>'站点明细'!$F881</x:f>
        <x:v>19.81</x:v>
      </x:c>
      <x:c r="U438" s="11" t="n">
        <x:f>'站点明细'!$F1113</x:f>
        <x:v>1034</x:v>
      </x:c>
      <x:c r="V438" s="11" t="n">
        <x:f>'站点明细'!$F1345</x:f>
        <x:v>3351.37</x:v>
      </x:c>
      <x:c r="W438" s="11" t="n">
        <x:f>'站点明细'!$F1577</x:f>
        <x:v>423.48</x:v>
      </x:c>
    </x:row>
    <x:row r="439">
      <x:c r="A439" t="str">
        <x:f>TEXT($B439,"mm-dd")</x:f>
        <x:v>07-04</x:v>
      </x:c>
      <x:c r="B439" s="9" t="n">
        <x:f>'站点明细'!$C186</x:f>
        <x:v>46207</x:v>
      </x:c>
      <x:c r="C439" s="10" t="n">
        <x:f>'站点明细'!$E186</x:f>
        <x:v>4237</x:v>
      </x:c>
      <x:c r="D439" s="10" t="n">
        <x:f>'站点明细'!$D186</x:f>
        <x:v>2290</x:v>
      </x:c>
      <x:c r="E439" s="10" t="n">
        <x:f>'站点明细'!$E418</x:f>
        <x:v>1622</x:v>
      </x:c>
      <x:c r="F439" s="10" t="n">
        <x:f>'站点明细'!$D418</x:f>
        <x:v>815</x:v>
      </x:c>
      <x:c r="G439" s="10" t="n">
        <x:f>'站点明细'!$E650</x:f>
        <x:v>939</x:v>
      </x:c>
      <x:c r="H439" s="10" t="n">
        <x:f>'站点明细'!$D650</x:f>
        <x:v>451</x:v>
      </x:c>
      <x:c r="I439" s="10" t="n">
        <x:f>'站点明细'!$E882</x:f>
        <x:v>1</x:v>
      </x:c>
      <x:c r="J439" s="10" t="n">
        <x:f>'站点明细'!$D882</x:f>
        <x:v>1</x:v>
      </x:c>
      <x:c r="K439" s="10" t="n">
        <x:f>'站点明细'!$E1114</x:f>
        <x:v>135</x:v>
      </x:c>
      <x:c r="L439" s="10" t="n">
        <x:f>'站点明细'!$D1114</x:f>
        <x:v>66</x:v>
      </x:c>
      <x:c r="M439" s="10" t="n">
        <x:f>'站点明细'!$E1346</x:f>
        <x:v>88</x:v>
      </x:c>
      <x:c r="N439" s="10" t="n">
        <x:f>'站点明细'!$D1346</x:f>
        <x:v>64</x:v>
      </x:c>
      <x:c r="O439" s="10" t="n">
        <x:f>'站点明细'!$E1578</x:f>
        <x:v>0</x:v>
      </x:c>
      <x:c r="P439" s="10" t="n">
        <x:f>'站点明细'!$D1578</x:f>
        <x:v>0</x:v>
      </x:c>
      <x:c r="Q439" s="11" t="n">
        <x:f>'站点明细'!$F186</x:f>
        <x:v>30714.93</x:v>
      </x:c>
      <x:c r="R439" s="11" t="n">
        <x:f>'站点明细'!$F418</x:f>
        <x:v>14445.79</x:v>
      </x:c>
      <x:c r="S439" s="11" t="n">
        <x:f>'站点明细'!$F650</x:f>
        <x:v>6629.12</x:v>
      </x:c>
      <x:c r="T439" s="11" t="n">
        <x:f>'站点明细'!$F882</x:f>
        <x:v>14.72</x:v>
      </x:c>
      <x:c r="U439" s="11" t="n">
        <x:f>'站点明细'!$F1114</x:f>
        <x:v>999.82</x:v>
      </x:c>
      <x:c r="V439" s="11" t="n">
        <x:f>'站点明细'!$F1346</x:f>
        <x:v>2559.81</x:v>
      </x:c>
      <x:c r="W439" s="11" t="n">
        <x:f>'站点明细'!$F1578</x:f>
        <x:v>0</x:v>
      </x:c>
    </x:row>
    <x:row r="440">
      <x:c r="A440" t="str">
        <x:f>TEXT($B440,"mm-dd")</x:f>
        <x:v>07-05</x:v>
      </x:c>
      <x:c r="B440" s="9" t="n">
        <x:f>'站点明细'!$C187</x:f>
        <x:v>46208</x:v>
      </x:c>
      <x:c r="C440" s="10" t="n">
        <x:f>'站点明细'!$E187</x:f>
        <x:v>3410</x:v>
      </x:c>
      <x:c r="D440" s="10" t="n">
        <x:f>'站点明细'!$D187</x:f>
        <x:v>1903</x:v>
      </x:c>
      <x:c r="E440" s="10" t="n">
        <x:f>'站点明细'!$E419</x:f>
        <x:v>1301</x:v>
      </x:c>
      <x:c r="F440" s="10" t="n">
        <x:f>'站点明细'!$D419</x:f>
        <x:v>673</x:v>
      </x:c>
      <x:c r="G440" s="10" t="n">
        <x:f>'站点明细'!$E651</x:f>
        <x:v>826</x:v>
      </x:c>
      <x:c r="H440" s="10" t="n">
        <x:f>'站点明细'!$D651</x:f>
        <x:v>422</x:v>
      </x:c>
      <x:c r="I440" s="10" t="n">
        <x:f>'站点明细'!$E883</x:f>
        <x:v>7</x:v>
      </x:c>
      <x:c r="J440" s="10" t="n">
        <x:f>'站点明细'!$D883</x:f>
        <x:v>5</x:v>
      </x:c>
      <x:c r="K440" s="10" t="n">
        <x:f>'站点明细'!$E1115</x:f>
        <x:v>162</x:v>
      </x:c>
      <x:c r="L440" s="10" t="n">
        <x:f>'站点明细'!$D1115</x:f>
        <x:v>83</x:v>
      </x:c>
      <x:c r="M440" s="10" t="n">
        <x:f>'站点明细'!$E1347</x:f>
        <x:v>60</x:v>
      </x:c>
      <x:c r="N440" s="10" t="n">
        <x:f>'站点明细'!$D1347</x:f>
        <x:v>48</x:v>
      </x:c>
      <x:c r="O440" s="10" t="n">
        <x:f>'站点明细'!$E1579</x:f>
        <x:v>0</x:v>
      </x:c>
      <x:c r="P440" s="10" t="n">
        <x:f>'站点明细'!$D1579</x:f>
        <x:v>0</x:v>
      </x:c>
      <x:c r="Q440" s="11" t="n">
        <x:f>'站点明细'!$F187</x:f>
        <x:v>24710.66</x:v>
      </x:c>
      <x:c r="R440" s="11" t="n">
        <x:f>'站点明细'!$F419</x:f>
        <x:v>12782.74</x:v>
      </x:c>
      <x:c r="S440" s="11" t="n">
        <x:f>'站点明细'!$F651</x:f>
        <x:v>6172.58</x:v>
      </x:c>
      <x:c r="T440" s="11" t="n">
        <x:f>'站点明细'!$F883</x:f>
        <x:v>105.12</x:v>
      </x:c>
      <x:c r="U440" s="11" t="n">
        <x:f>'站点明细'!$F1115</x:f>
        <x:v>1204.08</x:v>
      </x:c>
      <x:c r="V440" s="11" t="n">
        <x:f>'站点明细'!$F1347</x:f>
        <x:v>2429.11</x:v>
      </x:c>
      <x:c r="W440" s="11" t="n">
        <x:f>'站点明细'!$F1579</x:f>
        <x:v>0</x:v>
      </x:c>
    </x:row>
    <x:row r="441">
      <x:c r="A441" t="str">
        <x:f>TEXT($B441,"mm-dd")</x:f>
        <x:v>07-06</x:v>
      </x:c>
      <x:c r="B441" s="9" t="n">
        <x:f>'站点明细'!$C188</x:f>
        <x:v>46209</x:v>
      </x:c>
      <x:c r="C441" s="10" t="n">
        <x:f>'站点明细'!$E188</x:f>
        <x:v>3237</x:v>
      </x:c>
      <x:c r="D441" s="10" t="n">
        <x:f>'站点明细'!$D188</x:f>
        <x:v>1828</x:v>
      </x:c>
      <x:c r="E441" s="10" t="n">
        <x:f>'站点明细'!$E420</x:f>
        <x:v>1228</x:v>
      </x:c>
      <x:c r="F441" s="10" t="n">
        <x:f>'站点明细'!$D420</x:f>
        <x:v>730</x:v>
      </x:c>
      <x:c r="G441" s="10" t="n">
        <x:f>'站点明细'!$E652</x:f>
        <x:v>939</x:v>
      </x:c>
      <x:c r="H441" s="10" t="n">
        <x:f>'站点明细'!$D652</x:f>
        <x:v>465</x:v>
      </x:c>
      <x:c r="I441" s="10" t="n">
        <x:f>'站点明细'!$E884</x:f>
        <x:v>6</x:v>
      </x:c>
      <x:c r="J441" s="10" t="n">
        <x:f>'站点明细'!$D884</x:f>
        <x:v>4</x:v>
      </x:c>
      <x:c r="K441" s="10" t="n">
        <x:f>'站点明细'!$E1116</x:f>
        <x:v>169</x:v>
      </x:c>
      <x:c r="L441" s="10" t="n">
        <x:f>'站点明细'!$D1116</x:f>
        <x:v>86</x:v>
      </x:c>
      <x:c r="M441" s="10" t="n">
        <x:f>'站点明细'!$E1348</x:f>
        <x:v>56</x:v>
      </x:c>
      <x:c r="N441" s="10" t="n">
        <x:f>'站点明细'!$D1348</x:f>
        <x:v>45</x:v>
      </x:c>
      <x:c r="O441" s="10" t="n">
        <x:f>'站点明细'!$E1580</x:f>
        <x:v>7</x:v>
      </x:c>
      <x:c r="P441" s="10" t="n">
        <x:f>'站点明细'!$D1580</x:f>
        <x:v>7</x:v>
      </x:c>
      <x:c r="Q441" s="11" t="n">
        <x:f>'站点明细'!$F188</x:f>
        <x:v>24313.45</x:v>
      </x:c>
      <x:c r="R441" s="11" t="n">
        <x:f>'站点明细'!$F420</x:f>
        <x:v>12480.76</x:v>
      </x:c>
      <x:c r="S441" s="11" t="n">
        <x:f>'站点明细'!$F652</x:f>
        <x:v>7025.13</x:v>
      </x:c>
      <x:c r="T441" s="11" t="n">
        <x:f>'站点明细'!$F884</x:f>
        <x:v>85.57</x:v>
      </x:c>
      <x:c r="U441" s="11" t="n">
        <x:f>'站点明细'!$F1116</x:f>
        <x:v>1219.97</x:v>
      </x:c>
      <x:c r="V441" s="11" t="n">
        <x:f>'站点明细'!$F1348</x:f>
        <x:v>2273.81</x:v>
      </x:c>
      <x:c r="W441" s="11" t="n">
        <x:f>'站点明细'!$F1580</x:f>
        <x:v>372.12</x:v>
      </x:c>
    </x:row>
    <x:row r="442">
      <x:c r="A442" t="str">
        <x:f>TEXT($B442,"mm-dd")</x:f>
        <x:v>07-07</x:v>
      </x:c>
      <x:c r="B442" s="9" t="n">
        <x:f>'站点明细'!$C189</x:f>
        <x:v>46210</x:v>
      </x:c>
      <x:c r="C442" s="10" t="n">
        <x:f>'站点明细'!$E189</x:f>
        <x:v>4593</x:v>
      </x:c>
      <x:c r="D442" s="10" t="n">
        <x:f>'站点明细'!$D189</x:f>
        <x:v>2499</x:v>
      </x:c>
      <x:c r="E442" s="10" t="n">
        <x:f>'站点明细'!$E421</x:f>
        <x:v>1453</x:v>
      </x:c>
      <x:c r="F442" s="10" t="n">
        <x:f>'站点明细'!$D421</x:f>
        <x:v>811</x:v>
      </x:c>
      <x:c r="G442" s="10" t="n">
        <x:f>'站点明细'!$E653</x:f>
        <x:v>958</x:v>
      </x:c>
      <x:c r="H442" s="10" t="n">
        <x:f>'站点明细'!$D653</x:f>
        <x:v>415</x:v>
      </x:c>
      <x:c r="I442" s="10" t="n">
        <x:f>'站点明细'!$E885</x:f>
        <x:v>0</x:v>
      </x:c>
      <x:c r="J442" s="10" t="n">
        <x:f>'站点明细'!$D885</x:f>
        <x:v>0</x:v>
      </x:c>
      <x:c r="K442" s="10" t="n">
        <x:f>'站点明细'!$E1117</x:f>
        <x:v>187</x:v>
      </x:c>
      <x:c r="L442" s="10" t="n">
        <x:f>'站点明细'!$D1117</x:f>
        <x:v>88</x:v>
      </x:c>
      <x:c r="M442" s="10" t="n">
        <x:f>'站点明细'!$E1349</x:f>
        <x:v>102</x:v>
      </x:c>
      <x:c r="N442" s="10" t="n">
        <x:f>'站点明细'!$D1349</x:f>
        <x:v>86</x:v>
      </x:c>
      <x:c r="O442" s="10" t="n">
        <x:f>'站点明细'!$E1581</x:f>
        <x:v>11</x:v>
      </x:c>
      <x:c r="P442" s="10" t="n">
        <x:f>'站点明细'!$D1581</x:f>
        <x:v>9</x:v>
      </x:c>
      <x:c r="Q442" s="11" t="n">
        <x:f>'站点明细'!$F189</x:f>
        <x:v>32559.99</x:v>
      </x:c>
      <x:c r="R442" s="11" t="n">
        <x:f>'站点明细'!$F421</x:f>
        <x:v>15091.1</x:v>
      </x:c>
      <x:c r="S442" s="11" t="n">
        <x:f>'站点明细'!$F653</x:f>
        <x:v>6626.6</x:v>
      </x:c>
      <x:c r="T442" s="11" t="n">
        <x:f>'站点明细'!$F885</x:f>
        <x:v>0</x:v>
      </x:c>
      <x:c r="U442" s="11" t="n">
        <x:f>'站点明细'!$F1117</x:f>
        <x:v>1512.74</x:v>
      </x:c>
      <x:c r="V442" s="11" t="n">
        <x:f>'站点明细'!$F1349</x:f>
        <x:v>3543.46</x:v>
      </x:c>
      <x:c r="W442" s="11" t="n">
        <x:f>'站点明细'!$F1581</x:f>
        <x:v>281.7</x:v>
      </x:c>
    </x:row>
    <x:row r="443">
      <x:c r="A443" t="str">
        <x:f>TEXT($B443,"mm-dd")</x:f>
        <x:v>07-08</x:v>
      </x:c>
      <x:c r="B443" s="9" t="n">
        <x:f>'站点明细'!$C190</x:f>
        <x:v>46211</x:v>
      </x:c>
      <x:c r="C443" s="10" t="n">
        <x:f>'站点明细'!$E190</x:f>
        <x:v>3668</x:v>
      </x:c>
      <x:c r="D443" s="10" t="n">
        <x:f>'站点明细'!$D190</x:f>
        <x:v>1918</x:v>
      </x:c>
      <x:c r="E443" s="10" t="n">
        <x:f>'站点明细'!$E422</x:f>
        <x:v>1148</x:v>
      </x:c>
      <x:c r="F443" s="10" t="n">
        <x:f>'站点明细'!$D422</x:f>
        <x:v>722</x:v>
      </x:c>
      <x:c r="G443" s="10" t="n">
        <x:f>'站点明细'!$E654</x:f>
        <x:v>1065</x:v>
      </x:c>
      <x:c r="H443" s="10" t="n">
        <x:f>'站点明细'!$D654</x:f>
        <x:v>524</x:v>
      </x:c>
      <x:c r="I443" s="10" t="n">
        <x:f>'站点明细'!$E886</x:f>
        <x:v>1</x:v>
      </x:c>
      <x:c r="J443" s="10" t="n">
        <x:f>'站点明细'!$D886</x:f>
        <x:v>1</x:v>
      </x:c>
      <x:c r="K443" s="10" t="n">
        <x:f>'站点明细'!$E1118</x:f>
        <x:v>159</x:v>
      </x:c>
      <x:c r="L443" s="10" t="n">
        <x:f>'站点明细'!$D1118</x:f>
        <x:v>79</x:v>
      </x:c>
      <x:c r="M443" s="10" t="n">
        <x:f>'站点明细'!$E1350</x:f>
        <x:v>54</x:v>
      </x:c>
      <x:c r="N443" s="10" t="n">
        <x:f>'站点明细'!$D1350</x:f>
        <x:v>40</x:v>
      </x:c>
      <x:c r="O443" s="10" t="n">
        <x:f>'站点明细'!$E1582</x:f>
        <x:v>3</x:v>
      </x:c>
      <x:c r="P443" s="10" t="n">
        <x:f>'站点明细'!$D1582</x:f>
        <x:v>3</x:v>
      </x:c>
      <x:c r="Q443" s="11" t="n">
        <x:f>'站点明细'!$F190</x:f>
        <x:v>24886.51</x:v>
      </x:c>
      <x:c r="R443" s="11" t="n">
        <x:f>'站点明细'!$F422</x:f>
        <x:v>12228.26</x:v>
      </x:c>
      <x:c r="S443" s="11" t="n">
        <x:f>'站点明细'!$F654</x:f>
        <x:v>7870.37</x:v>
      </x:c>
      <x:c r="T443" s="11" t="n">
        <x:f>'站点明细'!$F886</x:f>
        <x:v>25.15</x:v>
      </x:c>
      <x:c r="U443" s="11" t="n">
        <x:f>'站点明细'!$F1118</x:f>
        <x:v>1193.9</x:v>
      </x:c>
      <x:c r="V443" s="11" t="n">
        <x:f>'站点明细'!$F1350</x:f>
        <x:v>2066.27</x:v>
      </x:c>
      <x:c r="W443" s="11" t="n">
        <x:f>'站点明细'!$F1582</x:f>
        <x:v>217.15</x:v>
      </x:c>
    </x:row>
    <x:row r="444">
      <x:c r="A444" t="str">
        <x:f>TEXT($B444,"mm-dd")</x:f>
        <x:v>07-09</x:v>
      </x:c>
      <x:c r="B444" s="9" t="n">
        <x:f>'站点明细'!$C191</x:f>
        <x:v>46212</x:v>
      </x:c>
      <x:c r="C444" s="10" t="n">
        <x:f>'站点明细'!$E191</x:f>
        <x:v>3595</x:v>
      </x:c>
      <x:c r="D444" s="10" t="n">
        <x:f>'站点明细'!$D191</x:f>
        <x:v>1939</x:v>
      </x:c>
      <x:c r="E444" s="10" t="n">
        <x:f>'站点明细'!$E423</x:f>
        <x:v>1041</x:v>
      </x:c>
      <x:c r="F444" s="10" t="n">
        <x:f>'站点明细'!$D423</x:f>
        <x:v>630</x:v>
      </x:c>
      <x:c r="G444" s="10" t="n">
        <x:f>'站点明细'!$E655</x:f>
        <x:v>821</x:v>
      </x:c>
      <x:c r="H444" s="10" t="n">
        <x:f>'站点明细'!$D655</x:f>
        <x:v>370</x:v>
      </x:c>
      <x:c r="I444" s="10" t="n">
        <x:f>'站点明细'!$E887</x:f>
        <x:v>1</x:v>
      </x:c>
      <x:c r="J444" s="10" t="n">
        <x:f>'站点明细'!$D887</x:f>
        <x:v>1</x:v>
      </x:c>
      <x:c r="K444" s="10" t="n">
        <x:f>'站点明细'!$E1119</x:f>
        <x:v>151</x:v>
      </x:c>
      <x:c r="L444" s="10" t="n">
        <x:f>'站点明细'!$D1119</x:f>
        <x:v>74</x:v>
      </x:c>
      <x:c r="M444" s="10" t="n">
        <x:f>'站点明细'!$E1351</x:f>
        <x:v>56</x:v>
      </x:c>
      <x:c r="N444" s="10" t="n">
        <x:f>'站点明细'!$D1351</x:f>
        <x:v>47</x:v>
      </x:c>
      <x:c r="O444" s="10" t="n">
        <x:f>'站点明细'!$E1583</x:f>
        <x:v>0</x:v>
      </x:c>
      <x:c r="P444" s="10" t="n">
        <x:f>'站点明细'!$D1583</x:f>
        <x:v>0</x:v>
      </x:c>
      <x:c r="Q444" s="11" t="n">
        <x:f>'站点明细'!$F191</x:f>
        <x:v>25169.89</x:v>
      </x:c>
      <x:c r="R444" s="11" t="n">
        <x:f>'站点明细'!$F423</x:f>
        <x:v>10790.77</x:v>
      </x:c>
      <x:c r="S444" s="11" t="n">
        <x:f>'站点明细'!$F655</x:f>
        <x:v>6808.9</x:v>
      </x:c>
      <x:c r="T444" s="11" t="n">
        <x:f>'站点明细'!$F887</x:f>
        <x:v>14.74</x:v>
      </x:c>
      <x:c r="U444" s="11" t="n">
        <x:f>'站点明细'!$F1119</x:f>
        <x:v>1041.67</x:v>
      </x:c>
      <x:c r="V444" s="11" t="n">
        <x:f>'站点明细'!$F1351</x:f>
        <x:v>2323.52</x:v>
      </x:c>
      <x:c r="W444" s="11" t="n">
        <x:f>'站点明细'!$F1583</x:f>
        <x:v>0</x:v>
      </x:c>
    </x:row>
    <x:row r="445">
      <x:c r="A445" t="str">
        <x:f>TEXT($B445,"mm-dd")</x:f>
        <x:v>07-10</x:v>
      </x:c>
      <x:c r="B445" s="9" t="n">
        <x:f>'站点明细'!$C192</x:f>
        <x:v>46213</x:v>
      </x:c>
      <x:c r="C445" s="10" t="n">
        <x:f>'站点明细'!$E192</x:f>
        <x:v>3404</x:v>
      </x:c>
      <x:c r="D445" s="10" t="n">
        <x:f>'站点明细'!$D192</x:f>
        <x:v>1724</x:v>
      </x:c>
      <x:c r="E445" s="10" t="n">
        <x:f>'站点明细'!$E424</x:f>
        <x:v>1061</x:v>
      </x:c>
      <x:c r="F445" s="10" t="n">
        <x:f>'站点明细'!$D424</x:f>
        <x:v>573</x:v>
      </x:c>
      <x:c r="G445" s="10" t="n">
        <x:f>'站点明细'!$E656</x:f>
        <x:v>739</x:v>
      </x:c>
      <x:c r="H445" s="10" t="n">
        <x:f>'站点明细'!$D656</x:f>
        <x:v>390</x:v>
      </x:c>
      <x:c r="I445" s="10" t="n">
        <x:f>'站点明细'!$E888</x:f>
        <x:v>2</x:v>
      </x:c>
      <x:c r="J445" s="10" t="n">
        <x:f>'站点明细'!$D888</x:f>
        <x:v>1</x:v>
      </x:c>
      <x:c r="K445" s="10" t="n">
        <x:f>'站点明细'!$E1120</x:f>
        <x:v>125</x:v>
      </x:c>
      <x:c r="L445" s="10" t="n">
        <x:f>'站点明细'!$D1120</x:f>
        <x:v>61</x:v>
      </x:c>
      <x:c r="M445" s="10" t="n">
        <x:f>'站点明细'!$E1352</x:f>
        <x:v>55</x:v>
      </x:c>
      <x:c r="N445" s="10" t="n">
        <x:f>'站点明细'!$D1352</x:f>
        <x:v>49</x:v>
      </x:c>
      <x:c r="O445" s="10" t="n">
        <x:f>'站点明细'!$E1584</x:f>
        <x:v>31</x:v>
      </x:c>
      <x:c r="P445" s="10" t="n">
        <x:f>'站点明细'!$D1584</x:f>
        <x:v>29</x:v>
      </x:c>
      <x:c r="Q445" s="11" t="n">
        <x:f>'站点明细'!$F192</x:f>
        <x:v>22340.15</x:v>
      </x:c>
      <x:c r="R445" s="11" t="n">
        <x:f>'站点明细'!$F424</x:f>
        <x:v>10896.32</x:v>
      </x:c>
      <x:c r="S445" s="11" t="n">
        <x:f>'站点明细'!$F656</x:f>
        <x:v>6230.17</x:v>
      </x:c>
      <x:c r="T445" s="11" t="n">
        <x:f>'站点明细'!$F888</x:f>
        <x:v>22.86</x:v>
      </x:c>
      <x:c r="U445" s="11" t="n">
        <x:f>'站点明细'!$F1120</x:f>
        <x:v>882.53</x:v>
      </x:c>
      <x:c r="V445" s="11" t="n">
        <x:f>'站点明细'!$F1352</x:f>
        <x:v>2385.59</x:v>
      </x:c>
      <x:c r="W445" s="11" t="n">
        <x:f>'站点明细'!$F1584</x:f>
        <x:v>1598.99</x:v>
      </x:c>
    </x:row>
    <x:row r="446">
      <x:c r="A446" t="str">
        <x:f>TEXT($B446,"mm-dd")</x:f>
        <x:v>07-11</x:v>
      </x:c>
      <x:c r="B446" s="9" t="n">
        <x:f>'站点明细'!$C193</x:f>
        <x:v>46214</x:v>
      </x:c>
      <x:c r="C446" s="10" t="n">
        <x:f>'站点明细'!$E193</x:f>
        <x:v>3186</x:v>
      </x:c>
      <x:c r="D446" s="10" t="n">
        <x:f>'站点明细'!$D193</x:f>
        <x:v>1626</x:v>
      </x:c>
      <x:c r="E446" s="10" t="n">
        <x:f>'站点明细'!$E425</x:f>
        <x:v>1106</x:v>
      </x:c>
      <x:c r="F446" s="10" t="n">
        <x:f>'站点明细'!$D425</x:f>
        <x:v>672</x:v>
      </x:c>
      <x:c r="G446" s="10" t="n">
        <x:f>'站点明细'!$E657</x:f>
        <x:v>812</x:v>
      </x:c>
      <x:c r="H446" s="10" t="n">
        <x:f>'站点明细'!$D657</x:f>
        <x:v>395</x:v>
      </x:c>
      <x:c r="I446" s="10" t="n">
        <x:f>'站点明细'!$E889</x:f>
        <x:v>4</x:v>
      </x:c>
      <x:c r="J446" s="10" t="n">
        <x:f>'站点明细'!$D889</x:f>
        <x:v>2</x:v>
      </x:c>
      <x:c r="K446" s="10" t="n">
        <x:f>'站点明细'!$E1121</x:f>
        <x:v>140</x:v>
      </x:c>
      <x:c r="L446" s="10" t="n">
        <x:f>'站点明细'!$D1121</x:f>
        <x:v>67</x:v>
      </x:c>
      <x:c r="M446" s="10" t="n">
        <x:f>'站点明细'!$E1353</x:f>
        <x:v>39</x:v>
      </x:c>
      <x:c r="N446" s="10" t="n">
        <x:f>'站点明细'!$D1353</x:f>
        <x:v>33</x:v>
      </x:c>
      <x:c r="O446" s="10" t="n">
        <x:f>'站点明细'!$E1585</x:f>
        <x:v>5</x:v>
      </x:c>
      <x:c r="P446" s="10" t="n">
        <x:f>'站点明细'!$D1585</x:f>
        <x:v>4</x:v>
      </x:c>
      <x:c r="Q446" s="11" t="n">
        <x:f>'站点明细'!$F193</x:f>
        <x:v>21313.36</x:v>
      </x:c>
      <x:c r="R446" s="11" t="n">
        <x:f>'站点明细'!$F425</x:f>
        <x:v>11850.81</x:v>
      </x:c>
      <x:c r="S446" s="11" t="n">
        <x:f>'站点明细'!$F657</x:f>
        <x:v>6680.88</x:v>
      </x:c>
      <x:c r="T446" s="11" t="n">
        <x:f>'站点明细'!$F889</x:f>
        <x:v>45.73</x:v>
      </x:c>
      <x:c r="U446" s="11" t="n">
        <x:f>'站点明细'!$F1121</x:f>
        <x:v>1027.59</x:v>
      </x:c>
      <x:c r="V446" s="11" t="n">
        <x:f>'站点明细'!$F1353</x:f>
        <x:v>1671.24</x:v>
      </x:c>
      <x:c r="W446" s="11" t="n">
        <x:f>'站点明细'!$F1585</x:f>
        <x:v>366.08</x:v>
      </x:c>
    </x:row>
    <x:row r="447">
      <x:c r="A447" t="str">
        <x:f>TEXT($B447,"mm-dd")</x:f>
        <x:v>07-12</x:v>
      </x:c>
      <x:c r="B447" s="9" t="n">
        <x:f>'站点明细'!$C194</x:f>
        <x:v>46215</x:v>
      </x:c>
      <x:c r="C447" s="10" t="n">
        <x:f>'站点明细'!$E194</x:f>
        <x:v>2807</x:v>
      </x:c>
      <x:c r="D447" s="10" t="n">
        <x:f>'站点明细'!$D194</x:f>
        <x:v>1435</x:v>
      </x:c>
      <x:c r="E447" s="10" t="n">
        <x:f>'站点明细'!$E426</x:f>
        <x:v>1165</x:v>
      </x:c>
      <x:c r="F447" s="10" t="n">
        <x:f>'站点明细'!$D426</x:f>
        <x:v>632</x:v>
      </x:c>
      <x:c r="G447" s="10" t="n">
        <x:f>'站点明细'!$E658</x:f>
        <x:v>603</x:v>
      </x:c>
      <x:c r="H447" s="10" t="n">
        <x:f>'站点明细'!$D658</x:f>
        <x:v>337</x:v>
      </x:c>
      <x:c r="I447" s="10" t="n">
        <x:f>'站点明细'!$E890</x:f>
        <x:v>6</x:v>
      </x:c>
      <x:c r="J447" s="10" t="n">
        <x:f>'站点明细'!$D890</x:f>
        <x:v>4</x:v>
      </x:c>
      <x:c r="K447" s="10" t="n">
        <x:f>'站点明细'!$E1122</x:f>
        <x:v>146</x:v>
      </x:c>
      <x:c r="L447" s="10" t="n">
        <x:f>'站点明细'!$D1122</x:f>
        <x:v>75</x:v>
      </x:c>
      <x:c r="M447" s="10" t="n">
        <x:f>'站点明细'!$E1354</x:f>
        <x:v>32</x:v>
      </x:c>
      <x:c r="N447" s="10" t="n">
        <x:f>'站点明细'!$D1354</x:f>
        <x:v>28</x:v>
      </x:c>
      <x:c r="O447" s="10" t="n">
        <x:f>'站点明细'!$E1586</x:f>
        <x:v>0</x:v>
      </x:c>
      <x:c r="P447" s="10" t="n">
        <x:f>'站点明细'!$D1586</x:f>
        <x:v>0</x:v>
      </x:c>
      <x:c r="Q447" s="11" t="n">
        <x:f>'站点明细'!$F194</x:f>
        <x:v>18575.94</x:v>
      </x:c>
      <x:c r="R447" s="11" t="n">
        <x:f>'站点明细'!$F426</x:f>
        <x:v>10783.32</x:v>
      </x:c>
      <x:c r="S447" s="11" t="n">
        <x:f>'站点明细'!$F658</x:f>
        <x:v>5284.99</x:v>
      </x:c>
      <x:c r="T447" s="11" t="n">
        <x:f>'站点明细'!$F890</x:f>
        <x:v>95.81</x:v>
      </x:c>
      <x:c r="U447" s="11" t="n">
        <x:f>'站点明细'!$F1122</x:f>
        <x:v>1001.17</x:v>
      </x:c>
      <x:c r="V447" s="11" t="n">
        <x:f>'站点明细'!$F1354</x:f>
        <x:v>1410.1</x:v>
      </x:c>
      <x:c r="W447" s="11" t="n">
        <x:f>'站点明细'!$F1586</x:f>
        <x:v>0</x:v>
      </x:c>
    </x:row>
    <x:row r="448">
      <x:c r="A448" t="str">
        <x:f>TEXT($B448,"mm-dd")</x:f>
        <x:v>07-13</x:v>
      </x:c>
      <x:c r="B448" s="9" t="n">
        <x:f>'站点明细'!$C195</x:f>
        <x:v>46216</x:v>
      </x:c>
      <x:c r="C448" s="10" t="n">
        <x:f>'站点明细'!$E195</x:f>
        <x:v>3029</x:v>
      </x:c>
      <x:c r="D448" s="10" t="n">
        <x:f>'站点明细'!$D195</x:f>
        <x:v>1556</x:v>
      </x:c>
      <x:c r="E448" s="10" t="n">
        <x:f>'站点明细'!$E427</x:f>
        <x:v>1386</x:v>
      </x:c>
      <x:c r="F448" s="10" t="n">
        <x:f>'站点明细'!$D427</x:f>
        <x:v>732</x:v>
      </x:c>
      <x:c r="G448" s="10" t="n">
        <x:f>'站点明细'!$E659</x:f>
        <x:v>678</x:v>
      </x:c>
      <x:c r="H448" s="10" t="n">
        <x:f>'站点明细'!$D659</x:f>
        <x:v>361</x:v>
      </x:c>
      <x:c r="I448" s="10" t="n">
        <x:f>'站点明细'!$E891</x:f>
        <x:v>1</x:v>
      </x:c>
      <x:c r="J448" s="10" t="n">
        <x:f>'站点明细'!$D891</x:f>
        <x:v>1</x:v>
      </x:c>
      <x:c r="K448" s="10" t="n">
        <x:f>'站点明细'!$E1123</x:f>
        <x:v>127</x:v>
      </x:c>
      <x:c r="L448" s="10" t="n">
        <x:f>'站点明细'!$D1123</x:f>
        <x:v>62</x:v>
      </x:c>
      <x:c r="M448" s="10" t="n">
        <x:f>'站点明细'!$E1355</x:f>
        <x:v>33</x:v>
      </x:c>
      <x:c r="N448" s="10" t="n">
        <x:f>'站点明细'!$D1355</x:f>
        <x:v>28</x:v>
      </x:c>
      <x:c r="O448" s="10" t="n">
        <x:f>'站点明细'!$E1587</x:f>
        <x:v>14</x:v>
      </x:c>
      <x:c r="P448" s="10" t="n">
        <x:f>'站点明细'!$D1587</x:f>
        <x:v>14</x:v>
      </x:c>
      <x:c r="Q448" s="11" t="n">
        <x:f>'站点明细'!$F195</x:f>
        <x:v>20049.36</x:v>
      </x:c>
      <x:c r="R448" s="11" t="n">
        <x:f>'站点明细'!$F427</x:f>
        <x:v>12797.04</x:v>
      </x:c>
      <x:c r="S448" s="11" t="n">
        <x:f>'站点明细'!$F659</x:f>
        <x:v>6000.3</x:v>
      </x:c>
      <x:c r="T448" s="11" t="n">
        <x:f>'站点明细'!$F891</x:f>
        <x:v>14.74</x:v>
      </x:c>
      <x:c r="U448" s="11" t="n">
        <x:f>'站点明细'!$F1123</x:f>
        <x:v>887.1</x:v>
      </x:c>
      <x:c r="V448" s="11" t="n">
        <x:f>'站点明细'!$F1355</x:f>
        <x:v>1459.04</x:v>
      </x:c>
      <x:c r="W448" s="11" t="n">
        <x:f>'站点明细'!$F1587</x:f>
        <x:v>526.44</x:v>
      </x:c>
    </x:row>
    <x:row r="449">
      <x:c r="A449" t="str">
        <x:f>TEXT($B449,"mm-dd")</x:f>
        <x:v>07-14</x:v>
      </x:c>
      <x:c r="B449" s="9" t="n">
        <x:f>'站点明细'!$C196</x:f>
        <x:v>46217</x:v>
      </x:c>
      <x:c r="C449" s="10" t="n">
        <x:f>'站点明细'!$E196</x:f>
        <x:v>2547</x:v>
      </x:c>
      <x:c r="D449" s="10" t="n">
        <x:f>'站点明细'!$D196</x:f>
        <x:v>1351</x:v>
      </x:c>
      <x:c r="E449" s="10" t="n">
        <x:f>'站点明细'!$E428</x:f>
        <x:v>1374</x:v>
      </x:c>
      <x:c r="F449" s="10" t="n">
        <x:f>'站点明细'!$D428</x:f>
        <x:v>697</x:v>
      </x:c>
      <x:c r="G449" s="10" t="n">
        <x:f>'站点明细'!$E660</x:f>
        <x:v>705</x:v>
      </x:c>
      <x:c r="H449" s="10" t="n">
        <x:f>'站点明细'!$D660</x:f>
        <x:v>370</x:v>
      </x:c>
      <x:c r="I449" s="10" t="n">
        <x:f>'站点明细'!$E892</x:f>
        <x:v>0</x:v>
      </x:c>
      <x:c r="J449" s="10" t="n">
        <x:f>'站点明细'!$D892</x:f>
        <x:v>0</x:v>
      </x:c>
      <x:c r="K449" s="10" t="n">
        <x:f>'站点明细'!$E1124</x:f>
        <x:v>131</x:v>
      </x:c>
      <x:c r="L449" s="10" t="n">
        <x:f>'站点明细'!$D1124</x:f>
        <x:v>62</x:v>
      </x:c>
      <x:c r="M449" s="10" t="n">
        <x:f>'站点明细'!$E1356</x:f>
        <x:v>65</x:v>
      </x:c>
      <x:c r="N449" s="10" t="n">
        <x:f>'站点明细'!$D1356</x:f>
        <x:v>56</x:v>
      </x:c>
      <x:c r="O449" s="10" t="n">
        <x:f>'站点明细'!$E1588</x:f>
        <x:v>4</x:v>
      </x:c>
      <x:c r="P449" s="10" t="n">
        <x:f>'站点明细'!$D1588</x:f>
        <x:v>3</x:v>
      </x:c>
      <x:c r="Q449" s="11" t="n">
        <x:f>'站点明细'!$F196</x:f>
        <x:v>17274.44</x:v>
      </x:c>
      <x:c r="R449" s="11" t="n">
        <x:f>'站点明细'!$F428</x:f>
        <x:v>12990.24</x:v>
      </x:c>
      <x:c r="S449" s="11" t="n">
        <x:f>'站点明细'!$F660</x:f>
        <x:v>5404.15</x:v>
      </x:c>
      <x:c r="T449" s="11" t="n">
        <x:f>'站点明细'!$F892</x:f>
        <x:v>0</x:v>
      </x:c>
      <x:c r="U449" s="11" t="n">
        <x:f>'站点明细'!$F1124</x:f>
        <x:v>926.22</x:v>
      </x:c>
      <x:c r="V449" s="11" t="n">
        <x:f>'站点明细'!$F1356</x:f>
        <x:v>2708.66</x:v>
      </x:c>
      <x:c r="W449" s="11" t="n">
        <x:f>'站点明细'!$F1588</x:f>
        <x:v>217.02</x:v>
      </x:c>
    </x:row>
    <x:row r="450">
      <x:c r="A450" t="str">
        <x:f>TEXT($B450,"mm-dd")</x:f>
        <x:v>07-15</x:v>
      </x:c>
      <x:c r="B450" s="9" t="n">
        <x:f>'站点明细'!$C197</x:f>
        <x:v>46218</x:v>
      </x:c>
      <x:c r="C450" s="10" t="n">
        <x:f>'站点明细'!$E197</x:f>
        <x:v>2685</x:v>
      </x:c>
      <x:c r="D450" s="10" t="n">
        <x:f>'站点明细'!$D197</x:f>
        <x:v>1421</x:v>
      </x:c>
      <x:c r="E450" s="10" t="n">
        <x:f>'站点明细'!$E429</x:f>
        <x:v>1633</x:v>
      </x:c>
      <x:c r="F450" s="10" t="n">
        <x:f>'站点明细'!$D429</x:f>
        <x:v>819</x:v>
      </x:c>
      <x:c r="G450" s="10" t="n">
        <x:f>'站点明细'!$E661</x:f>
        <x:v>657</x:v>
      </x:c>
      <x:c r="H450" s="10" t="n">
        <x:f>'站点明细'!$D661</x:f>
        <x:v>360</x:v>
      </x:c>
      <x:c r="I450" s="10" t="n">
        <x:f>'站点明细'!$E893</x:f>
        <x:v>1</x:v>
      </x:c>
      <x:c r="J450" s="10" t="n">
        <x:f>'站点明细'!$D893</x:f>
        <x:v>1</x:v>
      </x:c>
      <x:c r="K450" s="10" t="n">
        <x:f>'站点明细'!$E1125</x:f>
        <x:v>129</x:v>
      </x:c>
      <x:c r="L450" s="10" t="n">
        <x:f>'站点明细'!$D1125</x:f>
        <x:v>60</x:v>
      </x:c>
      <x:c r="M450" s="10" t="n">
        <x:f>'站点明细'!$E1357</x:f>
        <x:v>60</x:v>
      </x:c>
      <x:c r="N450" s="10" t="n">
        <x:f>'站点明细'!$D1357</x:f>
        <x:v>48</x:v>
      </x:c>
      <x:c r="O450" s="10" t="n">
        <x:f>'站点明细'!$E1589</x:f>
        <x:v>4</x:v>
      </x:c>
      <x:c r="P450" s="10" t="n">
        <x:f>'站点明细'!$D1589</x:f>
        <x:v>4</x:v>
      </x:c>
      <x:c r="Q450" s="11" t="n">
        <x:f>'站点明细'!$F197</x:f>
        <x:v>18283.43</x:v>
      </x:c>
      <x:c r="R450" s="11" t="n">
        <x:f>'站点明细'!$F429</x:f>
        <x:v>14705.42</x:v>
      </x:c>
      <x:c r="S450" s="11" t="n">
        <x:f>'站点明细'!$F661</x:f>
        <x:v>5349.4</x:v>
      </x:c>
      <x:c r="T450" s="11" t="n">
        <x:f>'站点明细'!$F893</x:f>
        <x:v>14.74</x:v>
      </x:c>
      <x:c r="U450" s="11" t="n">
        <x:f>'站点明细'!$F1125</x:f>
        <x:v>929.41</x:v>
      </x:c>
      <x:c r="V450" s="11" t="n">
        <x:f>'站点明细'!$F1357</x:f>
        <x:v>2557.33</x:v>
      </x:c>
      <x:c r="W450" s="11" t="n">
        <x:f>'站点明细'!$F1589</x:f>
        <x:v>126.23</x:v>
      </x:c>
    </x:row>
    <x:row r="451">
      <x:c r="A451" t="str">
        <x:f>TEXT($B451,"mm-dd")</x:f>
        <x:v>07-16</x:v>
      </x:c>
      <x:c r="B451" s="9" t="n">
        <x:f>'站点明细'!$C198</x:f>
        <x:v>46219</x:v>
      </x:c>
      <x:c r="C451" s="10" t="n">
        <x:f>'站点明细'!$E198</x:f>
        <x:v>2666</x:v>
      </x:c>
      <x:c r="D451" s="10" t="n">
        <x:f>'站点明细'!$D198</x:f>
        <x:v>1366</x:v>
      </x:c>
      <x:c r="E451" s="10" t="n">
        <x:f>'站点明细'!$E430</x:f>
        <x:v>1495</x:v>
      </x:c>
      <x:c r="F451" s="10" t="n">
        <x:f>'站点明细'!$D430</x:f>
        <x:v>818</x:v>
      </x:c>
      <x:c r="G451" s="10" t="n">
        <x:f>'站点明细'!$E662</x:f>
        <x:v>774</x:v>
      </x:c>
      <x:c r="H451" s="10" t="n">
        <x:f>'站点明细'!$D662</x:f>
        <x:v>402</x:v>
      </x:c>
      <x:c r="I451" s="10" t="n">
        <x:f>'站点明细'!$E894</x:f>
        <x:v>2</x:v>
      </x:c>
      <x:c r="J451" s="10" t="n">
        <x:f>'站点明细'!$D894</x:f>
        <x:v>2</x:v>
      </x:c>
      <x:c r="K451" s="10" t="n">
        <x:f>'站点明细'!$E1126</x:f>
        <x:v>111</x:v>
      </x:c>
      <x:c r="L451" s="10" t="n">
        <x:f>'站点明细'!$D1126</x:f>
        <x:v>53</x:v>
      </x:c>
      <x:c r="M451" s="10" t="n">
        <x:f>'站点明细'!$E1358</x:f>
        <x:v>45</x:v>
      </x:c>
      <x:c r="N451" s="10" t="n">
        <x:f>'站点明细'!$D1358</x:f>
        <x:v>40</x:v>
      </x:c>
      <x:c r="O451" s="10" t="n">
        <x:f>'站点明细'!$E1590</x:f>
        <x:v>9</x:v>
      </x:c>
      <x:c r="P451" s="10" t="n">
        <x:f>'站点明细'!$D1590</x:f>
        <x:v>8</x:v>
      </x:c>
      <x:c r="Q451" s="11" t="n">
        <x:f>'站点明细'!$F198</x:f>
        <x:v>16375.43</x:v>
      </x:c>
      <x:c r="R451" s="11" t="n">
        <x:f>'站点明细'!$F430</x:f>
        <x:v>13531.37</x:v>
      </x:c>
      <x:c r="S451" s="11" t="n">
        <x:f>'站点明细'!$F662</x:f>
        <x:v>6234.29</x:v>
      </x:c>
      <x:c r="T451" s="11" t="n">
        <x:f>'站点明细'!$F894</x:f>
        <x:v>39.9</x:v>
      </x:c>
      <x:c r="U451" s="11" t="n">
        <x:f>'站点明细'!$F1126</x:f>
        <x:v>847.59</x:v>
      </x:c>
      <x:c r="V451" s="11" t="n">
        <x:f>'站点明细'!$F1358</x:f>
        <x:v>1990.23</x:v>
      </x:c>
      <x:c r="W451" s="11" t="n">
        <x:f>'站点明细'!$F1590</x:f>
        <x:v>665.83</x:v>
      </x:c>
    </x:row>
    <x:row r="452">
      <x:c r="A452" t="str">
        <x:f>TEXT($B452,"mm-dd")</x:f>
        <x:v>07-17</x:v>
      </x:c>
      <x:c r="B452" s="9" t="n">
        <x:f>'站点明细'!$C199</x:f>
        <x:v>46220</x:v>
      </x:c>
      <x:c r="C452" s="10" t="n">
        <x:f>'站点明细'!$E199</x:f>
        <x:v>2883</x:v>
      </x:c>
      <x:c r="D452" s="10" t="n">
        <x:f>'站点明细'!$D199</x:f>
        <x:v>1454</x:v>
      </x:c>
      <x:c r="E452" s="10" t="n">
        <x:f>'站点明细'!$E431</x:f>
        <x:v>1699</x:v>
      </x:c>
      <x:c r="F452" s="10" t="n">
        <x:f>'站点明细'!$D431</x:f>
        <x:v>886</x:v>
      </x:c>
      <x:c r="G452" s="10" t="n">
        <x:f>'站点明细'!$E663</x:f>
        <x:v>726</x:v>
      </x:c>
      <x:c r="H452" s="10" t="n">
        <x:f>'站点明细'!$D663</x:f>
        <x:v>389</x:v>
      </x:c>
      <x:c r="I452" s="10" t="n">
        <x:f>'站点明细'!$E895</x:f>
        <x:v>1</x:v>
      </x:c>
      <x:c r="J452" s="10" t="n">
        <x:f>'站点明细'!$D895</x:f>
        <x:v>1</x:v>
      </x:c>
      <x:c r="K452" s="10" t="n">
        <x:f>'站点明细'!$E1127</x:f>
        <x:v>149</x:v>
      </x:c>
      <x:c r="L452" s="10" t="n">
        <x:f>'站点明细'!$D1127</x:f>
        <x:v>73</x:v>
      </x:c>
      <x:c r="M452" s="10" t="n">
        <x:f>'站点明细'!$E1359</x:f>
        <x:v>52</x:v>
      </x:c>
      <x:c r="N452" s="10" t="n">
        <x:f>'站点明细'!$D1359</x:f>
        <x:v>42</x:v>
      </x:c>
      <x:c r="O452" s="10" t="n">
        <x:f>'站点明细'!$E1591</x:f>
        <x:v>3</x:v>
      </x:c>
      <x:c r="P452" s="10" t="n">
        <x:f>'站点明细'!$D1591</x:f>
        <x:v>3</x:v>
      </x:c>
      <x:c r="Q452" s="11" t="n">
        <x:f>'站点明细'!$F199</x:f>
        <x:v>18171.7</x:v>
      </x:c>
      <x:c r="R452" s="11" t="n">
        <x:f>'站点明细'!$F431</x:f>
        <x:v>14468.57</x:v>
      </x:c>
      <x:c r="S452" s="11" t="n">
        <x:f>'站点明细'!$F663</x:f>
        <x:v>5846.39</x:v>
      </x:c>
      <x:c r="T452" s="11" t="n">
        <x:f>'站点明细'!$F895</x:f>
        <x:v>14.74</x:v>
      </x:c>
      <x:c r="U452" s="11" t="n">
        <x:f>'站点明细'!$F1127</x:f>
        <x:v>1170.02</x:v>
      </x:c>
      <x:c r="V452" s="11" t="n">
        <x:f>'站点明细'!$F1359</x:f>
        <x:v>2212.12</x:v>
      </x:c>
      <x:c r="W452" s="11" t="n">
        <x:f>'站点明细'!$F1591</x:f>
        <x:v>301.52</x:v>
      </x:c>
    </x:row>
    <x:row r="453">
      <x:c r="A453" t="str">
        <x:f>TEXT($B453,"mm-dd")</x:f>
        <x:v>07-18</x:v>
      </x:c>
      <x:c r="B453" s="9" t="n">
        <x:f>'站点明细'!$C200</x:f>
        <x:v>46221</x:v>
      </x:c>
      <x:c r="C453" s="10" t="n">
        <x:f>'站点明细'!$E200</x:f>
        <x:v>2496</x:v>
      </x:c>
      <x:c r="D453" s="10" t="n">
        <x:f>'站点明细'!$D200</x:f>
        <x:v>1303</x:v>
      </x:c>
      <x:c r="E453" s="10" t="n">
        <x:f>'站点明细'!$E432</x:f>
        <x:v>1354</x:v>
      </x:c>
      <x:c r="F453" s="10" t="n">
        <x:f>'站点明细'!$D432</x:f>
        <x:v>695</x:v>
      </x:c>
      <x:c r="G453" s="10" t="n">
        <x:f>'站点明细'!$E664</x:f>
        <x:v>476</x:v>
      </x:c>
      <x:c r="H453" s="10" t="n">
        <x:f>'站点明细'!$D664</x:f>
        <x:v>256</x:v>
      </x:c>
      <x:c r="I453" s="10" t="n">
        <x:f>'站点明细'!$E896</x:f>
        <x:v>0</x:v>
      </x:c>
      <x:c r="J453" s="10" t="n">
        <x:f>'站点明细'!$D896</x:f>
        <x:v>0</x:v>
      </x:c>
      <x:c r="K453" s="10" t="n">
        <x:f>'站点明细'!$E1128</x:f>
        <x:v>127</x:v>
      </x:c>
      <x:c r="L453" s="10" t="n">
        <x:f>'站点明细'!$D1128</x:f>
        <x:v>63</x:v>
      </x:c>
      <x:c r="M453" s="10" t="n">
        <x:f>'站点明细'!$E1360</x:f>
        <x:v>36</x:v>
      </x:c>
      <x:c r="N453" s="10" t="n">
        <x:f>'站点明细'!$D1360</x:f>
        <x:v>32</x:v>
      </x:c>
      <x:c r="O453" s="10" t="n">
        <x:f>'站点明细'!$E1592</x:f>
        <x:v>1</x:v>
      </x:c>
      <x:c r="P453" s="10" t="n">
        <x:f>'站点明细'!$D1592</x:f>
        <x:v>1</x:v>
      </x:c>
      <x:c r="Q453" s="11" t="n">
        <x:f>'站点明细'!$F200</x:f>
        <x:v>15706.6</x:v>
      </x:c>
      <x:c r="R453" s="11" t="n">
        <x:f>'站点明细'!$F432</x:f>
        <x:v>12004.84</x:v>
      </x:c>
      <x:c r="S453" s="11" t="n">
        <x:f>'站点明细'!$F664</x:f>
        <x:v>3865.56</x:v>
      </x:c>
      <x:c r="T453" s="11" t="n">
        <x:f>'站点明细'!$F896</x:f>
        <x:v>0</x:v>
      </x:c>
      <x:c r="U453" s="11" t="n">
        <x:f>'站点明细'!$F1128</x:f>
        <x:v>909.86</x:v>
      </x:c>
      <x:c r="V453" s="11" t="n">
        <x:f>'站点明细'!$F1360</x:f>
        <x:v>1625.98</x:v>
      </x:c>
      <x:c r="W453" s="11" t="n">
        <x:f>'站点明细'!$F1592</x:f>
        <x:v>72.35</x:v>
      </x:c>
    </x:row>
    <x:row r="454">
      <x:c r="A454" t="str">
        <x:f>TEXT($B454,"mm-dd")</x:f>
        <x:v>07-19</x:v>
      </x:c>
      <x:c r="B454" s="9" t="n">
        <x:f>'站点明细'!$C201</x:f>
        <x:v>46222</x:v>
      </x:c>
      <x:c r="C454" s="10" t="n">
        <x:f>'站点明细'!$E201</x:f>
        <x:v>2625</x:v>
      </x:c>
      <x:c r="D454" s="10" t="n">
        <x:f>'站点明细'!$D201</x:f>
        <x:v>1390</x:v>
      </x:c>
      <x:c r="E454" s="10" t="n">
        <x:f>'站点明细'!$E433</x:f>
        <x:v>1549</x:v>
      </x:c>
      <x:c r="F454" s="10" t="n">
        <x:f>'站点明细'!$D433</x:f>
        <x:v>859</x:v>
      </x:c>
      <x:c r="G454" s="10" t="n">
        <x:f>'站点明细'!$E665</x:f>
        <x:v>681</x:v>
      </x:c>
      <x:c r="H454" s="10" t="n">
        <x:f>'站点明细'!$D665</x:f>
        <x:v>366</x:v>
      </x:c>
      <x:c r="I454" s="10" t="n">
        <x:f>'站点明细'!$E897</x:f>
        <x:v>2</x:v>
      </x:c>
      <x:c r="J454" s="10" t="n">
        <x:f>'站点明细'!$D897</x:f>
        <x:v>2</x:v>
      </x:c>
      <x:c r="K454" s="10" t="n">
        <x:f>'站点明细'!$E1129</x:f>
        <x:v>144</x:v>
      </x:c>
      <x:c r="L454" s="10" t="n">
        <x:f>'站点明细'!$D1129</x:f>
        <x:v>72</x:v>
      </x:c>
      <x:c r="M454" s="10" t="n">
        <x:f>'站点明细'!$E1361</x:f>
        <x:v>44</x:v>
      </x:c>
      <x:c r="N454" s="10" t="n">
        <x:f>'站点明细'!$D1361</x:f>
        <x:v>40</x:v>
      </x:c>
      <x:c r="O454" s="10" t="n">
        <x:f>'站点明细'!$E1593</x:f>
        <x:v>0</x:v>
      </x:c>
      <x:c r="P454" s="10" t="n">
        <x:f>'站点明细'!$D1593</x:f>
        <x:v>0</x:v>
      </x:c>
      <x:c r="Q454" s="11" t="n">
        <x:f>'站点明细'!$F201</x:f>
        <x:v>16798.03</x:v>
      </x:c>
      <x:c r="R454" s="11" t="n">
        <x:f>'站点明细'!$F433</x:f>
        <x:v>14338</x:v>
      </x:c>
      <x:c r="S454" s="11" t="n">
        <x:f>'站点明细'!$F665</x:f>
        <x:v>5840.22</x:v>
      </x:c>
      <x:c r="T454" s="11" t="n">
        <x:f>'站点明细'!$F897</x:f>
        <x:v>29.47</x:v>
      </x:c>
      <x:c r="U454" s="11" t="n">
        <x:f>'站点明细'!$F1129</x:f>
        <x:v>1077.28</x:v>
      </x:c>
      <x:c r="V454" s="11" t="n">
        <x:f>'站点明细'!$F1361</x:f>
        <x:v>1965.68</x:v>
      </x:c>
      <x:c r="W454" s="11" t="n">
        <x:f>'站点明细'!$F1593</x:f>
        <x:v>0</x:v>
      </x:c>
    </x:row>
    <x:row r="455">
      <x:c r="A455" t="str">
        <x:f>TEXT($B455,"mm-dd")</x:f>
        <x:v>07-20</x:v>
      </x:c>
      <x:c r="B455" s="9" t="n">
        <x:f>'站点明细'!$C202</x:f>
        <x:v>46223</x:v>
      </x:c>
      <x:c r="C455" s="10" t="n">
        <x:f>'站点明细'!$E202</x:f>
        <x:v>2679</x:v>
      </x:c>
      <x:c r="D455" s="10" t="n">
        <x:f>'站点明细'!$D202</x:f>
        <x:v>1410</x:v>
      </x:c>
      <x:c r="E455" s="10" t="n">
        <x:f>'站点明细'!$E434</x:f>
        <x:v>1508</x:v>
      </x:c>
      <x:c r="F455" s="10" t="n">
        <x:f>'站点明细'!$D434</x:f>
        <x:v>857</x:v>
      </x:c>
      <x:c r="G455" s="10" t="n">
        <x:f>'站点明细'!$E666</x:f>
        <x:v>637</x:v>
      </x:c>
      <x:c r="H455" s="10" t="n">
        <x:f>'站点明细'!$D666</x:f>
        <x:v>338</x:v>
      </x:c>
      <x:c r="I455" s="10" t="n">
        <x:f>'站点明细'!$E898</x:f>
        <x:v>4</x:v>
      </x:c>
      <x:c r="J455" s="10" t="n">
        <x:f>'站点明细'!$D898</x:f>
        <x:v>1</x:v>
      </x:c>
      <x:c r="K455" s="10" t="n">
        <x:f>'站点明细'!$E1130</x:f>
        <x:v>155</x:v>
      </x:c>
      <x:c r="L455" s="10" t="n">
        <x:f>'站点明细'!$D1130</x:f>
        <x:v>75</x:v>
      </x:c>
      <x:c r="M455" s="10" t="n">
        <x:f>'站点明细'!$E1362</x:f>
        <x:v>23</x:v>
      </x:c>
      <x:c r="N455" s="10" t="n">
        <x:f>'站点明细'!$D1362</x:f>
        <x:v>18</x:v>
      </x:c>
      <x:c r="O455" s="10" t="n">
        <x:f>'站点明细'!$E1594</x:f>
        <x:v>16</x:v>
      </x:c>
      <x:c r="P455" s="10" t="n">
        <x:f>'站点明细'!$D1594</x:f>
        <x:v>13</x:v>
      </x:c>
      <x:c r="Q455" s="11" t="n">
        <x:f>'站点明细'!$F202</x:f>
        <x:v>16972.03</x:v>
      </x:c>
      <x:c r="R455" s="11" t="n">
        <x:f>'站点明细'!$F434</x:f>
        <x:v>13856.36</x:v>
      </x:c>
      <x:c r="S455" s="11" t="n">
        <x:f>'站点明细'!$F666</x:f>
        <x:v>5065.9</x:v>
      </x:c>
      <x:c r="T455" s="11" t="n">
        <x:f>'站点明细'!$F898</x:f>
        <x:v>39.14</x:v>
      </x:c>
      <x:c r="U455" s="11" t="n">
        <x:f>'站点明细'!$F1130</x:f>
        <x:v>1029.51</x:v>
      </x:c>
      <x:c r="V455" s="11" t="n">
        <x:f>'站点明细'!$F1362</x:f>
        <x:v>906.89</x:v>
      </x:c>
      <x:c r="W455" s="11" t="n">
        <x:f>'站点明细'!$F1594</x:f>
        <x:v>1173.49</x:v>
      </x:c>
    </x:row>
    <x:row r="456">
      <x:c r="A456" t="str">
        <x:f>TEXT($B456,"mm-dd")</x:f>
        <x:v>07-21</x:v>
      </x:c>
      <x:c r="B456" s="9" t="n">
        <x:f>'站点明细'!$C203</x:f>
        <x:v>46224</x:v>
      </x:c>
      <x:c r="C456" s="10" t="n">
        <x:f>'站点明细'!$E203</x:f>
        <x:v>2399</x:v>
      </x:c>
      <x:c r="D456" s="10" t="n">
        <x:f>'站点明细'!$D203</x:f>
        <x:v>1234</x:v>
      </x:c>
      <x:c r="E456" s="10" t="n">
        <x:f>'站点明细'!$E435</x:f>
        <x:v>1535</x:v>
      </x:c>
      <x:c r="F456" s="10" t="n">
        <x:f>'站点明细'!$D435</x:f>
        <x:v>849</x:v>
      </x:c>
      <x:c r="G456" s="10" t="n">
        <x:f>'站点明细'!$E667</x:f>
        <x:v>1094</x:v>
      </x:c>
      <x:c r="H456" s="10" t="n">
        <x:f>'站点明细'!$D667</x:f>
        <x:v>583</x:v>
      </x:c>
      <x:c r="I456" s="10" t="n">
        <x:f>'站点明细'!$E899</x:f>
        <x:v>2</x:v>
      </x:c>
      <x:c r="J456" s="10" t="n">
        <x:f>'站点明细'!$D899</x:f>
        <x:v>2</x:v>
      </x:c>
      <x:c r="K456" s="10" t="n">
        <x:f>'站点明细'!$E1131</x:f>
        <x:v>178</x:v>
      </x:c>
      <x:c r="L456" s="10" t="n">
        <x:f>'站点明细'!$D1131</x:f>
        <x:v>87</x:v>
      </x:c>
      <x:c r="M456" s="10" t="n">
        <x:f>'站点明细'!$E1363</x:f>
        <x:v>54</x:v>
      </x:c>
      <x:c r="N456" s="10" t="n">
        <x:f>'站点明细'!$D1363</x:f>
        <x:v>43</x:v>
      </x:c>
      <x:c r="O456" s="10" t="n">
        <x:f>'站点明细'!$E1595</x:f>
        <x:v>5</x:v>
      </x:c>
      <x:c r="P456" s="10" t="n">
        <x:f>'站点明细'!$D1595</x:f>
        <x:v>5</x:v>
      </x:c>
      <x:c r="Q456" s="11" t="n">
        <x:f>'站点明细'!$F203</x:f>
        <x:v>14844.14</x:v>
      </x:c>
      <x:c r="R456" s="11" t="n">
        <x:f>'站点明细'!$F435</x:f>
        <x:v>14117.59</x:v>
      </x:c>
      <x:c r="S456" s="11" t="n">
        <x:f>'站点明细'!$F667</x:f>
        <x:v>9376.68</x:v>
      </x:c>
      <x:c r="T456" s="11" t="n">
        <x:f>'站点明细'!$F899</x:f>
        <x:v>29.47</x:v>
      </x:c>
      <x:c r="U456" s="11" t="n">
        <x:f>'站点明细'!$F1131</x:f>
        <x:v>1276.29</x:v>
      </x:c>
      <x:c r="V456" s="11" t="n">
        <x:f>'站点明细'!$F1363</x:f>
        <x:v>2200.4</x:v>
      </x:c>
      <x:c r="W456" s="11" t="n">
        <x:f>'站点明细'!$F1595</x:f>
        <x:v>467.3</x:v>
      </x:c>
    </x:row>
    <x:row r="457">
      <x:c r="A457" t="str">
        <x:f>TEXT($B457,"mm-dd")</x:f>
        <x:v>07-22</x:v>
      </x:c>
      <x:c r="B457" s="9" t="n">
        <x:f>'站点明细'!$C204</x:f>
        <x:v>46225</x:v>
      </x:c>
      <x:c r="C457" s="10" t="n">
        <x:f>'站点明细'!$E204</x:f>
        <x:v>2920</x:v>
      </x:c>
      <x:c r="D457" s="10" t="n">
        <x:f>'站点明细'!$D204</x:f>
        <x:v>1475</x:v>
      </x:c>
      <x:c r="E457" s="10" t="n">
        <x:f>'站点明细'!$E436</x:f>
        <x:v>1792</x:v>
      </x:c>
      <x:c r="F457" s="10" t="n">
        <x:f>'站点明细'!$D436</x:f>
        <x:v>955</x:v>
      </x:c>
      <x:c r="G457" s="10" t="n">
        <x:f>'站点明细'!$E668</x:f>
        <x:v>792</x:v>
      </x:c>
      <x:c r="H457" s="10" t="n">
        <x:f>'站点明细'!$D668</x:f>
        <x:v>417</x:v>
      </x:c>
      <x:c r="I457" s="10" t="n">
        <x:f>'站点明细'!$E900</x:f>
        <x:v>5</x:v>
      </x:c>
      <x:c r="J457" s="10" t="n">
        <x:f>'站点明细'!$D900</x:f>
        <x:v>3</x:v>
      </x:c>
      <x:c r="K457" s="10" t="n">
        <x:f>'站点明细'!$E1132</x:f>
        <x:v>143</x:v>
      </x:c>
      <x:c r="L457" s="10" t="n">
        <x:f>'站点明细'!$D1132</x:f>
        <x:v>71</x:v>
      </x:c>
      <x:c r="M457" s="10" t="n">
        <x:f>'站点明细'!$E1364</x:f>
        <x:v>84</x:v>
      </x:c>
      <x:c r="N457" s="10" t="n">
        <x:f>'站点明细'!$D1364</x:f>
        <x:v>69</x:v>
      </x:c>
      <x:c r="O457" s="10" t="n">
        <x:f>'站点明细'!$E1596</x:f>
        <x:v>7</x:v>
      </x:c>
      <x:c r="P457" s="10" t="n">
        <x:f>'站点明细'!$D1596</x:f>
        <x:v>7</x:v>
      </x:c>
      <x:c r="Q457" s="11" t="n">
        <x:f>'站点明细'!$F204</x:f>
        <x:v>18547.83</x:v>
      </x:c>
      <x:c r="R457" s="11" t="n">
        <x:f>'站点明细'!$F436</x:f>
        <x:v>17272.24</x:v>
      </x:c>
      <x:c r="S457" s="11" t="n">
        <x:f>'站点明细'!$F668</x:f>
        <x:v>6508.92</x:v>
      </x:c>
      <x:c r="T457" s="11" t="n">
        <x:f>'站点明细'!$F900</x:f>
        <x:v>70.9</x:v>
      </x:c>
      <x:c r="U457" s="11" t="n">
        <x:f>'站点明细'!$F1132</x:f>
        <x:v>1188</x:v>
      </x:c>
      <x:c r="V457" s="11" t="n">
        <x:f>'站点明细'!$F1364</x:f>
        <x:v>3798.06</x:v>
      </x:c>
      <x:c r="W457" s="11" t="n">
        <x:f>'站点明细'!$F1596</x:f>
        <x:v>486.09</x:v>
      </x:c>
    </x:row>
    <x:row r="458">
      <x:c r="A458" t="str">
        <x:f>TEXT($B458,"mm-dd")</x:f>
        <x:v>07-23</x:v>
      </x:c>
      <x:c r="B458" s="9" t="n">
        <x:f>'站点明细'!$C205</x:f>
        <x:v>46226</x:v>
      </x:c>
      <x:c r="C458" s="10" t="n">
        <x:f>'站点明细'!$E205</x:f>
        <x:v>2902</x:v>
      </x:c>
      <x:c r="D458" s="10" t="n">
        <x:f>'站点明细'!$D205</x:f>
        <x:v>1551</x:v>
      </x:c>
      <x:c r="E458" s="10" t="n">
        <x:f>'站点明细'!$E437</x:f>
        <x:v>1733</x:v>
      </x:c>
      <x:c r="F458" s="10" t="n">
        <x:f>'站点明细'!$D437</x:f>
        <x:v>926</x:v>
      </x:c>
      <x:c r="G458" s="10" t="n">
        <x:f>'站点明细'!$E669</x:f>
        <x:v>824</x:v>
      </x:c>
      <x:c r="H458" s="10" t="n">
        <x:f>'站点明细'!$D669</x:f>
        <x:v>436</x:v>
      </x:c>
      <x:c r="I458" s="10" t="n">
        <x:f>'站点明细'!$E901</x:f>
        <x:v>0</x:v>
      </x:c>
      <x:c r="J458" s="10" t="n">
        <x:f>'站点明细'!$D901</x:f>
        <x:v>0</x:v>
      </x:c>
      <x:c r="K458" s="10" t="n">
        <x:f>'站点明细'!$E1133</x:f>
        <x:v>188</x:v>
      </x:c>
      <x:c r="L458" s="10" t="n">
        <x:f>'站点明细'!$D1133</x:f>
        <x:v>85</x:v>
      </x:c>
      <x:c r="M458" s="10" t="n">
        <x:f>'站点明细'!$E1365</x:f>
        <x:v>50</x:v>
      </x:c>
      <x:c r="N458" s="10" t="n">
        <x:f>'站点明细'!$D1365</x:f>
        <x:v>46</x:v>
      </x:c>
      <x:c r="O458" s="10" t="n">
        <x:f>'站点明细'!$E1597</x:f>
        <x:v>6</x:v>
      </x:c>
      <x:c r="P458" s="10" t="n">
        <x:f>'站点明细'!$D1597</x:f>
        <x:v>6</x:v>
      </x:c>
      <x:c r="Q458" s="11" t="n">
        <x:f>'站点明细'!$F205</x:f>
        <x:v>19229.2</x:v>
      </x:c>
      <x:c r="R458" s="11" t="n">
        <x:f>'站点明细'!$F437</x:f>
        <x:v>17249.34</x:v>
      </x:c>
      <x:c r="S458" s="11" t="n">
        <x:f>'站点明细'!$F669</x:f>
        <x:v>6502.4</x:v>
      </x:c>
      <x:c r="T458" s="11" t="n">
        <x:f>'站点明细'!$F901</x:f>
        <x:v>0</x:v>
      </x:c>
      <x:c r="U458" s="11" t="n">
        <x:f>'站点明细'!$F1133</x:f>
        <x:v>1345.73</x:v>
      </x:c>
      <x:c r="V458" s="11" t="n">
        <x:f>'站点明细'!$F1365</x:f>
        <x:v>2122.65</x:v>
      </x:c>
      <x:c r="W458" s="11" t="n">
        <x:f>'站点明细'!$F1597</x:f>
        <x:v>625.97</x:v>
      </x:c>
    </x:row>
    <x:row r="459">
      <x:c r="A459" t="str">
        <x:f>TEXT($B459,"mm-dd")</x:f>
        <x:v>07-24</x:v>
      </x:c>
      <x:c r="B459" s="9" t="n">
        <x:f>'站点明细'!$C206</x:f>
        <x:v>46227</x:v>
      </x:c>
      <x:c r="C459" s="10" t="n">
        <x:f>'站点明细'!$E206</x:f>
        <x:v>5146</x:v>
      </x:c>
      <x:c r="D459" s="10" t="n">
        <x:f>'站点明细'!$D206</x:f>
        <x:v>2586</x:v>
      </x:c>
      <x:c r="E459" s="10" t="n">
        <x:f>'站点明细'!$E438</x:f>
        <x:v>1600</x:v>
      </x:c>
      <x:c r="F459" s="10" t="n">
        <x:f>'站点明细'!$D438</x:f>
        <x:v>873</x:v>
      </x:c>
      <x:c r="G459" s="10" t="n">
        <x:f>'站点明细'!$E670</x:f>
        <x:v>645</x:v>
      </x:c>
      <x:c r="H459" s="10" t="n">
        <x:f>'站点明细'!$D670</x:f>
        <x:v>368</x:v>
      </x:c>
      <x:c r="I459" s="10" t="n">
        <x:f>'站点明细'!$E902</x:f>
        <x:v>0</x:v>
      </x:c>
      <x:c r="J459" s="10" t="n">
        <x:f>'站点明细'!$D902</x:f>
        <x:v>0</x:v>
      </x:c>
      <x:c r="K459" s="10" t="n">
        <x:f>'站点明细'!$E1134</x:f>
        <x:v>170</x:v>
      </x:c>
      <x:c r="L459" s="10" t="n">
        <x:f>'站点明细'!$D1134</x:f>
        <x:v>85</x:v>
      </x:c>
      <x:c r="M459" s="10" t="n">
        <x:f>'站点明细'!$E1366</x:f>
        <x:v>46</x:v>
      </x:c>
      <x:c r="N459" s="10" t="n">
        <x:f>'站点明细'!$D1366</x:f>
        <x:v>40</x:v>
      </x:c>
      <x:c r="O459" s="10" t="n">
        <x:f>'站点明细'!$E1598</x:f>
        <x:v>9</x:v>
      </x:c>
      <x:c r="P459" s="10" t="n">
        <x:f>'站点明细'!$D1598</x:f>
        <x:v>9</x:v>
      </x:c>
      <x:c r="Q459" s="11" t="n">
        <x:f>'站点明细'!$F206</x:f>
        <x:v>33700.36</x:v>
      </x:c>
      <x:c r="R459" s="11" t="n">
        <x:f>'站点明细'!$F438</x:f>
        <x:v>15389.8</x:v>
      </x:c>
      <x:c r="S459" s="11" t="n">
        <x:f>'站点明细'!$F670</x:f>
        <x:v>5350.27</x:v>
      </x:c>
      <x:c r="T459" s="11" t="n">
        <x:f>'站点明细'!$F902</x:f>
        <x:v>0</x:v>
      </x:c>
      <x:c r="U459" s="11" t="n">
        <x:f>'站点明细'!$F1134</x:f>
        <x:v>1437.17</x:v>
      </x:c>
      <x:c r="V459" s="11" t="n">
        <x:f>'站点明细'!$F1366</x:f>
        <x:v>1872.77</x:v>
      </x:c>
      <x:c r="W459" s="11" t="n">
        <x:f>'站点明细'!$F1598</x:f>
        <x:v>232.08</x:v>
      </x:c>
    </x:row>
    <x:row r="460">
      <x:c r="A460" t="str">
        <x:f>TEXT($B460,"mm-dd")</x:f>
        <x:v>07-25</x:v>
      </x:c>
      <x:c r="B460" s="9" t="n">
        <x:f>'站点明细'!$C207</x:f>
        <x:v>46228</x:v>
      </x:c>
      <x:c r="C460" s="10" t="n">
        <x:f>'站点明细'!$E207</x:f>
        <x:v>2849</x:v>
      </x:c>
      <x:c r="D460" s="10" t="n">
        <x:f>'站点明细'!$D207</x:f>
        <x:v>1636</x:v>
      </x:c>
      <x:c r="E460" s="10" t="n">
        <x:f>'站点明细'!$E439</x:f>
        <x:v>1030</x:v>
      </x:c>
      <x:c r="F460" s="10" t="n">
        <x:f>'站点明细'!$D439</x:f>
        <x:v>593</x:v>
      </x:c>
      <x:c r="G460" s="10" t="n">
        <x:f>'站点明细'!$E671</x:f>
        <x:v>542</x:v>
      </x:c>
      <x:c r="H460" s="10" t="n">
        <x:f>'站点明细'!$D671</x:f>
        <x:v>288</x:v>
      </x:c>
      <x:c r="I460" s="10" t="n">
        <x:f>'站点明细'!$E903</x:f>
        <x:v>0</x:v>
      </x:c>
      <x:c r="J460" s="10" t="n">
        <x:f>'站点明细'!$D903</x:f>
        <x:v>0</x:v>
      </x:c>
      <x:c r="K460" s="10" t="n">
        <x:f>'站点明细'!$E1135</x:f>
        <x:v>69</x:v>
      </x:c>
      <x:c r="L460" s="10" t="n">
        <x:f>'站点明细'!$D1135</x:f>
        <x:v>34</x:v>
      </x:c>
      <x:c r="M460" s="10" t="n">
        <x:f>'站点明细'!$E1367</x:f>
        <x:v>49</x:v>
      </x:c>
      <x:c r="N460" s="10" t="n">
        <x:f>'站点明细'!$D1367</x:f>
        <x:v>44</x:v>
      </x:c>
      <x:c r="O460" s="10" t="n">
        <x:f>'站点明细'!$E1599</x:f>
        <x:v>2</x:v>
      </x:c>
      <x:c r="P460" s="10" t="n">
        <x:f>'站点明细'!$D1599</x:f>
        <x:v>2</x:v>
      </x:c>
      <x:c r="Q460" s="11" t="n">
        <x:f>'站点明细'!$F207</x:f>
        <x:v>20623.63</x:v>
      </x:c>
      <x:c r="R460" s="11" t="n">
        <x:f>'站点明细'!$F439</x:f>
        <x:v>10067.29</x:v>
      </x:c>
      <x:c r="S460" s="11" t="n">
        <x:f>'站点明细'!$F671</x:f>
        <x:v>4420.41</x:v>
      </x:c>
      <x:c r="T460" s="11" t="n">
        <x:f>'站点明细'!$F903</x:f>
        <x:v>0</x:v>
      </x:c>
      <x:c r="U460" s="11" t="n">
        <x:f>'站点明细'!$F1135</x:f>
        <x:v>601.77</x:v>
      </x:c>
      <x:c r="V460" s="11" t="n">
        <x:f>'站点明细'!$F1367</x:f>
        <x:v>2073.92</x:v>
      </x:c>
      <x:c r="W460" s="11" t="n">
        <x:f>'站点明细'!$F1599</x:f>
        <x:v>146.58</x:v>
      </x:c>
    </x:row>
    <x:row r="461">
      <x:c r="A461" t="str">
        <x:f>TEXT($B461,"mm-dd")</x:f>
        <x:v>07-26</x:v>
      </x:c>
      <x:c r="B461" s="9" t="n">
        <x:f>'站点明细'!$C208</x:f>
        <x:v>46229</x:v>
      </x:c>
      <x:c r="C461" s="10" t="n">
        <x:f>'站点明细'!$E208</x:f>
        <x:v>4133</x:v>
      </x:c>
      <x:c r="D461" s="10" t="n">
        <x:f>'站点明细'!$D208</x:f>
        <x:v>2108</x:v>
      </x:c>
      <x:c r="E461" s="10" t="n">
        <x:f>'站点明细'!$E440</x:f>
        <x:v>1586</x:v>
      </x:c>
      <x:c r="F461" s="10" t="n">
        <x:f>'站点明细'!$D440</x:f>
        <x:v>880</x:v>
      </x:c>
      <x:c r="G461" s="10" t="n">
        <x:f>'站点明细'!$E672</x:f>
        <x:v>836</x:v>
      </x:c>
      <x:c r="H461" s="10" t="n">
        <x:f>'站点明细'!$D672</x:f>
        <x:v>467</x:v>
      </x:c>
      <x:c r="I461" s="10" t="n">
        <x:f>'站点明细'!$E904</x:f>
        <x:v>1</x:v>
      </x:c>
      <x:c r="J461" s="10" t="n">
        <x:f>'站点明细'!$D904</x:f>
        <x:v>1</x:v>
      </x:c>
      <x:c r="K461" s="10" t="n">
        <x:f>'站点明细'!$E1136</x:f>
        <x:v>180</x:v>
      </x:c>
      <x:c r="L461" s="10" t="n">
        <x:f>'站点明细'!$D1136</x:f>
        <x:v>87</x:v>
      </x:c>
      <x:c r="M461" s="10" t="n">
        <x:f>'站点明细'!$E1368</x:f>
        <x:v>38</x:v>
      </x:c>
      <x:c r="N461" s="10" t="n">
        <x:f>'站点明细'!$D1368</x:f>
        <x:v>34</x:v>
      </x:c>
      <x:c r="O461" s="10" t="n">
        <x:f>'站点明细'!$E1600</x:f>
        <x:v>0</x:v>
      </x:c>
      <x:c r="P461" s="10" t="n">
        <x:f>'站点明细'!$D1600</x:f>
        <x:v>0</x:v>
      </x:c>
      <x:c r="Q461" s="11" t="n">
        <x:f>'站点明细'!$F208</x:f>
        <x:v>26447.7</x:v>
      </x:c>
      <x:c r="R461" s="11" t="n">
        <x:f>'站点明细'!$F440</x:f>
        <x:v>14535.37</x:v>
      </x:c>
      <x:c r="S461" s="11" t="n">
        <x:f>'站点明细'!$F672</x:f>
        <x:v>6871.41</x:v>
      </x:c>
      <x:c r="T461" s="11" t="n">
        <x:f>'站点明细'!$F904</x:f>
        <x:v>19.82</x:v>
      </x:c>
      <x:c r="U461" s="11" t="n">
        <x:f>'站点明细'!$F1136</x:f>
        <x:v>1192.54</x:v>
      </x:c>
      <x:c r="V461" s="11" t="n">
        <x:f>'站点明细'!$F1368</x:f>
        <x:v>1651.93</x:v>
      </x:c>
      <x:c r="W461" s="11" t="n">
        <x:f>'站点明细'!$F1600</x:f>
        <x:v>0</x:v>
      </x:c>
    </x:row>
    <x:row r="462">
      <x:c r="A462" t="str">
        <x:f>TEXT($B462,"mm-dd")</x:f>
        <x:v>07-27</x:v>
      </x:c>
      <x:c r="B462" s="9" t="n">
        <x:f>'站点明细'!$C209</x:f>
        <x:v>46230</x:v>
      </x:c>
      <x:c r="C462" s="10" t="n">
        <x:f>'站点明细'!$E209</x:f>
        <x:v>4445</x:v>
      </x:c>
      <x:c r="D462" s="10" t="n">
        <x:f>'站点明细'!$D209</x:f>
        <x:v>2321</x:v>
      </x:c>
      <x:c r="E462" s="10" t="n">
        <x:f>'站点明细'!$E441</x:f>
        <x:v>1417</x:v>
      </x:c>
      <x:c r="F462" s="10" t="n">
        <x:f>'站点明细'!$D441</x:f>
        <x:v>755</x:v>
      </x:c>
      <x:c r="G462" s="10" t="n">
        <x:f>'站点明细'!$E673</x:f>
        <x:v>699</x:v>
      </x:c>
      <x:c r="H462" s="10" t="n">
        <x:f>'站点明细'!$D673</x:f>
        <x:v>381</x:v>
      </x:c>
      <x:c r="I462" s="10" t="n">
        <x:f>'站点明细'!$E905</x:f>
        <x:v>10</x:v>
      </x:c>
      <x:c r="J462" s="10" t="n">
        <x:f>'站点明细'!$D905</x:f>
        <x:v>5</x:v>
      </x:c>
      <x:c r="K462" s="10" t="n">
        <x:f>'站点明细'!$E1137</x:f>
        <x:v>138</x:v>
      </x:c>
      <x:c r="L462" s="10" t="n">
        <x:f>'站点明细'!$D1137</x:f>
        <x:v>64</x:v>
      </x:c>
      <x:c r="M462" s="10" t="n">
        <x:f>'站点明细'!$E1369</x:f>
        <x:v>30</x:v>
      </x:c>
      <x:c r="N462" s="10" t="n">
        <x:f>'站点明细'!$D1369</x:f>
        <x:v>21</x:v>
      </x:c>
      <x:c r="O462" s="10" t="n">
        <x:f>'站点明细'!$E1601</x:f>
        <x:v>11</x:v>
      </x:c>
      <x:c r="P462" s="10" t="n">
        <x:f>'站点明细'!$D1601</x:f>
        <x:v>10</x:v>
      </x:c>
      <x:c r="Q462" s="11" t="n">
        <x:f>'站点明细'!$F209</x:f>
        <x:v>32254.81</x:v>
      </x:c>
      <x:c r="R462" s="11" t="n">
        <x:f>'站点明细'!$F441</x:f>
        <x:v>13368.08</x:v>
      </x:c>
      <x:c r="S462" s="11" t="n">
        <x:f>'站点明细'!$F673</x:f>
        <x:v>5710.91</x:v>
      </x:c>
      <x:c r="T462" s="11" t="n">
        <x:f>'站点明细'!$F905</x:f>
        <x:v>160.77</x:v>
      </x:c>
      <x:c r="U462" s="11" t="n">
        <x:f>'站点明细'!$F1137</x:f>
        <x:v>887.6</x:v>
      </x:c>
      <x:c r="V462" s="11" t="n">
        <x:f>'站点明细'!$F1369</x:f>
        <x:v>1161.71</x:v>
      </x:c>
      <x:c r="W462" s="11" t="n">
        <x:f>'站点明细'!$F1601</x:f>
        <x:v>931.27</x:v>
      </x:c>
    </x:row>
    <x:row r="463">
      <x:c r="A463" t="str">
        <x:f>TEXT($B463,"mm-dd")</x:f>
        <x:v>07-28</x:v>
      </x:c>
      <x:c r="B463" s="9" t="n">
        <x:f>'站点明细'!$C210</x:f>
        <x:v>46231</x:v>
      </x:c>
      <x:c r="C463" s="10" t="n">
        <x:f>'站点明细'!$E210</x:f>
        <x:v>3262</x:v>
      </x:c>
      <x:c r="D463" s="10" t="n">
        <x:f>'站点明细'!$D210</x:f>
        <x:v>1699</x:v>
      </x:c>
      <x:c r="E463" s="10" t="n">
        <x:f>'站点明细'!$E442</x:f>
        <x:v>1266</x:v>
      </x:c>
      <x:c r="F463" s="10" t="n">
        <x:f>'站点明细'!$D442</x:f>
        <x:v>689</x:v>
      </x:c>
      <x:c r="G463" s="10" t="n">
        <x:f>'站点明细'!$E674</x:f>
        <x:v>755</x:v>
      </x:c>
      <x:c r="H463" s="10" t="n">
        <x:f>'站点明细'!$D674</x:f>
        <x:v>407</x:v>
      </x:c>
      <x:c r="I463" s="10" t="n">
        <x:f>'站点明细'!$E906</x:f>
        <x:v>0</x:v>
      </x:c>
      <x:c r="J463" s="10" t="n">
        <x:f>'站点明细'!$D906</x:f>
        <x:v>0</x:v>
      </x:c>
      <x:c r="K463" s="10" t="n">
        <x:f>'站点明细'!$E1138</x:f>
        <x:v>135</x:v>
      </x:c>
      <x:c r="L463" s="10" t="n">
        <x:f>'站点明细'!$D1138</x:f>
        <x:v>63</x:v>
      </x:c>
      <x:c r="M463" s="10" t="n">
        <x:f>'站点明细'!$E1370</x:f>
        <x:v>79</x:v>
      </x:c>
      <x:c r="N463" s="10" t="n">
        <x:f>'站点明细'!$D1370</x:f>
        <x:v>66</x:v>
      </x:c>
      <x:c r="O463" s="10" t="n">
        <x:f>'站点明细'!$E1602</x:f>
        <x:v>8</x:v>
      </x:c>
      <x:c r="P463" s="10" t="n">
        <x:f>'站点明细'!$D1602</x:f>
        <x:v>7</x:v>
      </x:c>
      <x:c r="Q463" s="11" t="n">
        <x:f>'站点明细'!$F210</x:f>
        <x:v>22298.36</x:v>
      </x:c>
      <x:c r="R463" s="11" t="n">
        <x:f>'站点明细'!$F442</x:f>
        <x:v>12310</x:v>
      </x:c>
      <x:c r="S463" s="11" t="n">
        <x:f>'站点明细'!$F674</x:f>
        <x:v>6376.23</x:v>
      </x:c>
      <x:c r="T463" s="11" t="n">
        <x:f>'站点明细'!$F906</x:f>
        <x:v>0</x:v>
      </x:c>
      <x:c r="U463" s="11" t="n">
        <x:f>'站点明细'!$F1138</x:f>
        <x:v>1169.6</x:v>
      </x:c>
      <x:c r="V463" s="11" t="n">
        <x:f>'站点明细'!$F1370</x:f>
        <x:v>3234.11</x:v>
      </x:c>
      <x:c r="W463" s="11" t="n">
        <x:f>'站点明细'!$F1602</x:f>
        <x:v>655.3</x:v>
      </x:c>
    </x:row>
    <x:row r="464">
      <x:c r="A464" t="str">
        <x:f>TEXT($B464,"mm-dd")</x:f>
        <x:v>07-29</x:v>
      </x:c>
      <x:c r="B464" s="9" t="n">
        <x:f>'站点明细'!$C211</x:f>
        <x:v>46232</x:v>
      </x:c>
      <x:c r="C464" s="10" t="n">
        <x:f>'站点明细'!$E211</x:f>
        <x:v>3473</x:v>
      </x:c>
      <x:c r="D464" s="10" t="n">
        <x:f>'站点明细'!$D211</x:f>
        <x:v>1866</x:v>
      </x:c>
      <x:c r="E464" s="10" t="n">
        <x:f>'站点明细'!$E443</x:f>
        <x:v>1909</x:v>
      </x:c>
      <x:c r="F464" s="10" t="n">
        <x:f>'站点明细'!$D443</x:f>
        <x:v>1065</x:v>
      </x:c>
      <x:c r="G464" s="10" t="n">
        <x:f>'站点明细'!$E675</x:f>
        <x:v>549</x:v>
      </x:c>
      <x:c r="H464" s="10" t="n">
        <x:f>'站点明细'!$D675</x:f>
        <x:v>326</x:v>
      </x:c>
      <x:c r="I464" s="10" t="n">
        <x:f>'站点明细'!$E907</x:f>
        <x:v>0</x:v>
      </x:c>
      <x:c r="J464" s="10" t="n">
        <x:f>'站点明细'!$D907</x:f>
        <x:v>0</x:v>
      </x:c>
      <x:c r="K464" s="10" t="n">
        <x:f>'站点明细'!$E1139</x:f>
        <x:v>145</x:v>
      </x:c>
      <x:c r="L464" s="10" t="n">
        <x:f>'站点明细'!$D1139</x:f>
        <x:v>64</x:v>
      </x:c>
      <x:c r="M464" s="10" t="n">
        <x:f>'站点明细'!$E1371</x:f>
        <x:v>49</x:v>
      </x:c>
      <x:c r="N464" s="10" t="n">
        <x:f>'站点明细'!$D1371</x:f>
        <x:v>42</x:v>
      </x:c>
      <x:c r="O464" s="10" t="n">
        <x:f>'站点明细'!$E1603</x:f>
        <x:v>2</x:v>
      </x:c>
      <x:c r="P464" s="10" t="n">
        <x:f>'站点明细'!$D1603</x:f>
        <x:v>2</x:v>
      </x:c>
      <x:c r="Q464" s="11" t="n">
        <x:f>'站点明细'!$F211</x:f>
        <x:v>23494.91</x:v>
      </x:c>
      <x:c r="R464" s="11" t="n">
        <x:f>'站点明细'!$F443</x:f>
        <x:v>18785.62</x:v>
      </x:c>
      <x:c r="S464" s="11" t="n">
        <x:f>'站点明细'!$F675</x:f>
        <x:v>5066.85</x:v>
      </x:c>
      <x:c r="T464" s="11" t="n">
        <x:f>'站点明细'!$F907</x:f>
        <x:v>0</x:v>
      </x:c>
      <x:c r="U464" s="11" t="n">
        <x:f>'站点明细'!$F1139</x:f>
        <x:v>1233.83</x:v>
      </x:c>
      <x:c r="V464" s="11" t="n">
        <x:f>'站点明细'!$F1371</x:f>
        <x:v>2053.15</x:v>
      </x:c>
      <x:c r="W464" s="11" t="n">
        <x:f>'站点明细'!$F1603</x:f>
        <x:v>109.75</x:v>
      </x:c>
    </x:row>
    <x:row r="465">
      <x:c r="A465" t="str">
        <x:f>TEXT($B465,"mm-dd")</x:f>
        <x:v>07-30</x:v>
      </x:c>
      <x:c r="B465" s="9" t="n">
        <x:f>'站点明细'!$C212</x:f>
        <x:v>46233</x:v>
      </x:c>
      <x:c r="C465" s="10" t="n">
        <x:f>'站点明细'!$E212</x:f>
        <x:v>3471</x:v>
      </x:c>
      <x:c r="D465" s="10" t="n">
        <x:f>'站点明细'!$D212</x:f>
        <x:v>1813</x:v>
      </x:c>
      <x:c r="E465" s="10" t="n">
        <x:f>'站点明细'!$E444</x:f>
        <x:v>1442</x:v>
      </x:c>
      <x:c r="F465" s="10" t="n">
        <x:f>'站点明细'!$D444</x:f>
        <x:v>783</x:v>
      </x:c>
      <x:c r="G465" s="10" t="n">
        <x:f>'站点明细'!$E676</x:f>
        <x:v>704</x:v>
      </x:c>
      <x:c r="H465" s="10" t="n">
        <x:f>'站点明细'!$D676</x:f>
        <x:v>374</x:v>
      </x:c>
      <x:c r="I465" s="10" t="n">
        <x:f>'站点明细'!$E908</x:f>
        <x:v>3</x:v>
      </x:c>
      <x:c r="J465" s="10" t="n">
        <x:f>'站点明细'!$D908</x:f>
        <x:v>3</x:v>
      </x:c>
      <x:c r="K465" s="10" t="n">
        <x:f>'站点明细'!$E1140</x:f>
        <x:v>101</x:v>
      </x:c>
      <x:c r="L465" s="10" t="n">
        <x:f>'站点明细'!$D1140</x:f>
        <x:v>47</x:v>
      </x:c>
      <x:c r="M465" s="10" t="n">
        <x:f>'站点明细'!$E1372</x:f>
        <x:v>62</x:v>
      </x:c>
      <x:c r="N465" s="10" t="n">
        <x:f>'站点明细'!$D1372</x:f>
        <x:v>52</x:v>
      </x:c>
      <x:c r="O465" s="10" t="n">
        <x:f>'站点明细'!$E1604</x:f>
        <x:v>12</x:v>
      </x:c>
      <x:c r="P465" s="10" t="n">
        <x:f>'站点明细'!$D1604</x:f>
        <x:v>10</x:v>
      </x:c>
      <x:c r="Q465" s="11" t="n">
        <x:f>'站点明细'!$F212</x:f>
        <x:v>23729.47</x:v>
      </x:c>
      <x:c r="R465" s="11" t="n">
        <x:f>'站点明细'!$F444</x:f>
        <x:v>13857.72</x:v>
      </x:c>
      <x:c r="S465" s="11" t="n">
        <x:f>'站点明细'!$F676</x:f>
        <x:v>5814.8</x:v>
      </x:c>
      <x:c r="T465" s="11" t="n">
        <x:f>'站点明细'!$F908</x:f>
        <x:v>49.26</x:v>
      </x:c>
      <x:c r="U465" s="11" t="n">
        <x:f>'站点明细'!$F1140</x:f>
        <x:v>711.96</x:v>
      </x:c>
      <x:c r="V465" s="11" t="n">
        <x:f>'站点明细'!$F1372</x:f>
        <x:v>2628.73</x:v>
      </x:c>
      <x:c r="W465" s="11" t="n">
        <x:f>'站点明细'!$F1604</x:f>
        <x:v>828.1</x:v>
      </x:c>
    </x:row>
    <x:row r="466">
      <x:c r="A466" t="str">
        <x:f>TEXT($B466,"mm-dd")</x:f>
        <x:v>07-31</x:v>
      </x:c>
      <x:c r="B466" s="9" t="n">
        <x:f>'站点明细'!$C213</x:f>
        <x:v>46234</x:v>
      </x:c>
      <x:c r="C466" s="10" t="n">
        <x:f>'站点明细'!$E213</x:f>
        <x:v>3875</x:v>
      </x:c>
      <x:c r="D466" s="10" t="n">
        <x:f>'站点明细'!$D213</x:f>
        <x:v>2030</x:v>
      </x:c>
      <x:c r="E466" s="10" t="n">
        <x:f>'站点明细'!$E445</x:f>
        <x:v>1351</x:v>
      </x:c>
      <x:c r="F466" s="10" t="n">
        <x:f>'站点明细'!$D445</x:f>
        <x:v>753</x:v>
      </x:c>
      <x:c r="G466" s="10" t="n">
        <x:f>'站点明细'!$E677</x:f>
        <x:v>656</x:v>
      </x:c>
      <x:c r="H466" s="10" t="n">
        <x:f>'站点明细'!$D677</x:f>
        <x:v>352</x:v>
      </x:c>
      <x:c r="I466" s="10" t="n">
        <x:f>'站点明细'!$E909</x:f>
        <x:v>2</x:v>
      </x:c>
      <x:c r="J466" s="10" t="n">
        <x:f>'站点明细'!$D909</x:f>
        <x:v>2</x:v>
      </x:c>
      <x:c r="K466" s="10" t="n">
        <x:f>'站点明细'!$E1141</x:f>
        <x:v>136</x:v>
      </x:c>
      <x:c r="L466" s="10" t="n">
        <x:f>'站点明细'!$D1141</x:f>
        <x:v>63</x:v>
      </x:c>
      <x:c r="M466" s="10" t="n">
        <x:f>'站点明细'!$E1373</x:f>
        <x:v>57</x:v>
      </x:c>
      <x:c r="N466" s="10" t="n">
        <x:f>'站点明细'!$D1373</x:f>
        <x:v>45</x:v>
      </x:c>
      <x:c r="O466" s="10" t="n">
        <x:f>'站点明细'!$E1605</x:f>
        <x:v>3</x:v>
      </x:c>
      <x:c r="P466" s="10" t="n">
        <x:f>'站点明细'!$D1605</x:f>
        <x:v>3</x:v>
      </x:c>
      <x:c r="Q466" s="11" t="n">
        <x:f>'站点明细'!$F213</x:f>
        <x:v>26384.38</x:v>
      </x:c>
      <x:c r="R466" s="11" t="n">
        <x:f>'站点明细'!$F445</x:f>
        <x:v>13529.31</x:v>
      </x:c>
      <x:c r="S466" s="11" t="n">
        <x:f>'站点明细'!$F677</x:f>
        <x:v>5365.9</x:v>
      </x:c>
      <x:c r="T466" s="11" t="n">
        <x:f>'站点明细'!$F909</x:f>
        <x:v>34.53</x:v>
      </x:c>
      <x:c r="U466" s="11" t="n">
        <x:f>'站点明细'!$F1141</x:f>
        <x:v>1000.76</x:v>
      </x:c>
      <x:c r="V466" s="11" t="n">
        <x:f>'站点明细'!$F1373</x:f>
        <x:v>1416.59</x:v>
      </x:c>
      <x:c r="W466" s="11" t="n">
        <x:f>'站点明细'!$F1605</x:f>
        <x:v>339.43</x:v>
      </x:c>
    </x:row>
    <x:row r="467">
      <x:c r="A467" t="str">
        <x:f>TEXT($B467,"mm-dd")</x:f>
        <x:v>08-01</x:v>
      </x:c>
      <x:c r="B467" s="9" t="n">
        <x:f>'站点明细'!$C214</x:f>
        <x:v>46235</x:v>
      </x:c>
      <x:c r="C467" s="10" t="n">
        <x:f>'站点明细'!$E214</x:f>
        <x:v>3870</x:v>
      </x:c>
      <x:c r="D467" s="10" t="n">
        <x:f>'站点明细'!$D214</x:f>
        <x:v>2058</x:v>
      </x:c>
      <x:c r="E467" s="10" t="n">
        <x:f>'站点明细'!$E446</x:f>
        <x:v>1378</x:v>
      </x:c>
      <x:c r="F467" s="10" t="n">
        <x:f>'站点明细'!$D446</x:f>
        <x:v>720</x:v>
      </x:c>
      <x:c r="G467" s="10" t="n">
        <x:f>'站点明细'!$E678</x:f>
        <x:v>670</x:v>
      </x:c>
      <x:c r="H467" s="10" t="n">
        <x:f>'站点明细'!$D678</x:f>
        <x:v>369</x:v>
      </x:c>
      <x:c r="I467" s="10" t="n">
        <x:f>'站点明细'!$E910</x:f>
        <x:v>5</x:v>
      </x:c>
      <x:c r="J467" s="10" t="n">
        <x:f>'站点明细'!$D910</x:f>
        <x:v>3</x:v>
      </x:c>
      <x:c r="K467" s="10" t="n">
        <x:f>'站点明细'!$E1142</x:f>
        <x:v>112</x:v>
      </x:c>
      <x:c r="L467" s="10" t="n">
        <x:f>'站点明细'!$D1142</x:f>
        <x:v>55</x:v>
      </x:c>
      <x:c r="M467" s="10" t="n">
        <x:f>'站点明细'!$E1374</x:f>
        <x:v>64</x:v>
      </x:c>
      <x:c r="N467" s="10" t="n">
        <x:f>'站点明细'!$D1374</x:f>
        <x:v>58</x:v>
      </x:c>
      <x:c r="O467" s="10" t="n">
        <x:f>'站点明细'!$E1606</x:f>
        <x:v>7</x:v>
      </x:c>
      <x:c r="P467" s="10" t="n">
        <x:f>'站点明细'!$D1606</x:f>
        <x:v>6</x:v>
      </x:c>
      <x:c r="Q467" s="11" t="n">
        <x:f>'站点明细'!$F214</x:f>
        <x:v>26126.3</x:v>
      </x:c>
      <x:c r="R467" s="11" t="n">
        <x:f>'站点明细'!$F446</x:f>
        <x:v>13320.1</x:v>
      </x:c>
      <x:c r="S467" s="11" t="n">
        <x:f>'站点明细'!$F678</x:f>
        <x:v>5486.84</x:v>
      </x:c>
      <x:c r="T467" s="11" t="n">
        <x:f>'站点明细'!$F910</x:f>
        <x:v>65.5</x:v>
      </x:c>
      <x:c r="U467" s="11" t="n">
        <x:f>'站点明细'!$F1142</x:f>
        <x:v>1192.88</x:v>
      </x:c>
      <x:c r="V467" s="11" t="n">
        <x:f>'站点明细'!$F1374</x:f>
        <x:v>2909.39</x:v>
      </x:c>
      <x:c r="W467" s="11" t="n">
        <x:f>'站点明细'!$F1606</x:f>
        <x:v>558.75</x:v>
      </x:c>
    </x:row>
    <x:row r="468">
      <x:c r="A468" t="str">
        <x:f>TEXT($B468,"mm-dd")</x:f>
        <x:v>08-02</x:v>
      </x:c>
      <x:c r="B468" s="9" t="n">
        <x:f>'站点明细'!$C215</x:f>
        <x:v>46236</x:v>
      </x:c>
      <x:c r="C468" s="10" t="n">
        <x:f>'站点明细'!$E215</x:f>
        <x:v>3998</x:v>
      </x:c>
      <x:c r="D468" s="10" t="n">
        <x:f>'站点明细'!$D215</x:f>
        <x:v>2106</x:v>
      </x:c>
      <x:c r="E468" s="10" t="n">
        <x:f>'站点明细'!$E447</x:f>
        <x:v>1214</x:v>
      </x:c>
      <x:c r="F468" s="10" t="n">
        <x:f>'站点明细'!$D447</x:f>
        <x:v>714</x:v>
      </x:c>
      <x:c r="G468" s="10" t="n">
        <x:f>'站点明细'!$E679</x:f>
        <x:v>646</x:v>
      </x:c>
      <x:c r="H468" s="10" t="n">
        <x:f>'站点明细'!$D679</x:f>
        <x:v>365</x:v>
      </x:c>
      <x:c r="I468" s="10" t="n">
        <x:f>'站点明细'!$E911</x:f>
        <x:v>2</x:v>
      </x:c>
      <x:c r="J468" s="10" t="n">
        <x:f>'站点明细'!$D911</x:f>
        <x:v>1</x:v>
      </x:c>
      <x:c r="K468" s="10" t="n">
        <x:f>'站点明细'!$E1143</x:f>
        <x:v>71</x:v>
      </x:c>
      <x:c r="L468" s="10" t="n">
        <x:f>'站点明细'!$D1143</x:f>
        <x:v>40</x:v>
      </x:c>
      <x:c r="M468" s="10" t="n">
        <x:f>'站点明细'!$E1375</x:f>
        <x:v>30</x:v>
      </x:c>
      <x:c r="N468" s="10" t="n">
        <x:f>'站点明细'!$D1375</x:f>
        <x:v>29</x:v>
      </x:c>
      <x:c r="O468" s="10" t="n">
        <x:f>'站点明细'!$E1607</x:f>
        <x:v>0</x:v>
      </x:c>
      <x:c r="P468" s="10" t="n">
        <x:f>'站点明细'!$D1607</x:f>
        <x:v>0</x:v>
      </x:c>
      <x:c r="Q468" s="11" t="n">
        <x:f>'站点明细'!$F215</x:f>
        <x:v>27473.83</x:v>
      </x:c>
      <x:c r="R468" s="11" t="n">
        <x:f>'站点明细'!$F447</x:f>
        <x:v>12659.9</x:v>
      </x:c>
      <x:c r="S468" s="11" t="n">
        <x:f>'站点明细'!$F679</x:f>
        <x:v>5236.27</x:v>
      </x:c>
      <x:c r="T468" s="11" t="n">
        <x:f>'站点明细'!$F911</x:f>
        <x:v>20.34</x:v>
      </x:c>
      <x:c r="U468" s="11" t="n">
        <x:f>'站点明细'!$F1143</x:f>
        <x:v>610.02</x:v>
      </x:c>
      <x:c r="V468" s="11" t="n">
        <x:f>'站点明细'!$F1375</x:f>
        <x:v>1721.1</x:v>
      </x:c>
      <x:c r="W468" s="11" t="n">
        <x:f>'站点明细'!$F1607</x:f>
        <x:v>0</x:v>
      </x:c>
    </x:row>
    <x:row r="469">
      <x:c r="A469" t="str">
        <x:f>TEXT($B469,"mm-dd")</x:f>
        <x:v>08-03</x:v>
      </x:c>
      <x:c r="B469" s="9" t="n">
        <x:f>'站点明细'!$C216</x:f>
        <x:v>46237</x:v>
      </x:c>
      <x:c r="C469" s="10" t="n">
        <x:f>'站点明细'!$E216</x:f>
        <x:v>4308</x:v>
      </x:c>
      <x:c r="D469" s="10" t="n">
        <x:f>'站点明细'!$D216</x:f>
        <x:v>2216</x:v>
      </x:c>
      <x:c r="E469" s="10" t="n">
        <x:f>'站点明细'!$E448</x:f>
        <x:v>1442</x:v>
      </x:c>
      <x:c r="F469" s="10" t="n">
        <x:f>'站点明细'!$D448</x:f>
        <x:v>851</x:v>
      </x:c>
      <x:c r="G469" s="10" t="n">
        <x:f>'站点明细'!$E680</x:f>
        <x:v>876</x:v>
      </x:c>
      <x:c r="H469" s="10" t="n">
        <x:f>'站点明细'!$D680</x:f>
        <x:v>506</x:v>
      </x:c>
      <x:c r="I469" s="10" t="n">
        <x:f>'站点明细'!$E912</x:f>
        <x:v>3</x:v>
      </x:c>
      <x:c r="J469" s="10" t="n">
        <x:f>'站点明细'!$D912</x:f>
        <x:v>3</x:v>
      </x:c>
      <x:c r="K469" s="10" t="n">
        <x:f>'站点明细'!$E1144</x:f>
        <x:v>21</x:v>
      </x:c>
      <x:c r="L469" s="10" t="n">
        <x:f>'站点明细'!$D1144</x:f>
        <x:v>10</x:v>
      </x:c>
      <x:c r="M469" s="10" t="n">
        <x:f>'站点明细'!$E1376</x:f>
        <x:v>15</x:v>
      </x:c>
      <x:c r="N469" s="10" t="n">
        <x:f>'站点明细'!$D1376</x:f>
        <x:v>11</x:v>
      </x:c>
      <x:c r="O469" s="10" t="n">
        <x:f>'站点明细'!$E1608</x:f>
        <x:v>14</x:v>
      </x:c>
      <x:c r="P469" s="10" t="n">
        <x:f>'站点明细'!$D1608</x:f>
        <x:v>13</x:v>
      </x:c>
      <x:c r="Q469" s="11" t="n">
        <x:f>'站点明细'!$F216</x:f>
        <x:v>28671.2</x:v>
      </x:c>
      <x:c r="R469" s="11" t="n">
        <x:f>'站点明细'!$F448</x:f>
        <x:v>14584.73</x:v>
      </x:c>
      <x:c r="S469" s="11" t="n">
        <x:f>'站点明细'!$F680</x:f>
        <x:v>7957.23</x:v>
      </x:c>
      <x:c r="T469" s="11" t="n">
        <x:f>'站点明细'!$F912</x:f>
        <x:v>59.68</x:v>
      </x:c>
      <x:c r="U469" s="11" t="n">
        <x:f>'站点明细'!$F1144</x:f>
        <x:v>199.45</x:v>
      </x:c>
      <x:c r="V469" s="11" t="n">
        <x:f>'站点明细'!$F1376</x:f>
        <x:v>896.43</x:v>
      </x:c>
      <x:c r="W469" s="11" t="n">
        <x:f>'站点明细'!$F1608</x:f>
        <x:v>1041.22</x:v>
      </x:c>
    </x:row>
    <x:row r="470">
      <x:c r="A470" t="str">
        <x:f>TEXT($B470,"mm-dd")</x:f>
        <x:v>08-04</x:v>
      </x:c>
      <x:c r="B470" s="9" t="n">
        <x:f>'站点明细'!$C217</x:f>
        <x:v>46238</x:v>
      </x:c>
      <x:c r="C470" s="10" t="n">
        <x:f>'站点明细'!$E217</x:f>
        <x:v>3298</x:v>
      </x:c>
      <x:c r="D470" s="10" t="n">
        <x:f>'站点明细'!$D217</x:f>
        <x:v>1664</x:v>
      </x:c>
      <x:c r="E470" s="10" t="n">
        <x:f>'站点明细'!$E449</x:f>
        <x:v>1383</x:v>
      </x:c>
      <x:c r="F470" s="10" t="n">
        <x:f>'站点明细'!$D449</x:f>
        <x:v>735</x:v>
      </x:c>
      <x:c r="G470" s="10" t="n">
        <x:f>'站点明细'!$E681</x:f>
        <x:v>821</x:v>
      </x:c>
      <x:c r="H470" s="10" t="n">
        <x:f>'站点明细'!$D681</x:f>
        <x:v>481</x:v>
      </x:c>
      <x:c r="I470" s="10" t="n">
        <x:f>'站点明细'!$E913</x:f>
        <x:v>3</x:v>
      </x:c>
      <x:c r="J470" s="10" t="n">
        <x:f>'站点明细'!$D913</x:f>
        <x:v>1</x:v>
      </x:c>
      <x:c r="K470" s="10" t="n">
        <x:f>'站点明细'!$E1145</x:f>
        <x:v>246</x:v>
      </x:c>
      <x:c r="L470" s="10" t="n">
        <x:f>'站点明细'!$D1145</x:f>
        <x:v>76</x:v>
      </x:c>
      <x:c r="M470" s="10" t="n">
        <x:f>'站点明细'!$E1377</x:f>
        <x:v>95</x:v>
      </x:c>
      <x:c r="N470" s="10" t="n">
        <x:f>'站点明细'!$D1377</x:f>
        <x:v>78</x:v>
      </x:c>
      <x:c r="O470" s="10" t="n">
        <x:f>'站点明细'!$E1609</x:f>
        <x:v>8</x:v>
      </x:c>
      <x:c r="P470" s="10" t="n">
        <x:f>'站点明细'!$D1609</x:f>
        <x:v>8</x:v>
      </x:c>
      <x:c r="Q470" s="11" t="n">
        <x:f>'站点明细'!$F217</x:f>
        <x:v>22145.3</x:v>
      </x:c>
      <x:c r="R470" s="11" t="n">
        <x:f>'站点明细'!$F449</x:f>
        <x:v>13490.32</x:v>
      </x:c>
      <x:c r="S470" s="11" t="n">
        <x:f>'站点明细'!$F681</x:f>
        <x:v>6583.84</x:v>
      </x:c>
      <x:c r="T470" s="11" t="n">
        <x:f>'站点明细'!$F913</x:f>
        <x:v>30.98</x:v>
      </x:c>
      <x:c r="U470" s="11" t="n">
        <x:f>'站点明细'!$F1145</x:f>
        <x:v>2557.93</x:v>
      </x:c>
      <x:c r="V470" s="11" t="n">
        <x:f>'站点明细'!$F1377</x:f>
        <x:v>4516.16</x:v>
      </x:c>
      <x:c r="W470" s="11" t="n">
        <x:f>'站点明细'!$F1609</x:f>
        <x:v>721.82</x:v>
      </x:c>
    </x:row>
    <x:row r="471">
      <x:c r="A471" t="str">
        <x:f>TEXT($B471,"mm-dd")</x:f>
        <x:v>08-05</x:v>
      </x:c>
      <x:c r="B471" s="9" t="n">
        <x:f>'站点明细'!$C218</x:f>
        <x:v>46239</x:v>
      </x:c>
      <x:c r="C471" s="10" t="n">
        <x:f>'站点明细'!$E218</x:f>
        <x:v>3677</x:v>
      </x:c>
      <x:c r="D471" s="10" t="n">
        <x:f>'站点明细'!$D218</x:f>
        <x:v>1943</x:v>
      </x:c>
      <x:c r="E471" s="10" t="n">
        <x:f>'站点明细'!$E450</x:f>
        <x:v>1403</x:v>
      </x:c>
      <x:c r="F471" s="10" t="n">
        <x:f>'站点明细'!$D450</x:f>
        <x:v>773</x:v>
      </x:c>
      <x:c r="G471" s="10" t="n">
        <x:f>'站点明细'!$E682</x:f>
        <x:v>698</x:v>
      </x:c>
      <x:c r="H471" s="10" t="n">
        <x:f>'站点明细'!$D682</x:f>
        <x:v>379</x:v>
      </x:c>
      <x:c r="I471" s="10" t="n">
        <x:f>'站点明细'!$E914</x:f>
        <x:v>1</x:v>
      </x:c>
      <x:c r="J471" s="10" t="n">
        <x:f>'站点明细'!$D914</x:f>
        <x:v>1</x:v>
      </x:c>
      <x:c r="K471" s="10" t="n">
        <x:f>'站点明细'!$E1146</x:f>
        <x:v>83</x:v>
      </x:c>
      <x:c r="L471" s="10" t="n">
        <x:f>'站点明细'!$D1146</x:f>
        <x:v>44</x:v>
      </x:c>
      <x:c r="M471" s="10" t="n">
        <x:f>'站点明细'!$E1378</x:f>
        <x:v>45</x:v>
      </x:c>
      <x:c r="N471" s="10" t="n">
        <x:f>'站点明细'!$D1378</x:f>
        <x:v>37</x:v>
      </x:c>
      <x:c r="O471" s="10" t="n">
        <x:f>'站点明细'!$E1610</x:f>
        <x:v>4</x:v>
      </x:c>
      <x:c r="P471" s="10" t="n">
        <x:f>'站点明细'!$D1610</x:f>
        <x:v>4</x:v>
      </x:c>
      <x:c r="Q471" s="11" t="n">
        <x:f>'站点明细'!$F218</x:f>
        <x:v>25995.98</x:v>
      </x:c>
      <x:c r="R471" s="11" t="n">
        <x:f>'站点明细'!$F450</x:f>
        <x:v>13904.79</x:v>
      </x:c>
      <x:c r="S471" s="11" t="n">
        <x:f>'站点明细'!$F682</x:f>
        <x:v>5713.22</x:v>
      </x:c>
      <x:c r="T471" s="11" t="n">
        <x:f>'站点明细'!$F914</x:f>
        <x:v>14.72</x:v>
      </x:c>
      <x:c r="U471" s="11" t="n">
        <x:f>'站点明细'!$F1146</x:f>
        <x:v>886.32</x:v>
      </x:c>
      <x:c r="V471" s="11" t="n">
        <x:f>'站点明细'!$F1378</x:f>
        <x:v>2326.22</x:v>
      </x:c>
      <x:c r="W471" s="11" t="n">
        <x:f>'站点明细'!$F1610</x:f>
        <x:v>363.13</x:v>
      </x:c>
    </x:row>
    <x:row r="472">
      <x:c r="A472" t="str">
        <x:f>TEXT($B472,"mm-dd")</x:f>
        <x:v>08-06</x:v>
      </x:c>
      <x:c r="B472" s="9" t="n">
        <x:f>'站点明细'!$C219</x:f>
        <x:v>46240</x:v>
      </x:c>
      <x:c r="C472" s="10" t="n">
        <x:f>'站点明细'!$E219</x:f>
        <x:v>3563</x:v>
      </x:c>
      <x:c r="D472" s="10" t="n">
        <x:f>'站点明细'!$D219</x:f>
        <x:v>1867</x:v>
      </x:c>
      <x:c r="E472" s="10" t="n">
        <x:f>'站点明细'!$E451</x:f>
        <x:v>1782</x:v>
      </x:c>
      <x:c r="F472" s="10" t="n">
        <x:f>'站点明细'!$D451</x:f>
        <x:v>917</x:v>
      </x:c>
      <x:c r="G472" s="10" t="n">
        <x:f>'站点明细'!$E683</x:f>
        <x:v>691</x:v>
      </x:c>
      <x:c r="H472" s="10" t="n">
        <x:f>'站点明细'!$D683</x:f>
        <x:v>388</x:v>
      </x:c>
      <x:c r="I472" s="10" t="n">
        <x:f>'站点明细'!$E915</x:f>
        <x:v>4</x:v>
      </x:c>
      <x:c r="J472" s="10" t="n">
        <x:f>'站点明细'!$D915</x:f>
        <x:v>4</x:v>
      </x:c>
      <x:c r="K472" s="10" t="n">
        <x:f>'站点明细'!$E1147</x:f>
        <x:v>94</x:v>
      </x:c>
      <x:c r="L472" s="10" t="n">
        <x:f>'站点明细'!$D1147</x:f>
        <x:v>45</x:v>
      </x:c>
      <x:c r="M472" s="10" t="n">
        <x:f>'站点明细'!$E1379</x:f>
        <x:v>39</x:v>
      </x:c>
      <x:c r="N472" s="10" t="n">
        <x:f>'站点明细'!$D1379</x:f>
        <x:v>32</x:v>
      </x:c>
      <x:c r="O472" s="10" t="n">
        <x:f>'站点明细'!$E1611</x:f>
        <x:v>12</x:v>
      </x:c>
      <x:c r="P472" s="10" t="n">
        <x:f>'站点明细'!$D1611</x:f>
        <x:v>11</x:v>
      </x:c>
      <x:c r="Q472" s="11" t="n">
        <x:f>'站点明细'!$F219</x:f>
        <x:v>24847.91</x:v>
      </x:c>
      <x:c r="R472" s="11" t="n">
        <x:f>'站点明细'!$F451</x:f>
        <x:v>16405.61</x:v>
      </x:c>
      <x:c r="S472" s="11" t="n">
        <x:f>'站点明细'!$F683</x:f>
        <x:v>5881.15</x:v>
      </x:c>
      <x:c r="T472" s="11" t="n">
        <x:f>'站点明细'!$F915</x:f>
        <x:v>63.97</x:v>
      </x:c>
      <x:c r="U472" s="11" t="n">
        <x:f>'站点明细'!$F1147</x:f>
        <x:v>874.56</x:v>
      </x:c>
      <x:c r="V472" s="11" t="n">
        <x:f>'站点明细'!$F1379</x:f>
        <x:v>2261.55</x:v>
      </x:c>
      <x:c r="W472" s="11" t="n">
        <x:f>'站点明细'!$F1611</x:f>
        <x:v>951.06</x:v>
      </x:c>
    </x:row>
    <x:row r="473">
      <x:c r="A473" t="str">
        <x:f>TEXT($B473,"mm-dd")</x:f>
        <x:v>08-07</x:v>
      </x:c>
      <x:c r="B473" s="9" t="n">
        <x:f>'站点明细'!$C220</x:f>
        <x:v>46241</x:v>
      </x:c>
      <x:c r="C473" s="10" t="n">
        <x:f>'站点明细'!$E220</x:f>
        <x:v>4400</x:v>
      </x:c>
      <x:c r="D473" s="10" t="n">
        <x:f>'站点明细'!$D220</x:f>
        <x:v>2314</x:v>
      </x:c>
      <x:c r="E473" s="10" t="n">
        <x:f>'站点明细'!$E452</x:f>
        <x:v>1695</x:v>
      </x:c>
      <x:c r="F473" s="10" t="n">
        <x:f>'站点明细'!$D452</x:f>
        <x:v>914</x:v>
      </x:c>
      <x:c r="G473" s="10" t="n">
        <x:f>'站点明细'!$E684</x:f>
        <x:v>634</x:v>
      </x:c>
      <x:c r="H473" s="10" t="n">
        <x:f>'站点明细'!$D684</x:f>
        <x:v>386</x:v>
      </x:c>
      <x:c r="I473" s="10" t="n">
        <x:f>'站点明细'!$E916</x:f>
        <x:v>3</x:v>
      </x:c>
      <x:c r="J473" s="10" t="n">
        <x:f>'站点明细'!$D916</x:f>
        <x:v>1</x:v>
      </x:c>
      <x:c r="K473" s="10" t="n">
        <x:f>'站点明细'!$E1148</x:f>
        <x:v>63</x:v>
      </x:c>
      <x:c r="L473" s="10" t="n">
        <x:f>'站点明细'!$D1148</x:f>
        <x:v>32</x:v>
      </x:c>
      <x:c r="M473" s="10" t="n">
        <x:f>'站点明细'!$E1380</x:f>
        <x:v>33</x:v>
      </x:c>
      <x:c r="N473" s="10" t="n">
        <x:f>'站点明细'!$D1380</x:f>
        <x:v>30</x:v>
      </x:c>
      <x:c r="O473" s="10" t="n">
        <x:f>'站点明细'!$E1612</x:f>
        <x:v>2</x:v>
      </x:c>
      <x:c r="P473" s="10" t="n">
        <x:f>'站点明细'!$D1612</x:f>
        <x:v>2</x:v>
      </x:c>
      <x:c r="Q473" s="11" t="n">
        <x:f>'站点明细'!$F220</x:f>
        <x:v>29988.98</x:v>
      </x:c>
      <x:c r="R473" s="11" t="n">
        <x:f>'站点明细'!$F452</x:f>
        <x:v>16326.57</x:v>
      </x:c>
      <x:c r="S473" s="11" t="n">
        <x:f>'站点明细'!$F684</x:f>
        <x:v>5353</x:v>
      </x:c>
      <x:c r="T473" s="11" t="n">
        <x:f>'站点明细'!$F916</x:f>
        <x:v>30.98</x:v>
      </x:c>
      <x:c r="U473" s="11" t="n">
        <x:f>'站点明细'!$F1148</x:f>
        <x:v>605.99</x:v>
      </x:c>
      <x:c r="V473" s="11" t="n">
        <x:f>'站点明细'!$F1380</x:f>
        <x:v>1806.17</x:v>
      </x:c>
      <x:c r="W473" s="11" t="n">
        <x:f>'站点明细'!$F1612</x:f>
        <x:v>109.2</x:v>
      </x:c>
    </x:row>
    <x:row r="474">
      <x:c r="A474" t="str">
        <x:f>TEXT($B474,"mm-dd")</x:f>
        <x:v>08-08</x:v>
      </x:c>
      <x:c r="B474" s="9" t="n">
        <x:f>'站点明细'!$C221</x:f>
        <x:v>46242</x:v>
      </x:c>
      <x:c r="C474" s="10" t="n">
        <x:f>'站点明细'!$E221</x:f>
        <x:v>4771</x:v>
      </x:c>
      <x:c r="D474" s="10" t="n">
        <x:f>'站点明细'!$D221</x:f>
        <x:v>2541</x:v>
      </x:c>
      <x:c r="E474" s="10" t="n">
        <x:f>'站点明细'!$E453</x:f>
        <x:v>1684</x:v>
      </x:c>
      <x:c r="F474" s="10" t="n">
        <x:f>'站点明细'!$D453</x:f>
        <x:v>936</x:v>
      </x:c>
      <x:c r="G474" s="10" t="n">
        <x:f>'站点明细'!$E685</x:f>
        <x:v>908</x:v>
      </x:c>
      <x:c r="H474" s="10" t="n">
        <x:f>'站点明细'!$D685</x:f>
        <x:v>438</x:v>
      </x:c>
      <x:c r="I474" s="10" t="n">
        <x:f>'站点明细'!$E917</x:f>
        <x:v>4</x:v>
      </x:c>
      <x:c r="J474" s="10" t="n">
        <x:f>'站点明细'!$D917</x:f>
        <x:v>2</x:v>
      </x:c>
      <x:c r="K474" s="10" t="n">
        <x:f>'站点明细'!$E1149</x:f>
        <x:v>65</x:v>
      </x:c>
      <x:c r="L474" s="10" t="n">
        <x:f>'站点明细'!$D1149</x:f>
        <x:v>38</x:v>
      </x:c>
      <x:c r="M474" s="10" t="n">
        <x:f>'站点明细'!$E1381</x:f>
        <x:v>54</x:v>
      </x:c>
      <x:c r="N474" s="10" t="n">
        <x:f>'站点明细'!$D1381</x:f>
        <x:v>45</x:v>
      </x:c>
      <x:c r="O474" s="10" t="n">
        <x:f>'站点明细'!$E1613</x:f>
        <x:v>1</x:v>
      </x:c>
      <x:c r="P474" s="10" t="n">
        <x:f>'站点明细'!$D1613</x:f>
        <x:v>1</x:v>
      </x:c>
      <x:c r="Q474" s="11" t="n">
        <x:f>'站点明细'!$F221</x:f>
        <x:v>33611.22</x:v>
      </x:c>
      <x:c r="R474" s="11" t="n">
        <x:f>'站点明细'!$F453</x:f>
        <x:v>18658.15</x:v>
      </x:c>
      <x:c r="S474" s="11" t="n">
        <x:f>'站点明细'!$F685</x:f>
        <x:v>7320.95</x:v>
      </x:c>
      <x:c r="T474" s="11" t="n">
        <x:f>'站点明细'!$F917</x:f>
        <x:v>45.7</x:v>
      </x:c>
      <x:c r="U474" s="11" t="n">
        <x:f>'站点明细'!$F1149</x:f>
        <x:v>656.93</x:v>
      </x:c>
      <x:c r="V474" s="11" t="n">
        <x:f>'站点明细'!$F1381</x:f>
        <x:v>3194.98</x:v>
      </x:c>
      <x:c r="W474" s="11" t="n">
        <x:f>'站点明细'!$F1613</x:f>
        <x:v>45.95</x:v>
      </x:c>
    </x:row>
    <x:row r="475">
      <x:c r="A475" t="str">
        <x:f>TEXT($B475,"mm-dd")</x:f>
        <x:v>08-09</x:v>
      </x:c>
      <x:c r="B475" s="9" t="n">
        <x:f>'站点明细'!$C222</x:f>
        <x:v>46243</x:v>
      </x:c>
      <x:c r="C475" s="10" t="n">
        <x:f>'站点明细'!$E222</x:f>
        <x:v>4088</x:v>
      </x:c>
      <x:c r="D475" s="10" t="n">
        <x:f>'站点明细'!$D222</x:f>
        <x:v>2254</x:v>
      </x:c>
      <x:c r="E475" s="10" t="n">
        <x:f>'站点明细'!$E454</x:f>
        <x:v>0</x:v>
      </x:c>
      <x:c r="F475" s="10" t="n">
        <x:f>'站点明细'!$D454</x:f>
        <x:v>0</x:v>
      </x:c>
      <x:c r="G475" s="10" t="n">
        <x:f>'站点明细'!$E686</x:f>
        <x:v>873</x:v>
      </x:c>
      <x:c r="H475" s="10" t="n">
        <x:f>'站点明细'!$D686</x:f>
        <x:v>510</x:v>
      </x:c>
      <x:c r="I475" s="10" t="n">
        <x:f>'站点明细'!$E918</x:f>
        <x:v>0</x:v>
      </x:c>
      <x:c r="J475" s="10" t="n">
        <x:f>'站点明细'!$D918</x:f>
        <x:v>0</x:v>
      </x:c>
      <x:c r="K475" s="10" t="n">
        <x:f>'站点明细'!$E1150</x:f>
        <x:v>54</x:v>
      </x:c>
      <x:c r="L475" s="10" t="n">
        <x:f>'站点明细'!$D1150</x:f>
        <x:v>30</x:v>
      </x:c>
      <x:c r="M475" s="10" t="n">
        <x:f>'站点明细'!$E1382</x:f>
        <x:v>38</x:v>
      </x:c>
      <x:c r="N475" s="10" t="n">
        <x:f>'站点明细'!$D1382</x:f>
        <x:v>32</x:v>
      </x:c>
      <x:c r="O475" s="10" t="n">
        <x:f>'站点明细'!$E1614</x:f>
        <x:v>0</x:v>
      </x:c>
      <x:c r="P475" s="10" t="n">
        <x:f>'站点明细'!$D1614</x:f>
        <x:v>0</x:v>
      </x:c>
      <x:c r="Q475" s="11" t="n">
        <x:f>'站点明细'!$F222</x:f>
        <x:v>30773.04</x:v>
      </x:c>
      <x:c r="R475" s="11" t="n">
        <x:f>'站点明细'!$F454</x:f>
        <x:v>0</x:v>
      </x:c>
      <x:c r="S475" s="11" t="n">
        <x:f>'站点明细'!$F686</x:f>
        <x:v>7930.71</x:v>
      </x:c>
      <x:c r="T475" s="11" t="n">
        <x:f>'站点明细'!$F918</x:f>
        <x:v>0</x:v>
      </x:c>
      <x:c r="U475" s="11" t="n">
        <x:f>'站点明细'!$F1150</x:f>
        <x:v>658.08</x:v>
      </x:c>
      <x:c r="V475" s="11" t="n">
        <x:f>'站点明细'!$F1382</x:f>
        <x:v>1949.35</x:v>
      </x:c>
      <x:c r="W475" s="11" t="n">
        <x:f>'站点明细'!$F1614</x:f>
        <x:v>0</x:v>
      </x:c>
    </x:row>
    <x:row r="476">
      <x:c r="A476" t="str">
        <x:f>TEXT($B476,"mm-dd")</x:f>
        <x:v>08-10</x:v>
      </x:c>
      <x:c r="B476" s="9" t="n">
        <x:f>'站点明细'!$C223</x:f>
        <x:v>46244</x:v>
      </x:c>
      <x:c r="C476" s="10" t="n">
        <x:f>'站点明细'!$E223</x:f>
        <x:v>2748</x:v>
      </x:c>
      <x:c r="D476" s="10" t="n">
        <x:f>'站点明细'!$D223</x:f>
        <x:v>1555</x:v>
      </x:c>
      <x:c r="E476" s="10" t="n">
        <x:f>'站点明细'!$E455</x:f>
        <x:v>3233</x:v>
      </x:c>
      <x:c r="F476" s="10" t="n">
        <x:f>'站点明细'!$D455</x:f>
        <x:v>1739</x:v>
      </x:c>
      <x:c r="G476" s="10" t="n">
        <x:f>'站点明细'!$E687</x:f>
        <x:v>941</x:v>
      </x:c>
      <x:c r="H476" s="10" t="n">
        <x:f>'站点明细'!$D687</x:f>
        <x:v>575</x:v>
      </x:c>
      <x:c r="I476" s="10" t="n">
        <x:f>'站点明细'!$E919</x:f>
        <x:v>1</x:v>
      </x:c>
      <x:c r="J476" s="10" t="n">
        <x:f>'站点明细'!$D919</x:f>
        <x:v>1</x:v>
      </x:c>
      <x:c r="K476" s="10" t="n">
        <x:f>'站点明细'!$E1151</x:f>
        <x:v>461</x:v>
      </x:c>
      <x:c r="L476" s="10" t="n">
        <x:f>'站点明细'!$D1151</x:f>
        <x:v>348</x:v>
      </x:c>
      <x:c r="M476" s="10" t="n">
        <x:f>'站点明细'!$E1383</x:f>
        <x:v>30</x:v>
      </x:c>
      <x:c r="N476" s="10" t="n">
        <x:f>'站点明细'!$D1383</x:f>
        <x:v>19</x:v>
      </x:c>
      <x:c r="O476" s="10" t="n">
        <x:f>'站点明细'!$E1615</x:f>
        <x:v>5</x:v>
      </x:c>
      <x:c r="P476" s="10" t="n">
        <x:f>'站点明细'!$D1615</x:f>
        <x:v>4</x:v>
      </x:c>
      <x:c r="Q476" s="11" t="n">
        <x:f>'站点明细'!$F223</x:f>
        <x:v>20812.78</x:v>
      </x:c>
      <x:c r="R476" s="11" t="n">
        <x:f>'站点明细'!$F455</x:f>
        <x:v>32331.84</x:v>
      </x:c>
      <x:c r="S476" s="11" t="n">
        <x:f>'站点明细'!$F687</x:f>
        <x:v>8749.39</x:v>
      </x:c>
      <x:c r="T476" s="11" t="n">
        <x:f>'站点明细'!$F919</x:f>
        <x:v>14.74</x:v>
      </x:c>
      <x:c r="U476" s="11" t="n">
        <x:f>'站点明细'!$F1151</x:f>
        <x:v>5310.69</x:v>
      </x:c>
      <x:c r="V476" s="11" t="n">
        <x:f>'站点明细'!$F1383</x:f>
        <x:v>1869.76</x:v>
      </x:c>
      <x:c r="W476" s="11" t="n">
        <x:f>'站点明细'!$F1615</x:f>
        <x:v>404.14</x:v>
      </x:c>
    </x:row>
    <x:row r="477">
      <x:c r="A477" t="str">
        <x:f>TEXT($B477,"mm-dd")</x:f>
        <x:v>08-11</x:v>
      </x:c>
      <x:c r="B477" s="9" t="n">
        <x:f>'站点明细'!$C224</x:f>
        <x:v>46245</x:v>
      </x:c>
      <x:c r="C477" s="10" t="n">
        <x:f>'站点明细'!$E224</x:f>
        <x:v>3715</x:v>
      </x:c>
      <x:c r="D477" s="10" t="n">
        <x:f>'站点明细'!$D224</x:f>
        <x:v>2041</x:v>
      </x:c>
      <x:c r="E477" s="10" t="n">
        <x:f>'站点明细'!$E456</x:f>
        <x:v>1522</x:v>
      </x:c>
      <x:c r="F477" s="10" t="n">
        <x:f>'站点明细'!$D456</x:f>
        <x:v>834</x:v>
      </x:c>
      <x:c r="G477" s="10" t="n">
        <x:f>'站点明细'!$E688</x:f>
        <x:v>838</x:v>
      </x:c>
      <x:c r="H477" s="10" t="n">
        <x:f>'站点明细'!$D688</x:f>
        <x:v>504</x:v>
      </x:c>
      <x:c r="I477" s="10" t="n">
        <x:f>'站点明细'!$E920</x:f>
        <x:v>0</x:v>
      </x:c>
      <x:c r="J477" s="10" t="n">
        <x:f>'站点明细'!$D920</x:f>
        <x:v>0</x:v>
      </x:c>
      <x:c r="K477" s="10" t="n">
        <x:f>'站点明细'!$E1152</x:f>
        <x:v>164</x:v>
      </x:c>
      <x:c r="L477" s="10" t="n">
        <x:f>'站点明细'!$D1152</x:f>
        <x:v>85</x:v>
      </x:c>
      <x:c r="M477" s="10" t="n">
        <x:f>'站点明细'!$E1384</x:f>
        <x:v>65</x:v>
      </x:c>
      <x:c r="N477" s="10" t="n">
        <x:f>'站点明细'!$D1384</x:f>
        <x:v>56</x:v>
      </x:c>
      <x:c r="O477" s="10" t="n">
        <x:f>'站点明细'!$E1616</x:f>
        <x:v>1</x:v>
      </x:c>
      <x:c r="P477" s="10" t="n">
        <x:f>'站点明细'!$D1616</x:f>
        <x:v>1</x:v>
      </x:c>
      <x:c r="Q477" s="11" t="n">
        <x:f>'站点明细'!$F224</x:f>
        <x:v>27086.08</x:v>
      </x:c>
      <x:c r="R477" s="11" t="n">
        <x:f>'站点明细'!$F456</x:f>
        <x:v>15183.57</x:v>
      </x:c>
      <x:c r="S477" s="11" t="n">
        <x:f>'站点明细'!$F688</x:f>
        <x:v>7904.18</x:v>
      </x:c>
      <x:c r="T477" s="11" t="n">
        <x:f>'站点明细'!$F920</x:f>
        <x:v>0</x:v>
      </x:c>
      <x:c r="U477" s="11" t="n">
        <x:f>'站点明细'!$F1152</x:f>
        <x:v>1401.19</x:v>
      </x:c>
      <x:c r="V477" s="11" t="n">
        <x:f>'站点明细'!$F1384</x:f>
        <x:v>2901.59</x:v>
      </x:c>
      <x:c r="W477" s="11" t="n">
        <x:f>'站点明细'!$F1616</x:f>
        <x:v>63.25</x:v>
      </x:c>
    </x:row>
    <x:row r="478">
      <x:c r="A478" t="str">
        <x:f>TEXT($B478,"mm-dd")</x:f>
        <x:v>08-12</x:v>
      </x:c>
      <x:c r="B478" s="9" t="n">
        <x:f>'站点明细'!$C225</x:f>
        <x:v>46246</x:v>
      </x:c>
      <x:c r="C478" s="10" t="n">
        <x:f>'站点明细'!$E225</x:f>
        <x:v>3520</x:v>
      </x:c>
      <x:c r="D478" s="10" t="n">
        <x:f>'站点明细'!$D225</x:f>
        <x:v>1937</x:v>
      </x:c>
      <x:c r="E478" s="10" t="n">
        <x:f>'站点明细'!$E457</x:f>
        <x:v>1276</x:v>
      </x:c>
      <x:c r="F478" s="10" t="n">
        <x:f>'站点明细'!$D457</x:f>
        <x:v>698</x:v>
      </x:c>
      <x:c r="G478" s="10" t="n">
        <x:f>'站点明细'!$E689</x:f>
        <x:v>691</x:v>
      </x:c>
      <x:c r="H478" s="10" t="n">
        <x:f>'站点明细'!$D689</x:f>
        <x:v>447</x:v>
      </x:c>
      <x:c r="I478" s="10" t="n">
        <x:f>'站点明细'!$E921</x:f>
        <x:v>2</x:v>
      </x:c>
      <x:c r="J478" s="10" t="n">
        <x:f>'站点明细'!$D921</x:f>
        <x:v>1</x:v>
      </x:c>
      <x:c r="K478" s="10" t="n">
        <x:f>'站点明细'!$E1153</x:f>
        <x:v>122</x:v>
      </x:c>
      <x:c r="L478" s="10" t="n">
        <x:f>'站点明细'!$D1153</x:f>
        <x:v>68</x:v>
      </x:c>
      <x:c r="M478" s="10" t="n">
        <x:f>'站点明细'!$E1385</x:f>
        <x:v>42</x:v>
      </x:c>
      <x:c r="N478" s="10" t="n">
        <x:f>'站点明细'!$D1385</x:f>
        <x:v>40</x:v>
      </x:c>
      <x:c r="O478" s="10" t="n">
        <x:f>'站点明细'!$E1617</x:f>
        <x:v>0</x:v>
      </x:c>
      <x:c r="P478" s="10" t="n">
        <x:f>'站点明细'!$D1617</x:f>
        <x:v>0</x:v>
      </x:c>
      <x:c r="Q478" s="11" t="n">
        <x:f>'站点明细'!$F225</x:f>
        <x:v>25097.93</x:v>
      </x:c>
      <x:c r="R478" s="11" t="n">
        <x:f>'站点明细'!$F457</x:f>
        <x:v>12601</x:v>
      </x:c>
      <x:c r="S478" s="11" t="n">
        <x:f>'站点明细'!$F689</x:f>
        <x:v>6897.78</x:v>
      </x:c>
      <x:c r="T478" s="11" t="n">
        <x:f>'站点明细'!$F921</x:f>
        <x:v>22.86</x:v>
      </x:c>
      <x:c r="U478" s="11" t="n">
        <x:f>'站点明细'!$F1153</x:f>
        <x:v>1066.25</x:v>
      </x:c>
      <x:c r="V478" s="11" t="n">
        <x:f>'站点明细'!$F1385</x:f>
        <x:v>2504.04</x:v>
      </x:c>
      <x:c r="W478" s="11" t="n">
        <x:f>'站点明细'!$F1617</x:f>
        <x:v>0</x:v>
      </x:c>
    </x:row>
    <x:row r="479">
      <x:c r="A479" t="str">
        <x:f>TEXT($B479,"mm-dd")</x:f>
        <x:v>08-13</x:v>
      </x:c>
      <x:c r="B479" s="9" t="n">
        <x:f>'站点明细'!$C226</x:f>
        <x:v>46247</x:v>
      </x:c>
      <x:c r="C479" s="10" t="n">
        <x:f>'站点明细'!$E226</x:f>
        <x:v>3082</x:v>
      </x:c>
      <x:c r="D479" s="10" t="n">
        <x:f>'站点明细'!$D226</x:f>
        <x:v>1737</x:v>
      </x:c>
      <x:c r="E479" s="10" t="n">
        <x:f>'站点明细'!$E458</x:f>
        <x:v>1707</x:v>
      </x:c>
      <x:c r="F479" s="10" t="n">
        <x:f>'站点明细'!$D458</x:f>
        <x:v>871</x:v>
      </x:c>
      <x:c r="G479" s="10" t="n">
        <x:f>'站点明细'!$E690</x:f>
        <x:v>911</x:v>
      </x:c>
      <x:c r="H479" s="10" t="n">
        <x:f>'站点明细'!$D690</x:f>
        <x:v>553</x:v>
      </x:c>
      <x:c r="I479" s="10" t="n">
        <x:f>'站点明细'!$E922</x:f>
        <x:v>2</x:v>
      </x:c>
      <x:c r="J479" s="10" t="n">
        <x:f>'站点明细'!$D922</x:f>
        <x:v>1</x:v>
      </x:c>
      <x:c r="K479" s="10" t="n">
        <x:f>'站点明细'!$E1154</x:f>
        <x:v>180</x:v>
      </x:c>
      <x:c r="L479" s="10" t="n">
        <x:f>'站点明细'!$D1154</x:f>
        <x:v>96</x:v>
      </x:c>
      <x:c r="M479" s="10" t="n">
        <x:f>'站点明细'!$E1386</x:f>
        <x:v>35</x:v>
      </x:c>
      <x:c r="N479" s="10" t="n">
        <x:f>'站点明细'!$D1386</x:f>
        <x:v>31</x:v>
      </x:c>
      <x:c r="O479" s="10" t="n">
        <x:f>'站点明细'!$E1618</x:f>
        <x:v>4</x:v>
      </x:c>
      <x:c r="P479" s="10" t="n">
        <x:f>'站点明细'!$D1618</x:f>
        <x:v>4</x:v>
      </x:c>
      <x:c r="Q479" s="11" t="n">
        <x:f>'站点明细'!$F226</x:f>
        <x:v>22469.55</x:v>
      </x:c>
      <x:c r="R479" s="11" t="n">
        <x:f>'站点明细'!$F458</x:f>
        <x:v>15860.5</x:v>
      </x:c>
      <x:c r="S479" s="11" t="n">
        <x:f>'站点明细'!$F690</x:f>
        <x:v>8638.38</x:v>
      </x:c>
      <x:c r="T479" s="11" t="n">
        <x:f>'站点明细'!$F922</x:f>
        <x:v>33.04</x:v>
      </x:c>
      <x:c r="U479" s="11" t="n">
        <x:f>'站点明细'!$F1154</x:f>
        <x:v>1510.21</x:v>
      </x:c>
      <x:c r="V479" s="11" t="n">
        <x:f>'站点明细'!$F1386</x:f>
        <x:v>2181.12</x:v>
      </x:c>
      <x:c r="W479" s="11" t="n">
        <x:f>'站点明细'!$F1618</x:f>
        <x:v>327.28</x:v>
      </x:c>
    </x:row>
    <x:row r="480">
      <x:c r="A480" t="str">
        <x:f>TEXT($B480,"mm-dd")</x:f>
        <x:v>08-14</x:v>
      </x:c>
      <x:c r="B480" s="9" t="n">
        <x:f>'站点明细'!$C227</x:f>
        <x:v>46248</x:v>
      </x:c>
      <x:c r="C480" s="10" t="n">
        <x:f>'站点明细'!$E227</x:f>
        <x:v>3787</x:v>
      </x:c>
      <x:c r="D480" s="10" t="n">
        <x:f>'站点明细'!$D227</x:f>
        <x:v>2070</x:v>
      </x:c>
      <x:c r="E480" s="10" t="n">
        <x:f>'站点明细'!$E459</x:f>
        <x:v>1428</x:v>
      </x:c>
      <x:c r="F480" s="10" t="n">
        <x:f>'站点明细'!$D459</x:f>
        <x:v>784</x:v>
      </x:c>
      <x:c r="G480" s="10" t="n">
        <x:f>'站点明细'!$E691</x:f>
        <x:v>808</x:v>
      </x:c>
      <x:c r="H480" s="10" t="n">
        <x:f>'站点明细'!$D691</x:f>
        <x:v>477</x:v>
      </x:c>
      <x:c r="I480" s="10" t="n">
        <x:f>'站点明细'!$E923</x:f>
        <x:v>5</x:v>
      </x:c>
      <x:c r="J480" s="10" t="n">
        <x:f>'站点明细'!$D923</x:f>
        <x:v>2</x:v>
      </x:c>
      <x:c r="K480" s="10" t="n">
        <x:f>'站点明细'!$E1155</x:f>
        <x:v>191</x:v>
      </x:c>
      <x:c r="L480" s="10" t="n">
        <x:f>'站点明细'!$D1155</x:f>
        <x:v>104</x:v>
      </x:c>
      <x:c r="M480" s="10" t="n">
        <x:f>'站点明细'!$E1387</x:f>
        <x:v>41</x:v>
      </x:c>
      <x:c r="N480" s="10" t="n">
        <x:f>'站点明细'!$D1387</x:f>
        <x:v>38</x:v>
      </x:c>
      <x:c r="O480" s="10" t="n">
        <x:f>'站点明细'!$E1619</x:f>
        <x:v>2</x:v>
      </x:c>
      <x:c r="P480" s="10" t="n">
        <x:f>'站点明细'!$D1619</x:f>
        <x:v>1</x:v>
      </x:c>
      <x:c r="Q480" s="11" t="n">
        <x:f>'站点明细'!$F227</x:f>
        <x:v>26724.97</x:v>
      </x:c>
      <x:c r="R480" s="11" t="n">
        <x:f>'站点明细'!$F459</x:f>
        <x:v>13840.18</x:v>
      </x:c>
      <x:c r="S480" s="11" t="n">
        <x:f>'站点明细'!$F691</x:f>
        <x:v>7420.35</x:v>
      </x:c>
      <x:c r="T480" s="11" t="n">
        <x:f>'站点明细'!$F923</x:f>
        <x:v>51.34</x:v>
      </x:c>
      <x:c r="U480" s="11" t="n">
        <x:f>'站点明细'!$F1155</x:f>
        <x:v>1551.47</x:v>
      </x:c>
      <x:c r="V480" s="11" t="n">
        <x:f>'站点明细'!$F1387</x:f>
        <x:v>2466.14</x:v>
      </x:c>
      <x:c r="W480" s="11" t="n">
        <x:f>'站点明细'!$F1619</x:f>
        <x:v>256.13</x:v>
      </x:c>
    </x:row>
    <x:row r="481">
      <x:c r="A481" t="str">
        <x:f>TEXT($B481,"mm-dd")</x:f>
        <x:v>08-15</x:v>
      </x:c>
      <x:c r="B481" s="9" t="n">
        <x:f>'站点明细'!$C228</x:f>
        <x:v>46249</x:v>
      </x:c>
      <x:c r="C481" s="10" t="n">
        <x:f>'站点明细'!$E228</x:f>
        <x:v>3131</x:v>
      </x:c>
      <x:c r="D481" s="10" t="n">
        <x:f>'站点明细'!$D228</x:f>
        <x:v>1711</x:v>
      </x:c>
      <x:c r="E481" s="10" t="n">
        <x:f>'站点明细'!$E460</x:f>
        <x:v>1399</x:v>
      </x:c>
      <x:c r="F481" s="10" t="n">
        <x:f>'站点明细'!$D460</x:f>
        <x:v>782</x:v>
      </x:c>
      <x:c r="G481" s="10" t="n">
        <x:f>'站点明细'!$E692</x:f>
        <x:v>740</x:v>
      </x:c>
      <x:c r="H481" s="10" t="n">
        <x:f>'站点明细'!$D692</x:f>
        <x:v>425</x:v>
      </x:c>
      <x:c r="I481" s="10" t="n">
        <x:f>'站点明细'!$E924</x:f>
        <x:v>5</x:v>
      </x:c>
      <x:c r="J481" s="10" t="n">
        <x:f>'站点明细'!$D924</x:f>
        <x:v>1</x:v>
      </x:c>
      <x:c r="K481" s="10" t="n">
        <x:f>'站点明细'!$E1156</x:f>
        <x:v>144</x:v>
      </x:c>
      <x:c r="L481" s="10" t="n">
        <x:f>'站点明细'!$D1156</x:f>
        <x:v>73</x:v>
      </x:c>
      <x:c r="M481" s="10" t="n">
        <x:f>'站点明细'!$E1388</x:f>
        <x:v>57</x:v>
      </x:c>
      <x:c r="N481" s="10" t="n">
        <x:f>'站点明细'!$D1388</x:f>
        <x:v>46</x:v>
      </x:c>
      <x:c r="O481" s="10" t="n">
        <x:f>'站点明细'!$E1620</x:f>
        <x:v>0</x:v>
      </x:c>
      <x:c r="P481" s="10" t="n">
        <x:f>'站点明细'!$D1620</x:f>
        <x:v>0</x:v>
      </x:c>
      <x:c r="Q481" s="11" t="n">
        <x:f>'站点明细'!$F228</x:f>
        <x:v>22333.53</x:v>
      </x:c>
      <x:c r="R481" s="11" t="n">
        <x:f>'站点明细'!$F460</x:f>
        <x:v>14242.2</x:v>
      </x:c>
      <x:c r="S481" s="11" t="n">
        <x:f>'站点明细'!$F692</x:f>
        <x:v>7148.46</x:v>
      </x:c>
      <x:c r="T481" s="11" t="n">
        <x:f>'站点明细'!$F924</x:f>
        <x:v>47.25</x:v>
      </x:c>
      <x:c r="U481" s="11" t="n">
        <x:f>'站点明细'!$F1156</x:f>
        <x:v>1254.29</x:v>
      </x:c>
      <x:c r="V481" s="11" t="n">
        <x:f>'站点明细'!$F1388</x:f>
        <x:v>3359.93</x:v>
      </x:c>
      <x:c r="W481" s="11" t="n">
        <x:f>'站点明细'!$F1620</x:f>
        <x:v>0</x:v>
      </x:c>
    </x:row>
    <x:row r="482">
      <x:c r="A482" t="str">
        <x:f>TEXT($B482,"mm-dd")</x:f>
        <x:v>08-16</x:v>
      </x:c>
      <x:c r="B482" s="9" t="n">
        <x:f>'站点明细'!$C229</x:f>
        <x:v>46250</x:v>
      </x:c>
      <x:c r="C482" s="10" t="n">
        <x:f>'站点明细'!$E229</x:f>
        <x:v>2348</x:v>
      </x:c>
      <x:c r="D482" s="10" t="n">
        <x:f>'站点明细'!$D229</x:f>
        <x:v>1201</x:v>
      </x:c>
      <x:c r="E482" s="10" t="n">
        <x:f>'站点明细'!$E461</x:f>
        <x:v>1469</x:v>
      </x:c>
      <x:c r="F482" s="10" t="n">
        <x:f>'站点明细'!$D461</x:f>
        <x:v>795</x:v>
      </x:c>
      <x:c r="G482" s="10" t="n">
        <x:f>'站点明细'!$E693</x:f>
        <x:v>923</x:v>
      </x:c>
      <x:c r="H482" s="10" t="n">
        <x:f>'站点明细'!$D693</x:f>
        <x:v>516</x:v>
      </x:c>
      <x:c r="I482" s="10" t="n">
        <x:f>'站点明细'!$E925</x:f>
        <x:v>0</x:v>
      </x:c>
      <x:c r="J482" s="10" t="n">
        <x:f>'站点明细'!$D925</x:f>
        <x:v>0</x:v>
      </x:c>
      <x:c r="K482" s="10" t="n">
        <x:f>'站点明细'!$E1157</x:f>
        <x:v>204</x:v>
      </x:c>
      <x:c r="L482" s="10" t="n">
        <x:f>'站点明细'!$D1157</x:f>
        <x:v>105</x:v>
      </x:c>
      <x:c r="M482" s="10" t="n">
        <x:f>'站点明细'!$E1389</x:f>
        <x:v>34</x:v>
      </x:c>
      <x:c r="N482" s="10" t="n">
        <x:f>'站点明细'!$D1389</x:f>
        <x:v>34</x:v>
      </x:c>
      <x:c r="O482" s="10" t="n">
        <x:f>'站点明细'!$E1621</x:f>
        <x:v>0</x:v>
      </x:c>
      <x:c r="P482" s="10" t="n">
        <x:f>'站点明细'!$D1621</x:f>
        <x:v>0</x:v>
      </x:c>
      <x:c r="Q482" s="11" t="n">
        <x:f>'站点明细'!$F229</x:f>
        <x:v>16005.22</x:v>
      </x:c>
      <x:c r="R482" s="11" t="n">
        <x:f>'站点明细'!$F461</x:f>
        <x:v>14618.55</x:v>
      </x:c>
      <x:c r="S482" s="11" t="n">
        <x:f>'站点明细'!$F693</x:f>
        <x:v>8857.58</x:v>
      </x:c>
      <x:c r="T482" s="11" t="n">
        <x:f>'站点明细'!$F925</x:f>
        <x:v>0</x:v>
      </x:c>
      <x:c r="U482" s="11" t="n">
        <x:f>'站点明细'!$F1157</x:f>
        <x:v>1509.64</x:v>
      </x:c>
      <x:c r="V482" s="11" t="n">
        <x:f>'站点明细'!$F1389</x:f>
        <x:v>2210.05</x:v>
      </x:c>
      <x:c r="W482" s="11" t="n">
        <x:f>'站点明细'!$F1621</x:f>
        <x:v>0</x:v>
      </x:c>
    </x:row>
    <x:row r="483">
      <x:c r="A483" t="str">
        <x:f>TEXT($B483,"mm-dd")</x:f>
        <x:v>08-17</x:v>
      </x:c>
      <x:c r="B483" s="9" t="n">
        <x:f>'站点明细'!$C230</x:f>
        <x:v>46251</x:v>
      </x:c>
      <x:c r="C483" s="10" t="n">
        <x:f>'站点明细'!$E230</x:f>
        <x:v>3376</x:v>
      </x:c>
      <x:c r="D483" s="10" t="n">
        <x:f>'站点明细'!$D230</x:f>
        <x:v>1727</x:v>
      </x:c>
      <x:c r="E483" s="10" t="n">
        <x:f>'站点明细'!$E462</x:f>
        <x:v>1447</x:v>
      </x:c>
      <x:c r="F483" s="10" t="n">
        <x:f>'站点明细'!$D462</x:f>
        <x:v>783</x:v>
      </x:c>
      <x:c r="G483" s="10" t="n">
        <x:f>'站点明细'!$E694</x:f>
        <x:v>901</x:v>
      </x:c>
      <x:c r="H483" s="10" t="n">
        <x:f>'站点明细'!$D694</x:f>
        <x:v>578</x:v>
      </x:c>
      <x:c r="I483" s="10" t="n">
        <x:f>'站点明细'!$E926</x:f>
        <x:v>2</x:v>
      </x:c>
      <x:c r="J483" s="10" t="n">
        <x:f>'站点明细'!$D926</x:f>
        <x:v>2</x:v>
      </x:c>
      <x:c r="K483" s="10" t="n">
        <x:f>'站点明细'!$E1158</x:f>
        <x:v>233</x:v>
      </x:c>
      <x:c r="L483" s="10" t="n">
        <x:f>'站点明细'!$D1158</x:f>
        <x:v>123</x:v>
      </x:c>
      <x:c r="M483" s="10" t="n">
        <x:f>'站点明细'!$E1390</x:f>
        <x:v>20</x:v>
      </x:c>
      <x:c r="N483" s="10" t="n">
        <x:f>'站点明细'!$D1390</x:f>
        <x:v>16</x:v>
      </x:c>
      <x:c r="O483" s="10" t="n">
        <x:f>'站点明细'!$E1622</x:f>
        <x:v>7</x:v>
      </x:c>
      <x:c r="P483" s="10" t="n">
        <x:f>'站点明细'!$D1622</x:f>
        <x:v>6</x:v>
      </x:c>
      <x:c r="Q483" s="11" t="n">
        <x:f>'站点明细'!$F230</x:f>
        <x:v>23722.7</x:v>
      </x:c>
      <x:c r="R483" s="11" t="n">
        <x:f>'站点明细'!$F462</x:f>
        <x:v>13828.59</x:v>
      </x:c>
      <x:c r="S483" s="11" t="n">
        <x:f>'站点明细'!$F694</x:f>
        <x:v>8940.15</x:v>
      </x:c>
      <x:c r="T483" s="11" t="n">
        <x:f>'站点明细'!$F926</x:f>
        <x:v>29.47</x:v>
      </x:c>
      <x:c r="U483" s="11" t="n">
        <x:f>'站点明细'!$F1158</x:f>
        <x:v>1983.45</x:v>
      </x:c>
      <x:c r="V483" s="11" t="n">
        <x:f>'站点明细'!$F1390</x:f>
        <x:v>1452.85</x:v>
      </x:c>
      <x:c r="W483" s="11" t="n">
        <x:f>'站点明细'!$F1622</x:f>
        <x:v>599.76</x:v>
      </x:c>
    </x:row>
    <x:row r="484">
      <x:c r="A484" t="str">
        <x:f>TEXT($B484,"mm-dd")</x:f>
        <x:v>08-18</x:v>
      </x:c>
      <x:c r="B484" s="9" t="n">
        <x:f>'站点明细'!$C231</x:f>
        <x:v>46252</x:v>
      </x:c>
      <x:c r="C484" s="10" t="n">
        <x:f>'站点明细'!$E231</x:f>
        <x:v>3466</x:v>
      </x:c>
      <x:c r="D484" s="10" t="n">
        <x:f>'站点明细'!$D231</x:f>
        <x:v>1830</x:v>
      </x:c>
      <x:c r="E484" s="10" t="n">
        <x:f>'站点明细'!$E463</x:f>
        <x:v>1127</x:v>
      </x:c>
      <x:c r="F484" s="10" t="n">
        <x:f>'站点明细'!$D463</x:f>
        <x:v>619</x:v>
      </x:c>
      <x:c r="G484" s="10" t="n">
        <x:f>'站点明细'!$E695</x:f>
        <x:v>502</x:v>
      </x:c>
      <x:c r="H484" s="10" t="n">
        <x:f>'站点明细'!$D695</x:f>
        <x:v>324</x:v>
      </x:c>
      <x:c r="I484" s="10" t="n">
        <x:f>'站点明细'!$E927</x:f>
        <x:v>4</x:v>
      </x:c>
      <x:c r="J484" s="10" t="n">
        <x:f>'站点明细'!$D927</x:f>
        <x:v>3</x:v>
      </x:c>
      <x:c r="K484" s="10" t="n">
        <x:f>'站点明细'!$E1159</x:f>
        <x:v>176</x:v>
      </x:c>
      <x:c r="L484" s="10" t="n">
        <x:f>'站点明细'!$D1159</x:f>
        <x:v>86</x:v>
      </x:c>
      <x:c r="M484" s="10" t="n">
        <x:f>'站点明细'!$E1391</x:f>
        <x:v>123</x:v>
      </x:c>
      <x:c r="N484" s="10" t="n">
        <x:f>'站点明细'!$D1391</x:f>
        <x:v>104</x:v>
      </x:c>
      <x:c r="O484" s="10" t="n">
        <x:f>'站点明细'!$E1623</x:f>
        <x:v>0</x:v>
      </x:c>
      <x:c r="P484" s="10" t="n">
        <x:f>'站点明细'!$D1623</x:f>
        <x:v>0</x:v>
      </x:c>
      <x:c r="Q484" s="11" t="n">
        <x:f>'站点明细'!$F231</x:f>
        <x:v>24837.62</x:v>
      </x:c>
      <x:c r="R484" s="11" t="n">
        <x:f>'站点明细'!$F463</x:f>
        <x:v>11511.12</x:v>
      </x:c>
      <x:c r="S484" s="11" t="n">
        <x:f>'站点明细'!$F695</x:f>
        <x:v>4746.42</x:v>
      </x:c>
      <x:c r="T484" s="11" t="n">
        <x:f>'站点明细'!$F927</x:f>
        <x:v>52.34</x:v>
      </x:c>
      <x:c r="U484" s="11" t="n">
        <x:f>'站点明细'!$F1159</x:f>
        <x:v>1396.18</x:v>
      </x:c>
      <x:c r="V484" s="11" t="n">
        <x:f>'站点明细'!$F1391</x:f>
        <x:v>6200.1</x:v>
      </x:c>
      <x:c r="W484" s="11" t="n">
        <x:f>'站点明细'!$F1623</x:f>
        <x:v>0</x:v>
      </x:c>
    </x:row>
    <x:row r="485">
      <x:c r="A485" t="str">
        <x:f>TEXT($B485,"mm-dd")</x:f>
        <x:v>08-19</x:v>
      </x:c>
      <x:c r="B485" s="9" t="n">
        <x:f>'站点明细'!$C232</x:f>
        <x:v>46253</x:v>
      </x:c>
      <x:c r="C485" s="10" t="n">
        <x:f>'站点明细'!$E232</x:f>
        <x:v>3119</x:v>
      </x:c>
      <x:c r="D485" s="10" t="n">
        <x:f>'站点明细'!$D232</x:f>
        <x:v>1634</x:v>
      </x:c>
      <x:c r="E485" s="10" t="n">
        <x:f>'站点明细'!$E464</x:f>
        <x:v>1818</x:v>
      </x:c>
      <x:c r="F485" s="10" t="n">
        <x:f>'站点明细'!$D464</x:f>
        <x:v>955</x:v>
      </x:c>
      <x:c r="G485" s="10" t="n">
        <x:f>'站点明细'!$E696</x:f>
        <x:v>858</x:v>
      </x:c>
      <x:c r="H485" s="10" t="n">
        <x:f>'站点明细'!$D696</x:f>
        <x:v>535</x:v>
      </x:c>
      <x:c r="I485" s="10" t="n">
        <x:f>'站点明细'!$E928</x:f>
        <x:v>5</x:v>
      </x:c>
      <x:c r="J485" s="10" t="n">
        <x:f>'站点明细'!$D928</x:f>
        <x:v>4</x:v>
      </x:c>
      <x:c r="K485" s="10" t="n">
        <x:f>'站点明细'!$E1160</x:f>
        <x:v>192</x:v>
      </x:c>
      <x:c r="L485" s="10" t="n">
        <x:f>'站点明细'!$D1160</x:f>
        <x:v>96</x:v>
      </x:c>
      <x:c r="M485" s="10" t="n">
        <x:f>'站点明细'!$E1392</x:f>
        <x:v>73</x:v>
      </x:c>
      <x:c r="N485" s="10" t="n">
        <x:f>'站点明细'!$D1392</x:f>
        <x:v>57</x:v>
      </x:c>
      <x:c r="O485" s="10" t="n">
        <x:f>'站点明细'!$E1624</x:f>
        <x:v>8</x:v>
      </x:c>
      <x:c r="P485" s="10" t="n">
        <x:f>'站点明细'!$D1624</x:f>
        <x:v>6</x:v>
      </x:c>
      <x:c r="Q485" s="11" t="n">
        <x:f>'站点明细'!$F232</x:f>
        <x:v>21723.39</x:v>
      </x:c>
      <x:c r="R485" s="11" t="n">
        <x:f>'站点明细'!$F464</x:f>
        <x:v>15787.01</x:v>
      </x:c>
      <x:c r="S485" s="11" t="n">
        <x:f>'站点明细'!$F696</x:f>
        <x:v>8372.24</x:v>
      </x:c>
      <x:c r="T485" s="11" t="n">
        <x:f>'站点明细'!$F928</x:f>
        <x:v>85.42</x:v>
      </x:c>
      <x:c r="U485" s="11" t="n">
        <x:f>'站点明细'!$F1160</x:f>
        <x:v>1482.83</x:v>
      </x:c>
      <x:c r="V485" s="11" t="n">
        <x:f>'站点明细'!$F1392</x:f>
        <x:v>3283.56</x:v>
      </x:c>
      <x:c r="W485" s="11" t="n">
        <x:f>'站点明细'!$F1624</x:f>
        <x:v>387.56</x:v>
      </x:c>
    </x:row>
    <x:row r="486">
      <x:c r="A486" t="str">
        <x:f>TEXT($B486,"mm-dd")</x:f>
        <x:v>08-20</x:v>
      </x:c>
      <x:c r="B486" s="9" t="n">
        <x:f>'站点明细'!$C233</x:f>
        <x:v>46254</x:v>
      </x:c>
      <x:c r="C486" s="10" t="n">
        <x:f>'站点明细'!$E233</x:f>
        <x:v>2223</x:v>
      </x:c>
      <x:c r="D486" s="10" t="n">
        <x:f>'站点明细'!$D233</x:f>
        <x:v>1192</x:v>
      </x:c>
      <x:c r="E486" s="10" t="n">
        <x:f>'站点明细'!$E465</x:f>
        <x:v>1011</x:v>
      </x:c>
      <x:c r="F486" s="10" t="n">
        <x:f>'站点明细'!$D465</x:f>
        <x:v>566</x:v>
      </x:c>
      <x:c r="G486" s="10" t="n">
        <x:f>'站点明细'!$E697</x:f>
        <x:v>574</x:v>
      </x:c>
      <x:c r="H486" s="10" t="n">
        <x:f>'站点明细'!$D697</x:f>
        <x:v>377</x:v>
      </x:c>
      <x:c r="I486" s="10" t="n">
        <x:f>'站点明细'!$E929</x:f>
        <x:v>0</x:v>
      </x:c>
      <x:c r="J486" s="10" t="n">
        <x:f>'站点明细'!$D929</x:f>
        <x:v>0</x:v>
      </x:c>
      <x:c r="K486" s="10" t="n">
        <x:f>'站点明细'!$E1161</x:f>
        <x:v>118</x:v>
      </x:c>
      <x:c r="L486" s="10" t="n">
        <x:f>'站点明细'!$D1161</x:f>
        <x:v>74</x:v>
      </x:c>
      <x:c r="M486" s="10" t="n">
        <x:f>'站点明细'!$E1393</x:f>
        <x:v>44</x:v>
      </x:c>
      <x:c r="N486" s="10" t="n">
        <x:f>'站点明细'!$D1393</x:f>
        <x:v>39</x:v>
      </x:c>
      <x:c r="O486" s="10" t="n">
        <x:f>'站点明细'!$E1625</x:f>
        <x:v>1</x:v>
      </x:c>
      <x:c r="P486" s="10" t="n">
        <x:f>'站点明细'!$D1625</x:f>
        <x:v>1</x:v>
      </x:c>
      <x:c r="Q486" s="11" t="n">
        <x:f>'站点明细'!$F233</x:f>
        <x:v>16246.32</x:v>
      </x:c>
      <x:c r="R486" s="11" t="n">
        <x:f>'站点明细'!$F465</x:f>
        <x:v>9672.88</x:v>
      </x:c>
      <x:c r="S486" s="11" t="n">
        <x:f>'站点明细'!$F697</x:f>
        <x:v>5542.91</x:v>
      </x:c>
      <x:c r="T486" s="11" t="n">
        <x:f>'站点明细'!$F929</x:f>
        <x:v>0</x:v>
      </x:c>
      <x:c r="U486" s="11" t="n">
        <x:f>'站点明细'!$F1161</x:f>
        <x:v>1190.1</x:v>
      </x:c>
      <x:c r="V486" s="11" t="n">
        <x:f>'站点明细'!$F1393</x:f>
        <x:v>1980.65</x:v>
      </x:c>
      <x:c r="W486" s="11" t="n">
        <x:f>'站点明细'!$F1625</x:f>
        <x:v>45.95</x:v>
      </x:c>
    </x:row>
    <x:row r="490" ht="24" customHeight="1">
      <x:c r="A490" s="87" t="str">
        <x:v>站点维度｜按月综合｜公式图表数据</x:v>
      </x:c>
      <x:c r="B490" s="87"/>
      <x:c r="C490" s="87"/>
      <x:c r="D490" s="87"/>
      <x:c r="E490" s="87"/>
      <x:c r="F490" s="87"/>
      <x:c r="G490" s="87"/>
      <x:c r="H490" s="87"/>
      <x:c r="I490" s="87"/>
      <x:c r="J490" s="87"/>
      <x:c r="K490" s="87"/>
      <x:c r="L490" s="87"/>
      <x:c r="M490" s="87"/>
      <x:c r="N490" s="87"/>
      <x:c r="O490" s="87"/>
      <x:c r="P490" s="87"/>
      <x:c r="Q490" s="87"/>
      <x:c r="R490" s="87"/>
      <x:c r="S490" s="87"/>
      <x:c r="T490" s="87"/>
      <x:c r="U490" s="87"/>
      <x:c r="V490" s="87"/>
      <x:c r="W490" s="87"/>
    </x:row>
    <x:row r="491" ht="34" customHeight="1">
      <x:c r="A491" s="93" t="str">
        <x:v>时间标签</x:v>
      </x:c>
      <x:c r="B491" s="94" t="str">
        <x:v>时间值</x:v>
      </x:c>
      <x:c r="C491" s="94" t="str">
        <x:v>印度尼西亚_销量</x:v>
      </x:c>
      <x:c r="D491" s="94" t="str">
        <x:v>印度尼西亚_订单</x:v>
      </x:c>
      <x:c r="E491" s="94" t="str">
        <x:v>菲律宾_销量</x:v>
      </x:c>
      <x:c r="F491" s="94" t="str">
        <x:v>菲律宾_订单</x:v>
      </x:c>
      <x:c r="G491" s="94" t="str">
        <x:v>越南_销量</x:v>
      </x:c>
      <x:c r="H491" s="94" t="str">
        <x:v>越南_订单</x:v>
      </x:c>
      <x:c r="I491" s="94" t="str">
        <x:v>马来西亚_销量</x:v>
      </x:c>
      <x:c r="J491" s="94" t="str">
        <x:v>马来西亚_订单</x:v>
      </x:c>
      <x:c r="K491" s="94" t="str">
        <x:v>泰国_销量</x:v>
      </x:c>
      <x:c r="L491" s="94" t="str">
        <x:v>泰国_订单</x:v>
      </x:c>
      <x:c r="M491" s="94" t="str">
        <x:v>墨西哥_销量</x:v>
      </x:c>
      <x:c r="N491" s="94" t="str">
        <x:v>墨西哥_订单</x:v>
      </x:c>
      <x:c r="O491" s="94" t="str">
        <x:v>巴西_销量</x:v>
      </x:c>
      <x:c r="P491" s="94" t="str">
        <x:v>巴西_订单</x:v>
      </x:c>
      <x:c r="Q491" s="94" t="str">
        <x:v>印度尼西亚_发货金额</x:v>
      </x:c>
      <x:c r="R491" s="94" t="str">
        <x:v>菲律宾_发货金额</x:v>
      </x:c>
      <x:c r="S491" s="94" t="str">
        <x:v>越南_发货金额</x:v>
      </x:c>
      <x:c r="T491" s="94" t="str">
        <x:v>马来西亚_发货金额</x:v>
      </x:c>
      <x:c r="U491" s="94" t="str">
        <x:v>泰国_发货金额</x:v>
      </x:c>
      <x:c r="V491" s="94" t="str">
        <x:v>墨西哥_发货金额</x:v>
      </x:c>
      <x:c r="W491" s="95" t="str">
        <x:v>巴西_发货金额</x:v>
      </x:c>
    </x:row>
    <x:row r="492">
      <x:c r="A492" t="str">
        <x:f>TEXT($B492,"yyyy-mm")</x:f>
        <x:v>2026-01</x:v>
      </x:c>
      <x:c r="B492" s="9" t="n">
        <x:v>46023</x:v>
      </x:c>
      <x:c r="C492" s="10" t="n">
        <x:f>SUM('站点明细'!$E$2:$E$32)</x:f>
        <x:v>167110</x:v>
      </x:c>
      <x:c r="D492" s="10" t="n">
        <x:f>SUM('站点明细'!$D$2:$D$32)</x:f>
        <x:v>96158</x:v>
      </x:c>
      <x:c r="E492" s="10" t="n">
        <x:f>SUM('站点明细'!$E$234:$E$264)</x:f>
        <x:v>49199</x:v>
      </x:c>
      <x:c r="F492" s="10" t="n">
        <x:f>SUM('站点明细'!$D$234:$D$264)</x:f>
        <x:v>22251</x:v>
      </x:c>
      <x:c r="G492" s="10" t="n">
        <x:f>SUM('站点明细'!$E$466:$E$496)</x:f>
        <x:v>3734</x:v>
      </x:c>
      <x:c r="H492" s="10" t="n">
        <x:f>SUM('站点明细'!$D$466:$D$496)</x:f>
        <x:v>2269</x:v>
      </x:c>
      <x:c r="I492" s="10" t="n">
        <x:f>SUM('站点明细'!$E$698:$E$728)</x:f>
        <x:v>1933</x:v>
      </x:c>
      <x:c r="J492" s="10" t="n">
        <x:f>SUM('站点明细'!$D$698:$D$728)</x:f>
        <x:v>874</x:v>
      </x:c>
      <x:c r="K492" s="10" t="n">
        <x:f>SUM('站点明细'!$E$930:$E$960)</x:f>
        <x:v>1637</x:v>
      </x:c>
      <x:c r="L492" s="10" t="n">
        <x:f>SUM('站点明细'!$D$930:$D$960)</x:f>
        <x:v>1323</x:v>
      </x:c>
      <x:c r="M492" s="10" t="n">
        <x:f>SUM('站点明细'!$E$1162:$E$1192)</x:f>
        <x:v>3004</x:v>
      </x:c>
      <x:c r="N492" s="10" t="n">
        <x:f>SUM('站点明细'!$D$1162:$D$1192)</x:f>
        <x:v>2365</x:v>
      </x:c>
      <x:c r="O492" s="10" t="n">
        <x:f>SUM('站点明细'!$E$1394:$E$1424)</x:f>
        <x:v>145</x:v>
      </x:c>
      <x:c r="P492" s="10" t="n">
        <x:f>SUM('站点明细'!$D$1394:$D$1424)</x:f>
        <x:v>110</x:v>
      </x:c>
      <x:c r="Q492" s="11" t="n">
        <x:f>SUM('站点明细'!$F$2:$F$32)</x:f>
        <x:v>1336988.95</x:v>
      </x:c>
      <x:c r="R492" s="11" t="n">
        <x:f>SUM('站点明细'!$F$234:$F$264)</x:f>
        <x:v>461642.48</x:v>
      </x:c>
      <x:c r="S492" s="11" t="n">
        <x:f>SUM('站点明细'!$F$466:$F$496)</x:f>
        <x:v>30089.539999999997</x:v>
      </x:c>
      <x:c r="T492" s="11" t="n">
        <x:f>SUM('站点明细'!$F$698:$F$728)</x:f>
        <x:v>12432.460000000001</x:v>
      </x:c>
      <x:c r="U492" s="11" t="n">
        <x:f>SUM('站点明细'!$F$930:$F$960)</x:f>
        <x:v>18540.5</x:v>
      </x:c>
      <x:c r="V492" s="11" t="n">
        <x:f>SUM('站点明细'!$F$1162:$F$1192)</x:f>
        <x:v>233632.63000000003</x:v>
      </x:c>
      <x:c r="W492" s="11" t="n">
        <x:f>SUM('站点明细'!$F$1394:$F$1424)</x:f>
        <x:v>6178.7300000000005</x:v>
      </x:c>
    </x:row>
    <x:row r="493">
      <x:c r="A493" t="str">
        <x:f>TEXT($B493,"yyyy-mm")</x:f>
        <x:v>2026-02</x:v>
      </x:c>
      <x:c r="B493" s="9" t="n">
        <x:v>46054</x:v>
      </x:c>
      <x:c r="C493" s="10" t="n">
        <x:f>SUM('站点明细'!$E$33:$E$60)</x:f>
        <x:v>127654</x:v>
      </x:c>
      <x:c r="D493" s="10" t="n">
        <x:f>SUM('站点明细'!$D$33:$D$60)</x:f>
        <x:v>76799</x:v>
      </x:c>
      <x:c r="E493" s="10" t="n">
        <x:f>SUM('站点明细'!$E$265:$E$292)</x:f>
        <x:v>54014</x:v>
      </x:c>
      <x:c r="F493" s="10" t="n">
        <x:f>SUM('站点明细'!$D$265:$D$292)</x:f>
        <x:v>29490</x:v>
      </x:c>
      <x:c r="G493" s="10" t="n">
        <x:f>SUM('站点明细'!$E$497:$E$524)</x:f>
        <x:v>9339</x:v>
      </x:c>
      <x:c r="H493" s="10" t="n">
        <x:f>SUM('站点明细'!$D$497:$D$524)</x:f>
        <x:v>4911</x:v>
      </x:c>
      <x:c r="I493" s="10" t="n">
        <x:f>SUM('站点明细'!$E$729:$E$756)</x:f>
        <x:v>917</x:v>
      </x:c>
      <x:c r="J493" s="10" t="n">
        <x:f>SUM('站点明细'!$D$729:$D$756)</x:f>
        <x:v>466</x:v>
      </x:c>
      <x:c r="K493" s="10" t="n">
        <x:f>SUM('站点明细'!$E$961:$E$988)</x:f>
        <x:v>1009</x:v>
      </x:c>
      <x:c r="L493" s="10" t="n">
        <x:f>SUM('站点明细'!$D$961:$D$988)</x:f>
        <x:v>861</x:v>
      </x:c>
      <x:c r="M493" s="10" t="n">
        <x:f>SUM('站点明细'!$E$1193:$E$1220)</x:f>
        <x:v>961</x:v>
      </x:c>
      <x:c r="N493" s="10" t="n">
        <x:f>SUM('站点明细'!$D$1193:$D$1220)</x:f>
        <x:v>744</x:v>
      </x:c>
      <x:c r="O493" s="10" t="n">
        <x:f>SUM('站点明细'!$E$1425:$E$1452)</x:f>
        <x:v>114</x:v>
      </x:c>
      <x:c r="P493" s="10" t="n">
        <x:f>SUM('站点明细'!$D$1425:$D$1452)</x:f>
        <x:v>105</x:v>
      </x:c>
      <x:c r="Q493" s="11" t="n">
        <x:f>SUM('站点明细'!$F$33:$F$60)</x:f>
        <x:v>1031840.3700000001</x:v>
      </x:c>
      <x:c r="R493" s="11" t="n">
        <x:f>SUM('站点明细'!$F$265:$F$292)</x:f>
        <x:v>552539.93</x:v>
      </x:c>
      <x:c r="S493" s="11" t="n">
        <x:f>SUM('站点明细'!$F$497:$F$524)</x:f>
        <x:v>62140.369999999995</x:v>
      </x:c>
      <x:c r="T493" s="11" t="n">
        <x:f>SUM('站点明细'!$F$729:$F$756)</x:f>
        <x:v>5938.830000000001</x:v>
      </x:c>
      <x:c r="U493" s="11" t="n">
        <x:f>SUM('站点明细'!$F$961:$F$988)</x:f>
        <x:v>12106.35</x:v>
      </x:c>
      <x:c r="V493" s="11" t="n">
        <x:f>SUM('站点明细'!$F$1193:$F$1220)</x:f>
        <x:v>-48356.05</x:v>
      </x:c>
      <x:c r="W493" s="11" t="n">
        <x:f>SUM('站点明细'!$F$1425:$F$1452)</x:f>
        <x:v>6436.2699999999995</x:v>
      </x:c>
    </x:row>
    <x:row r="494">
      <x:c r="A494" t="str">
        <x:f>TEXT($B494,"yyyy-mm")</x:f>
        <x:v>2026-03</x:v>
      </x:c>
      <x:c r="B494" s="9" t="n">
        <x:v>46082</x:v>
      </x:c>
      <x:c r="C494" s="10" t="n">
        <x:f>SUM('站点明细'!$E$61:$E$91)</x:f>
        <x:v>123681</x:v>
      </x:c>
      <x:c r="D494" s="10" t="n">
        <x:f>SUM('站点明细'!$D$61:$D$91)</x:f>
        <x:v>84364</x:v>
      </x:c>
      <x:c r="E494" s="10" t="n">
        <x:f>SUM('站点明细'!$E$293:$E$323)</x:f>
        <x:v>49755</x:v>
      </x:c>
      <x:c r="F494" s="10" t="n">
        <x:f>SUM('站点明细'!$D$293:$D$323)</x:f>
        <x:v>27596</x:v>
      </x:c>
      <x:c r="G494" s="10" t="n">
        <x:f>SUM('站点明细'!$E$525:$E$555)</x:f>
        <x:v>11199</x:v>
      </x:c>
      <x:c r="H494" s="10" t="n">
        <x:f>SUM('站点明细'!$D$525:$D$555)</x:f>
        <x:v>6391</x:v>
      </x:c>
      <x:c r="I494" s="10" t="n">
        <x:f>SUM('站点明细'!$E$757:$E$787)</x:f>
        <x:v>535</x:v>
      </x:c>
      <x:c r="J494" s="10" t="n">
        <x:f>SUM('站点明细'!$D$757:$D$787)</x:f>
        <x:v>357</x:v>
      </x:c>
      <x:c r="K494" s="10" t="n">
        <x:f>SUM('站点明细'!$E$989:$E$1019)</x:f>
        <x:v>4431</x:v>
      </x:c>
      <x:c r="L494" s="10" t="n">
        <x:f>SUM('站点明细'!$D$989:$D$1019)</x:f>
        <x:v>2945</x:v>
      </x:c>
      <x:c r="M494" s="10" t="n">
        <x:f>SUM('站点明细'!$E$1221:$E$1251)</x:f>
        <x:v>1023</x:v>
      </x:c>
      <x:c r="N494" s="10" t="n">
        <x:f>SUM('站点明细'!$D$1221:$D$1251)</x:f>
        <x:v>851</x:v>
      </x:c>
      <x:c r="O494" s="10" t="n">
        <x:f>SUM('站点明细'!$E$1453:$E$1483)</x:f>
        <x:v>96</x:v>
      </x:c>
      <x:c r="P494" s="10" t="n">
        <x:f>SUM('站点明细'!$D$1453:$D$1483)</x:f>
        <x:v>82</x:v>
      </x:c>
      <x:c r="Q494" s="11" t="n">
        <x:f>SUM('站点明细'!$F$61:$F$91)</x:f>
        <x:v>1005575.7099999998</x:v>
      </x:c>
      <x:c r="R494" s="11" t="n">
        <x:f>SUM('站点明细'!$F$293:$F$323)</x:f>
        <x:v>528033.1399999999</x:v>
      </x:c>
      <x:c r="S494" s="11" t="n">
        <x:f>SUM('站点明细'!$F$525:$F$555)</x:f>
        <x:v>93078.47000000002</x:v>
      </x:c>
      <x:c r="T494" s="11" t="n">
        <x:f>SUM('站点明细'!$F$757:$F$787)</x:f>
        <x:v>4752.12</x:v>
      </x:c>
      <x:c r="U494" s="11" t="n">
        <x:f>SUM('站点明细'!$F$989:$F$1019)</x:f>
        <x:v>39453.74</x:v>
      </x:c>
      <x:c r="V494" s="11" t="n">
        <x:f>SUM('站点明细'!$F$1221:$F$1251)</x:f>
        <x:v>31009.269999999997</x:v>
      </x:c>
      <x:c r="W494" s="11" t="n">
        <x:f>SUM('站点明细'!$F$1453:$F$1483)</x:f>
        <x:v>6465.739999999999</x:v>
      </x:c>
    </x:row>
    <x:row r="495">
      <x:c r="A495" t="str">
        <x:f>TEXT($B495,"yyyy-mm")</x:f>
        <x:v>2026-04</x:v>
      </x:c>
      <x:c r="B495" s="9" t="n">
        <x:v>46113</x:v>
      </x:c>
      <x:c r="C495" s="10" t="n">
        <x:f>SUM('站点明细'!$E$92:$E$121)</x:f>
        <x:v>131226</x:v>
      </x:c>
      <x:c r="D495" s="10" t="n">
        <x:f>SUM('站点明细'!$D$92:$D$121)</x:f>
        <x:v>96408</x:v>
      </x:c>
      <x:c r="E495" s="10" t="n">
        <x:f>SUM('站点明细'!$E$324:$E$353)</x:f>
        <x:v>41616</x:v>
      </x:c>
      <x:c r="F495" s="10" t="n">
        <x:f>SUM('站点明细'!$D$324:$D$353)</x:f>
        <x:v>19784</x:v>
      </x:c>
      <x:c r="G495" s="10" t="n">
        <x:f>SUM('站点明细'!$E$556:$E$585)</x:f>
        <x:v>14971</x:v>
      </x:c>
      <x:c r="H495" s="10" t="n">
        <x:f>SUM('站点明细'!$D$556:$D$585)</x:f>
        <x:v>8014</x:v>
      </x:c>
      <x:c r="I495" s="10" t="n">
        <x:f>SUM('站点明细'!$E$788:$E$817)</x:f>
        <x:v>192</x:v>
      </x:c>
      <x:c r="J495" s="10" t="n">
        <x:f>SUM('站点明细'!$D$788:$D$817)</x:f>
        <x:v>170</x:v>
      </x:c>
      <x:c r="K495" s="10" t="n">
        <x:f>SUM('站点明细'!$E$1020:$E$1049)</x:f>
        <x:v>4534</x:v>
      </x:c>
      <x:c r="L495" s="10" t="n">
        <x:f>SUM('站点明细'!$D$1020:$D$1049)</x:f>
        <x:v>3289</x:v>
      </x:c>
      <x:c r="M495" s="10" t="n">
        <x:f>SUM('站点明细'!$E$1252:$E$1281)</x:f>
        <x:v>1792</x:v>
      </x:c>
      <x:c r="N495" s="10" t="n">
        <x:f>SUM('站点明细'!$D$1252:$D$1281)</x:f>
        <x:v>1550</x:v>
      </x:c>
      <x:c r="O495" s="10" t="n">
        <x:f>SUM('站点明细'!$E$1484:$E$1513)</x:f>
        <x:v>32</x:v>
      </x:c>
      <x:c r="P495" s="10" t="n">
        <x:f>SUM('站点明细'!$D$1484:$D$1513)</x:f>
        <x:v>29</x:v>
      </x:c>
      <x:c r="Q495" s="11" t="n">
        <x:f>SUM('站点明细'!$F$92:$F$121)</x:f>
        <x:v>1118029.2499999998</x:v>
      </x:c>
      <x:c r="R495" s="11" t="n">
        <x:f>SUM('站点明细'!$F$324:$F$353)</x:f>
        <x:v>379649.2899999999</x:v>
      </x:c>
      <x:c r="S495" s="11" t="n">
        <x:f>SUM('站点明细'!$F$556:$F$585)</x:f>
        <x:v>117338</x:v>
      </x:c>
      <x:c r="T495" s="11" t="n">
        <x:f>SUM('站点明细'!$F$788:$F$817)</x:f>
        <x:v>1317.5299999999997</x:v>
      </x:c>
      <x:c r="U495" s="11" t="n">
        <x:f>SUM('站点明细'!$F$1020:$F$1049)</x:f>
        <x:v>39513.67</x:v>
      </x:c>
      <x:c r="V495" s="11" t="n">
        <x:f>SUM('站点明细'!$F$1252:$F$1281)</x:f>
        <x:v>63982.899999999994</x:v>
      </x:c>
      <x:c r="W495" s="11" t="n">
        <x:f>SUM('站点明细'!$F$1484:$F$1513)</x:f>
        <x:v>2029.9</x:v>
      </x:c>
    </x:row>
    <x:row r="496">
      <x:c r="A496" t="str">
        <x:f>TEXT($B496,"yyyy-mm")</x:f>
        <x:v>2026-05</x:v>
      </x:c>
      <x:c r="B496" s="9" t="n">
        <x:v>46143</x:v>
      </x:c>
      <x:c r="C496" s="10" t="n">
        <x:f>SUM('站点明细'!$E$122:$E$152)</x:f>
        <x:v>88185</x:v>
      </x:c>
      <x:c r="D496" s="10" t="n">
        <x:f>SUM('站点明细'!$D$122:$D$152)</x:f>
        <x:v>59079</x:v>
      </x:c>
      <x:c r="E496" s="10" t="n">
        <x:f>SUM('站点明细'!$E$354:$E$384)</x:f>
        <x:v>41486</x:v>
      </x:c>
      <x:c r="F496" s="10" t="n">
        <x:f>SUM('站点明细'!$D$354:$D$384)</x:f>
        <x:v>20830</x:v>
      </x:c>
      <x:c r="G496" s="10" t="n">
        <x:f>SUM('站点明细'!$E$586:$E$616)</x:f>
        <x:v>29606</x:v>
      </x:c>
      <x:c r="H496" s="10" t="n">
        <x:f>SUM('站点明细'!$D$586:$D$616)</x:f>
        <x:v>16609</x:v>
      </x:c>
      <x:c r="I496" s="10" t="n">
        <x:f>SUM('站点明细'!$E$818:$E$848)</x:f>
        <x:v>214</x:v>
      </x:c>
      <x:c r="J496" s="10" t="n">
        <x:f>SUM('站点明细'!$D$818:$D$848)</x:f>
        <x:v>159</x:v>
      </x:c>
      <x:c r="K496" s="10" t="n">
        <x:f>SUM('站点明细'!$E$1050:$E$1080)</x:f>
        <x:v>2848</x:v>
      </x:c>
      <x:c r="L496" s="10" t="n">
        <x:f>SUM('站点明细'!$D$1050:$D$1080)</x:f>
        <x:v>2052</x:v>
      </x:c>
      <x:c r="M496" s="10" t="n">
        <x:f>SUM('站点明细'!$E$1282:$E$1312)</x:f>
        <x:v>1999</x:v>
      </x:c>
      <x:c r="N496" s="10" t="n">
        <x:f>SUM('站点明细'!$D$1282:$D$1312)</x:f>
        <x:v>1638</x:v>
      </x:c>
      <x:c r="O496" s="10" t="n">
        <x:f>SUM('站点明细'!$E$1514:$E$1544)</x:f>
        <x:v>0</x:v>
      </x:c>
      <x:c r="P496" s="10" t="n">
        <x:f>SUM('站点明细'!$D$1514:$D$1544)</x:f>
        <x:v>0</x:v>
      </x:c>
      <x:c r="Q496" s="11" t="n">
        <x:f>SUM('站点明细'!$F$122:$F$152)</x:f>
        <x:v>738711.7199999999</x:v>
      </x:c>
      <x:c r="R496" s="11" t="n">
        <x:f>SUM('站点明细'!$F$354:$F$384)</x:f>
        <x:v>395949.7100000001</x:v>
      </x:c>
      <x:c r="S496" s="11" t="n">
        <x:f>SUM('站点明细'!$F$586:$F$616)</x:f>
        <x:v>231722.84000000003</x:v>
      </x:c>
      <x:c r="T496" s="11" t="n">
        <x:f>SUM('站点明细'!$F$818:$F$848)</x:f>
        <x:v>1816.4799999999998</x:v>
      </x:c>
      <x:c r="U496" s="11" t="n">
        <x:f>SUM('站点明细'!$F$1050:$F$1080)</x:f>
        <x:v>26726.33</x:v>
      </x:c>
      <x:c r="V496" s="11" t="n">
        <x:f>SUM('站点明细'!$F$1282:$F$1312)</x:f>
        <x:v>73560.17</x:v>
      </x:c>
      <x:c r="W496" s="11" t="n">
        <x:f>SUM('站点明细'!$F$1514:$F$1544)</x:f>
        <x:v>0</x:v>
      </x:c>
    </x:row>
    <x:row r="497">
      <x:c r="A497" t="str">
        <x:f>TEXT($B497,"yyyy-mm")</x:f>
        <x:v>2026-06</x:v>
      </x:c>
      <x:c r="B497" s="9" t="n">
        <x:v>46174</x:v>
      </x:c>
      <x:c r="C497" s="10" t="n">
        <x:f>SUM('站点明细'!$E$153:$E$182)</x:f>
        <x:v>121944</x:v>
      </x:c>
      <x:c r="D497" s="10" t="n">
        <x:f>SUM('站点明细'!$D$153:$D$182)</x:f>
        <x:v>67341</x:v>
      </x:c>
      <x:c r="E497" s="10" t="n">
        <x:f>SUM('站点明细'!$E$385:$E$414)</x:f>
        <x:v>44849</x:v>
      </x:c>
      <x:c r="F497" s="10" t="n">
        <x:f>SUM('站点明细'!$D$385:$D$414)</x:f>
        <x:v>22603</x:v>
      </x:c>
      <x:c r="G497" s="10" t="n">
        <x:f>SUM('站点明细'!$E$617:$E$646)</x:f>
        <x:v>33787</x:v>
      </x:c>
      <x:c r="H497" s="10" t="n">
        <x:f>SUM('站点明细'!$D$617:$D$646)</x:f>
        <x:v>18371</x:v>
      </x:c>
      <x:c r="I497" s="10" t="n">
        <x:f>SUM('站点明细'!$E$849:$E$878)</x:f>
        <x:v>59</x:v>
      </x:c>
      <x:c r="J497" s="10" t="n">
        <x:f>SUM('站点明细'!$D$849:$D$878)</x:f>
        <x:v>36</x:v>
      </x:c>
      <x:c r="K497" s="10" t="n">
        <x:f>SUM('站点明细'!$E$1081:$E$1110)</x:f>
        <x:v>4999</x:v>
      </x:c>
      <x:c r="L497" s="10" t="n">
        <x:f>SUM('站点明细'!$D$1081:$D$1110)</x:f>
        <x:v>2460</x:v>
      </x:c>
      <x:c r="M497" s="10" t="n">
        <x:f>SUM('站点明细'!$E$1313:$E$1342)</x:f>
        <x:v>1306</x:v>
      </x:c>
      <x:c r="N497" s="10" t="n">
        <x:f>SUM('站点明细'!$D$1313:$D$1342)</x:f>
        <x:v>1033</x:v>
      </x:c>
      <x:c r="O497" s="10" t="n">
        <x:f>SUM('站点明细'!$E$1545:$E$1574)</x:f>
        <x:v>0</x:v>
      </x:c>
      <x:c r="P497" s="10" t="n">
        <x:f>SUM('站点明细'!$D$1545:$D$1574)</x:f>
        <x:v>0</x:v>
      </x:c>
      <x:c r="Q497" s="11" t="n">
        <x:f>SUM('站点明细'!$F$153:$F$182)</x:f>
        <x:v>890180.1400000001</x:v>
      </x:c>
      <x:c r="R497" s="11" t="n">
        <x:f>SUM('站点明细'!$F$385:$F$414)</x:f>
        <x:v>434808.17</x:v>
      </x:c>
      <x:c r="S497" s="11" t="n">
        <x:f>SUM('站点明细'!$F$617:$F$646)</x:f>
        <x:v>263649.95999999996</x:v>
      </x:c>
      <x:c r="T497" s="11" t="n">
        <x:f>SUM('站点明细'!$F$849:$F$878)</x:f>
        <x:v>-576.61</x:v>
      </x:c>
      <x:c r="U497" s="11" t="n">
        <x:f>SUM('站点明细'!$F$1081:$F$1110)</x:f>
        <x:v>36474.69000000001</x:v>
      </x:c>
      <x:c r="V497" s="11" t="n">
        <x:f>SUM('站点明细'!$F$1313:$F$1342)</x:f>
        <x:v>61318.810000000005</x:v>
      </x:c>
      <x:c r="W497" s="11" t="n">
        <x:f>SUM('站点明细'!$F$1545:$F$1574)</x:f>
        <x:v>0</x:v>
      </x:c>
    </x:row>
    <x:row r="498">
      <x:c r="A498" t="str">
        <x:f>TEXT($B498,"yyyy-mm")</x:f>
        <x:v>2026-07</x:v>
      </x:c>
      <x:c r="B498" s="9" t="n">
        <x:v>46204</x:v>
      </x:c>
      <x:c r="C498" s="10" t="n">
        <x:f>SUM('站点明细'!$E$183:$E$213)</x:f>
        <x:v>103229</x:v>
      </x:c>
      <x:c r="D498" s="10" t="n">
        <x:f>SUM('站点明细'!$D$183:$D$213)</x:f>
        <x:v>54558</x:v>
      </x:c>
      <x:c r="E498" s="10" t="n">
        <x:f>SUM('站点明细'!$E$415:$E$445)</x:f>
        <x:v>44584</x:v>
      </x:c>
      <x:c r="F498" s="10" t="n">
        <x:f>SUM('站点明细'!$D$415:$D$445)</x:f>
        <x:v>24150</x:v>
      </x:c>
      <x:c r="G498" s="10" t="n">
        <x:f>SUM('站点明细'!$E$647:$E$677)</x:f>
        <x:v>24018</x:v>
      </x:c>
      <x:c r="H498" s="10" t="n">
        <x:f>SUM('站点明细'!$D$647:$D$677)</x:f>
        <x:v>12596</x:v>
      </x:c>
      <x:c r="I498" s="10" t="n">
        <x:f>SUM('站点明细'!$E$879:$E$909)</x:f>
        <x:v>65</x:v>
      </x:c>
      <x:c r="J498" s="10" t="n">
        <x:f>SUM('站点明细'!$D$879:$D$909)</x:f>
        <x:v>46</x:v>
      </x:c>
      <x:c r="K498" s="10" t="n">
        <x:f>SUM('站点明细'!$E$1111:$E$1141)</x:f>
        <x:v>4566</x:v>
      </x:c>
      <x:c r="L498" s="10" t="n">
        <x:f>SUM('站点明细'!$D$1111:$D$1141)</x:f>
        <x:v>2216</x:v>
      </x:c>
      <x:c r="M498" s="10" t="n">
        <x:f>SUM('站点明细'!$E$1343:$E$1373)</x:f>
        <x:v>1717</x:v>
      </x:c>
      <x:c r="N498" s="10" t="n">
        <x:f>SUM('站点明细'!$D$1343:$D$1373)</x:f>
        <x:v>1421</x:v>
      </x:c>
      <x:c r="O498" s="10" t="n">
        <x:f>SUM('站点明细'!$E$1575:$E$1605)</x:f>
        <x:v>200</x:v>
      </x:c>
      <x:c r="P498" s="10" t="n">
        <x:f>SUM('站点明细'!$D$1575:$D$1605)</x:f>
        <x:v>182</x:v>
      </x:c>
      <x:c r="Q498" s="11" t="n">
        <x:f>SUM('站点明细'!$F$183:$F$213)</x:f>
        <x:v>704581.1000000001</x:v>
      </x:c>
      <x:c r="R498" s="11" t="n">
        <x:f>SUM('站点明细'!$F$415:$F$445)</x:f>
        <x:v>422644.79</x:v>
      </x:c>
      <x:c r="S498" s="11" t="n">
        <x:f>SUM('站点明细'!$F$647:$F$677)</x:f>
        <x:v>193786.21</x:v>
      </x:c>
      <x:c r="T498" s="11" t="n">
        <x:f>SUM('站点明细'!$F$879:$F$909)</x:f>
        <x:v>986.86</x:v>
      </x:c>
      <x:c r="U498" s="11" t="n">
        <x:f>SUM('站点明细'!$F$1111:$F$1141)</x:f>
        <x:v>33726.2</x:v>
      </x:c>
      <x:c r="V498" s="11" t="n">
        <x:f>SUM('站点明细'!$F$1343:$F$1373)</x:f>
        <x:v>68514.93000000001</x:v>
      </x:c>
      <x:c r="W498" s="11" t="n">
        <x:f>SUM('站点明细'!$F$1575:$F$1605)</x:f>
        <x:v>11533.900000000001</x:v>
      </x:c>
    </x:row>
    <x:row r="499">
      <x:c r="A499" t="str">
        <x:f>TEXT($B499,"yyyy-mm")</x:f>
        <x:v>2026-08</x:v>
      </x:c>
      <x:c r="B499" s="9" t="n">
        <x:v>46235</x:v>
      </x:c>
      <x:c r="C499" s="10" t="n">
        <x:f>SUM('站点明细'!$E$214:$E$233)</x:f>
        <x:v>70488</x:v>
      </x:c>
      <x:c r="D499" s="10" t="n">
        <x:f>SUM('站点明细'!$D$214:$D$233)</x:f>
        <x:v>37598</x:v>
      </x:c>
      <x:c r="E499" s="10" t="n">
        <x:f>SUM('站点明细'!$E$446:$E$465)</x:f>
        <x:v>29418</x:v>
      </x:c>
      <x:c r="F499" s="10" t="n">
        <x:f>SUM('站点明细'!$D$446:$D$465)</x:f>
        <x:v>15986</x:v>
      </x:c>
      <x:c r="G499" s="10" t="n">
        <x:f>SUM('站点明细'!$E$678:$E$697)</x:f>
        <x:v>15504</x:v>
      </x:c>
      <x:c r="H499" s="10" t="n">
        <x:f>SUM('站点明细'!$D$678:$D$697)</x:f>
        <x:v>9133</x:v>
      </x:c>
      <x:c r="I499" s="10" t="n">
        <x:f>SUM('站点明细'!$E$910:$E$929)</x:f>
        <x:v>51</x:v>
      </x:c>
      <x:c r="J499" s="10" t="n">
        <x:f>SUM('站点明细'!$D$910:$D$929)</x:f>
        <x:v>31</x:v>
      </x:c>
      <x:c r="K499" s="10" t="n">
        <x:f>SUM('站点明细'!$E$1142:$E$1161)</x:f>
        <x:v>2994</x:v>
      </x:c>
      <x:c r="L499" s="10" t="n">
        <x:f>SUM('站点明细'!$D$1142:$D$1161)</x:f>
        <x:v>1628</x:v>
      </x:c>
      <x:c r="M499" s="10" t="n">
        <x:f>SUM('站点明细'!$E$1374:$E$1393)</x:f>
        <x:v>977</x:v>
      </x:c>
      <x:c r="N499" s="10" t="n">
        <x:f>SUM('站点明细'!$D$1374:$D$1393)</x:f>
        <x:v>832</x:v>
      </x:c>
      <x:c r="O499" s="10" t="n">
        <x:f>SUM('站点明细'!$E$1606:$E$1625)</x:f>
        <x:v>76</x:v>
      </x:c>
      <x:c r="P499" s="10" t="n">
        <x:f>SUM('站点明细'!$D$1606:$D$1625)</x:f>
        <x:v>68</x:v>
      </x:c>
      <x:c r="Q499" s="11" t="n">
        <x:f>SUM('站点明细'!$F$214:$F$233)</x:f>
        <x:v>496693.8500000001</x:v>
      </x:c>
      <x:c r="R499" s="11" t="n">
        <x:f>SUM('站点明细'!$F$446:$F$465)</x:f>
        <x:v>288827.61</x:v>
      </x:c>
      <x:c r="S499" s="11" t="n">
        <x:f>SUM('站点明细'!$F$678:$F$697)</x:f>
        <x:v>140681.05000000002</x:v>
      </x:c>
      <x:c r="T499" s="11" t="n">
        <x:f>SUM('站点明细'!$F$910:$F$929)</x:f>
        <x:v>668.33</x:v>
      </x:c>
      <x:c r="U499" s="11" t="n">
        <x:f>SUM('站点明细'!$F$1142:$F$1161)</x:f>
        <x:v>27898.46</x:v>
      </x:c>
      <x:c r="V499" s="11" t="n">
        <x:f>SUM('站点明细'!$F$1374:$F$1393)</x:f>
        <x:v>51991.13999999999</x:v>
      </x:c>
      <x:c r="W499" s="11" t="n">
        <x:f>SUM('站点明细'!$F$1606:$F$1625)</x:f>
        <x:v>5875.2</x:v>
      </x:c>
    </x:row>
  </x:sheetData>
  <x:mergeCells>
    <x:mergeCell ref="A1:AF1"/>
    <x:mergeCell ref="A3:AF3"/>
    <x:mergeCell ref="A240:AF240"/>
    <x:mergeCell ref="A253:W253"/>
    <x:mergeCell ref="A490:W490"/>
  </x:mergeCells>
  <x:pageMargins left="0.7" right="0.7" top="0.75" bottom="0.75" header="0.3" footer="0.3"/>
</x:worksheet>
</file>